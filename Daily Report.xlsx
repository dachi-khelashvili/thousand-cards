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sheetId="1" r:id="rId5"/>
    <sheet state="visible" name="AntTonio" sheetId="2" r:id="rId6"/>
    <sheet state="visible" name="💬" sheetId="3" r:id="rId7"/>
    <sheet state="visible" name="🎨" sheetId="4" r:id="rId8"/>
    <sheet state="visible" name="❓" sheetId="5" r:id="rId9"/>
    <sheet state="visible" name="📅" sheetId="6" r:id="rId10"/>
    <sheet state="visible" name="🗝️" sheetId="7" r:id="rId11"/>
    <sheet state="visible" name="💼" sheetId="8" r:id="rId12"/>
    <sheet state="visible" name="👤" sheetId="9" r:id="rId13"/>
    <sheet state="visible" name="⚡️" sheetId="10" r:id="rId14"/>
    <sheet state="visible" name="💵" sheetId="11" r:id="rId15"/>
    <sheet state="visible" name="D" sheetId="12" r:id="rId16"/>
    <sheet state="visible" name="Recover" sheetId="13" r:id="rId17"/>
  </sheets>
  <definedNames/>
  <calcPr/>
</workbook>
</file>

<file path=xl/sharedStrings.xml><?xml version="1.0" encoding="utf-8"?>
<sst xmlns="http://schemas.openxmlformats.org/spreadsheetml/2006/main" count="2680" uniqueCount="2119">
  <si>
    <t>No</t>
  </si>
  <si>
    <t>App</t>
  </si>
  <si>
    <t>Name</t>
  </si>
  <si>
    <t>ID</t>
  </si>
  <si>
    <t>Phone Number</t>
  </si>
  <si>
    <t>Status</t>
  </si>
  <si>
    <t>Real Name</t>
  </si>
  <si>
    <t>Icon</t>
  </si>
  <si>
    <t>WhasApp</t>
  </si>
  <si>
    <t>1 (229) 237-5171</t>
  </si>
  <si>
    <t>Discord</t>
  </si>
  <si>
    <t>Bond Shirley</t>
  </si>
  <si>
    <t>bond_shirley</t>
  </si>
  <si>
    <t>Shar Allan</t>
  </si>
  <si>
    <t>sharallan</t>
  </si>
  <si>
    <t>1 (619) 903-1727</t>
  </si>
  <si>
    <t>Date</t>
  </si>
  <si>
    <t>Job Link</t>
  </si>
  <si>
    <t>Cover Letter</t>
  </si>
  <si>
    <t>https://www.upwork.com/jobs/~021986084041699865321</t>
  </si>
  <si>
    <t>Hi,
I can help you set up a reliable automation between your two Google Sheets using n8n or Make.com. I’ve built similar workflows that sync data accurately and include error handling to skip duplicates and blank rows.
I’ll make sure the automation runs smoothly and provide a short, clear explanation of how everything works so you can maintain it easily. I’m available to start right away and can complete this quickly.
Warm Regards,
Antonio</t>
  </si>
  <si>
    <t>https://www.upwork.com/jobs/~021986169913669563113</t>
  </si>
  <si>
    <t>Hi,
I can jump in and quickly diagnose the failing n8n nodes, trace the root causes, and get your workflows running smoothly again. I work daily with n8n triggers, webhooks, Google Sheets, CRMs, and custom API integrations, and I’m comfortable reading execution logs, isolating flaky steps, and hardening error handling and retries.
Deliverables will include fixed workflows, a brief report of issues and changes, and a few preventive recommendations so failures are easier to catch next time. I’m available to start immediately and move fast.
Warm Regards,
Antonio</t>
  </si>
  <si>
    <t>https://www.upwork.com/jobs/~021986472444294383388</t>
  </si>
  <si>
    <t>Hi,
I can help you find and set up the right Excel add-in to connect seamlessly with your Azure SQL database. My goal is to make it easy for your team to pull data, make updates directly in Excel, and write changes back without dealing with custom code or complex setup.
I’ll recommend a reliable, well-supported solution (like CData or Devart), handle the configuration, and make sure it works smoothly with your current Excel and Azure environment. I’ll also provide a short guide so you can manage it easily going forward.
Warm Regards,
Antonio</t>
  </si>
  <si>
    <t>https://www.upwork.com/jobs/~021986476290679152933</t>
  </si>
  <si>
    <t>Hi,
I’d be happy to help you set up your Shopify store and get it ready for launch. I’ve built and customized several Shopify stores, handling everything from theme customization and product setup to payment gateways and SEO optimization.
For your project, I’ll make sure the store is visually polished, mobile-friendly, and fully functional — ready for customers to browse and purchase with ease. I can start right away and ensure a smooth, professional setup process.
Warm Regards,
Antonio</t>
  </si>
  <si>
    <t>https://www.upwork.com/jobs/~021986807577224464156</t>
  </si>
  <si>
    <t>Hi,
I can design and build a clean, engaging Free Trial page in WordPress that encourages conversions and works smoothly across all devices. I’ve created similar pages focused on clarity, strong visuals, and fast load times, ensuring a great user experience.
I’ll make sure the page looks professional, is easy to navigate, and includes all key elements needed for a successful trial sign-up. I’m available to start right away and deliver it quickly.
Warm Regards,
Antonio</t>
  </si>
  <si>
    <t>https://www.upwork.com/jobs/~021986804478946059629</t>
  </si>
  <si>
    <t>Hi,
I can create a custom badge for your Listivo Ad Cards and add a button on the My Account page that applies the badge for 4 hours before it disappears automatically. I have experience customizing the Listivo theme and can complete this quickly and cleanly.
Warm Regards,
Antonio</t>
  </si>
  <si>
    <t>https://www.upwork.com/jobs/~021987893120673078570</t>
  </si>
  <si>
    <t>Hi,
I can automate your Office Script to run whenever a new row is added, integrating cleanly with your current Excel workflow. I’ll set up an event-driven trigger, handle edge cases like duplicates and blank rows, add basic logging/retries, and document the setup in a short, clear paragraph so you can maintain it easily. I’ve built similar Excel automations using Office Scripts and Power Automate for reliable, hands-off execution.
Warm Regards,
Antonio</t>
  </si>
  <si>
    <t>https://www.upwork.com/jobs/~021987926481305822347</t>
  </si>
  <si>
    <t>Hi,
I can help you build your Shopify website using your existing images and theme, making sure everything fits together beautifully and works smoothly. I’ve customized many Shopify themes to match specific designs while keeping the site fast, responsive, and easy to manage.
I’ll handle the setup, theme adjustments, and app integrations to ensure your store is fully functional and optimized for performance. I can start right away and make sure the final result looks professional and polished.
Warm Regards,
Antonio</t>
  </si>
  <si>
    <t>Hi,
I’d be happy to help you integrate your APIs into the existing Node.js and Next.js setup. I’ve worked on similar projects connecting frontends and backends with third-party services, making sure data flows smoothly and securely.
I’ll handle everything from setting up the API routes and authentication to displaying the data properly on the frontend and testing for performance and stability. I can start right away and make sure everything runs cleanly and reliably.
Warm Regards,
Antonio</t>
  </si>
  <si>
    <t>https://www.upwork.com/jobs/~021987962328084097248</t>
  </si>
  <si>
    <t>Hi,
I can jump in and fix your Chrome extension so it reliably summarizes content from open tabs with the OpenAI API. I’ll diagnose the root cause, repair the MV3 service worker and messaging, ensure the right permissions and content scripts are in place, and harden the API integration with proper error handling and key storage. You’ll get clean, full working code and a quick handoff so it’s easy to maintain.
Warm Regards,
Antonio</t>
  </si>
  <si>
    <t>https://www.upwork.com/jobs/~021987970239109042481</t>
  </si>
  <si>
    <t>Hi,
I can move your image editor UI into the main app and make it work cleanly with your existing stack. I’ll replace Tailwind/Shadcn styles with Bootstrap and SCSS to avoid conflicts, update routing to match your current page structure, and remove database layers like psql, Drizzle, and Neon since they are not needed now. I’ll add any required packages, resolve import issues, and focus on getting the editor UI fully functional without backend save logic. I’ll also leave brief notes so you can extend it later.
Warm Regards,
Antonio</t>
  </si>
  <si>
    <t>https://www.upwork.com/jobs/~021988241986014502186</t>
  </si>
  <si>
    <t>Hi,
I can help with your WordPress customization and plugin development right away. I have solid experience with PHP, JavaScript, and WordPress hooks and actions, and I’ve built and fixed many custom features inside existing themes.
I can start immediately and get the changes done quickly while keeping everything lightweight, secure, and cleanly coded.
Warm Regards,
Antonio</t>
  </si>
  <si>
    <t>https://www.upwork.com/jobs/~021988249957498655025</t>
  </si>
  <si>
    <t>Hi,
I can design and develop a fast, responsive, and SEO-friendly landing page that looks great on both mobile and desktop. I’ll handle both frontend and backend setup, including forms, analytics, and any necessary API integrations, ensuring everything works smoothly.
I focus on clean UI/UX and efficient code, and I can deploy the page on Vercel or Netlify for a seamless launch. I’m available to start right away and can deliver it quickly.
Warm Regards,
Antonio</t>
  </si>
  <si>
    <t>https://www.upwork.com/jobs/~021988255176903493483</t>
  </si>
  <si>
    <t>Hi,
I can help you quickly fix the issue in your Lovable.dev app. I’m familiar with the platform and can identify the problem, apply a clean solution, and make sure everything runs smoothly without affecting the rest of your code.
It’s a quick task, and I can jump on it right away to get it done within minutes.
Warm Regards,
Antonio</t>
  </si>
  <si>
    <t>https://www.upwork.com/jobs/~021988257850251841841</t>
  </si>
  <si>
    <t>Hi,
I can build your one Figma section in Webflow to match the design precisely and make it fully responsive on desktop, tablet, and mobile. I’ll optimize and compress all images before upload for fast loading, follow best practices for clean structure and accessibility, and keep everything within Upwork only.
I can start immediately and deliver quickly.
Warm Regards,
Antonio</t>
  </si>
  <si>
    <t>https://www.upwork.com/jobs/~021988258199453130026</t>
  </si>
  <si>
    <t>Hi,
I can set up an n8n workflow that captures leads from your form or webhook, sends them to Google Sheets instantly, and triggers an immediate email notification. I’ll keep it simple, reliable, and free of paid tools, with validation and basic error handling to avoid duplicates or blanks. I can start right away and deliver a clean, documented setup.
Warm Regards,
Antonio</t>
  </si>
  <si>
    <t>https://www.upwork.com/jobs/~021988263143870337329</t>
  </si>
  <si>
    <t>Hi,
I can turn your Figma design into two clean, responsive pages using HTML, CSS, and JavaScript. I pay close attention to detail and ensure the final result matches the design perfectly while working smoothly across all devices.
I’ve done many quick Figma-to-code conversions and can complete this efficiently within a few hours. I can start right away and share examples of similar work if needed.
Warm Regards,
Antonio</t>
  </si>
  <si>
    <t>https://www.upwork.com/jobs/~021988595831827370289</t>
  </si>
  <si>
    <t>Hi,
I can fix the mobile misalignment on your homepage and add a smooth hover animation to all CTA buttons in Webflow. I’ll keep the structure clean, ensure everything is responsive, and test across devices so the interactions feel polished.
I can start right away and deliver this quickly.
Warm Regards,
AntTonio</t>
  </si>
  <si>
    <t>https://www.upwork.com/jobs/~021988614023035523377</t>
  </si>
  <si>
    <t>Hi,
I can upload your site to Hostinger, organize the HTML, CSS, and JS files, clean out old content, and make sure every page loads correctly on your domain. I’ll verify mobile responsiveness, fix any path issues, and optionally connect the contact form so submissions work end to end.
I can start right away and deliver this quickly.
Warm Regards,
AntTonio</t>
  </si>
  <si>
    <t>https://www.upwork.com/jobs/~021988626169023733148</t>
  </si>
  <si>
    <t>Hi,
I can quickly fix your mobile dropdown menu in WordPress. Theme updates often break menus due to CSS/JS conflicts (z-index, overflow, touch events). I’ll diagnose the issue, apply a clean fix in a child theme, and test across devices to make sure it works smoothly again.
I can start right away and wrap this up fast.
Warm Regards,
AntTonio</t>
  </si>
  <si>
    <t>https://www.upwork.com/jobs/~021988648556116641280</t>
  </si>
  <si>
    <t>Hi,
I can update the text and images on your CMS pages quickly and make sure everything fits perfectly with your current layout. It’s a simple task, and I can get it done right away.
Warm Regards,
AntTonio</t>
  </si>
  <si>
    <t>https://www.upwork.com/jobs/~021988655640447092224</t>
  </si>
  <si>
    <t>Hi,
I can quickly set up a Zap to pull appointment details from your confirmation emails and log them into Google Sheets automatically. It’ll save you time and work reliably in the background.
Warm Regards,
AntTonio</t>
  </si>
  <si>
    <t>https://www.upwork.com/jobs/~021988659547830757691</t>
  </si>
  <si>
    <t>Hi,
I can review and clean up your CSS so the site looks exactly the same but loads lighter and is easier to maintain. I’ll remove unused rules, merge duplicates, organize the file, and keep everything responsive. I’ll also share a quick before/after report (file size, key changes) to show the impact.
Warm Regards,
AntTonio</t>
  </si>
  <si>
    <t>https://www.upwork.com/jobs/~021988630211049332124</t>
  </si>
  <si>
    <t>Hi,
I can quickly help fix and debug your React app to ensure it runs smoothly and meets user expectations. I’m experienced with React and can start right away.
Warm Regards,
AntTonio</t>
  </si>
  <si>
    <t>https://www.upwork.com/jobs/~021989858353319386881</t>
  </si>
  <si>
    <t>Hi,
I can recreate your preferred template directly inside Squarespace and match its design, layout, and branding while keeping everything fully functional and easy to manage. I’ve built custom Squarespace templates before and can translate designs from other platforms into a clean, flexible Squarespace setup that works perfectly with its editor. I’m detail-oriented and can start quickly.
Warm Regards,
AntTonio</t>
  </si>
  <si>
    <t>https://www.upwork.com/jobs/~021990195367150179651</t>
  </si>
  <si>
    <t>https://www.upwork.com/jobs/~021990471140466292707</t>
  </si>
  <si>
    <t>Hi,
I can help diagnose and fix the Supabase client hang and the URL parameter issues. I work with Supabase and JavaScript daily and have dealt with stalled requests, auth state problems, and routing bugs before. I will trace the root cause, implement a stable fix, test it thoroughly, and document what was changed so it is easy to maintain.
Warm Regards,
AntTonio</t>
  </si>
  <si>
    <t>https://www.upwork.com/jobs/~021990514179666671587</t>
  </si>
  <si>
    <t>Hi,
I can help improve your Google Maps setup so when multiple orders share the exact same location, clicking that pin opens a Semantic UI modal with a scrollable, mobile-friendly table where the user can pick the correct job and see its details. I will keep your current clustering and map behavior intact while adding this selection flow cleanly into your existing PHP and MySQL logic.
Warm Regards,
AntTonio</t>
  </si>
  <si>
    <t>Hi,
I can clone the lovable.dev project from GitHub and get it running fully on your environment. I’ll handle setup, dependencies, configuration, and fix any issues so everything works smoothly, then document the steps I took so you can manage it easily afterward.
Warm Regards,
AntTonio</t>
  </si>
  <si>
    <t>https://www.upwork.com/jobs/~021990530499770644451</t>
  </si>
  <si>
    <t>Sure! Here’s a Shopify store I’ve set up for a client:
https://chokerescue.co/
The most common mistake people make when importing products is mismatching variant data (like sizes, colors, and SKU rows), which breaks the product structure. I avoid this by cleaning the spreadsheet first, making sure every variant row is consistent, and testing a small sample import before uploading the full catalog.
If needed, I can help you upload all products, set up the theme, configure the store, and get everything ready for launch.
Warm Regards,
AntTonio</t>
  </si>
  <si>
    <t>https://www.upwork.com/jobs/~021990534604917956052</t>
  </si>
  <si>
    <t>Hi,
I can help you extend your existing shift calendar so admins can directly assign staff to specific shifts and control their working hours, while fully keeping the current bidding logic intact. I’ve worked on similar scheduling and role-based assignment features, including slot-based calendars and database updates for availability and assignments.
I’ll make sure the database and UI changes stay clean, avoid conflicts between admin-assigned shifts and bids, and keep the workflow intuitive for both admins and staff.
Warm Regards,
AntTonio</t>
  </si>
  <si>
    <t>Hi,
I can design and build a clean, high-converting landing page in HoneyBook that matches your brand and is ready to run traffic from Google Ads. I’ll make sure it’s fully responsive, incorporates your key visuals and messaging, and includes clear contact/forms so leads are captured properly. I’ll also follow basic on-page SEO best practices so the page is structured well.
Warm Regards,
AntTonio</t>
  </si>
  <si>
    <t>Yes, I‚Äôve worked with the HoneyBook lead form builder to create custom contact and inquiry forms, style them to match branding, and embed them into landing pages so leads flow directly into the HoneyBook pipeline.</t>
  </si>
  <si>
    <t>Recently, I designed a few landing pages for service-based businesses using HoneyBook and other no-code tools. The work included building clean, mobile-responsive layouts, customizing lead forms, and optimizing the pages for ad traffic and conversions.</t>
  </si>
  <si>
    <t>https://www.upwork.com/jobs/~021991175199939255567</t>
  </si>
  <si>
    <t>Hi,
I’d love to help you fix the color inconsistencies across your Shopify theme.
I’ve worked on several Shopify stores including projects like https://rothys.com/ where keeping a clean and unified color system was important for brand trust and visual polish. I also recently completed a Shopify page clone project on Upwork so I’m very comfortable working inside themes, matching designs precisely, and making sure every detail aligns with the original design.
When I update colors, I review each section, template, app block, and custom stylesheet to ensure everything matches your brand palette. The goal is to make the store feel cohesive, modern, and visually reliable.
If you’d like, I can also suggest small improvements for better readability and accessibility while staying true to your brand.
Warm regards,
AntTonio</t>
  </si>
  <si>
    <t>https://www.upwork.com/jobs/~021991175806494334223</t>
  </si>
  <si>
    <t>Hi,
I’d love to help you bring your Figma design to life as a fully functional React application.
I’ve worked on several React projects including work on https://www.squaresigns.com where clean component structure, responsive design, and accurate implementation of UI layouts were essential. I’m very comfortable taking a Figma mockup and turning it into a smooth, reliable front end that feels exactly like the design.
Since you already have theme files ready, I can move quickly by reusing modular components, adapting your template structure, and making sure the final build looks and behaves consistently on both desktop and mobile.
I work daily with React, JSX, and modern JavaScript and I keep my components organized so the codebase stays easy to maintain and extend. I also follow a clean Git workflow with feature branches and pull requests to keep everything transparent and well-structured.
I’ve also used tools like Tailwind, Material UI, and Chakra, so I can adjust to whatever styling approach fits your theme. And if I see any simple UX improvements that can make the product feel smoother without changing your core design, I’ll happily share them.
If you’re looking for someone who communicates well, pays attention to details, and can support long-term updates, I’d be glad to help with future versions of the application too.
Warm regards,
AntTonio</t>
  </si>
  <si>
    <t>https://www.upwork.com/jobs/~021991199238138587631</t>
  </si>
  <si>
    <t>Hi,
I would be glad to support your team on the custom calendar application. I have strong experience working with Python and Django, including Django Admin, and I have built and maintained backend features for projects like https://oppizi.com where clean architecture and reliable integrations were essential. I also work with React on production level applications such as https://www.squaresigns.com where frontend structure, responsiveness, and smooth API communication were a core part of the development process.
I can help extend your existing architecture, add new features, and maintain the current functionality while following your coding standards and documentation. I am used to writing clean, testable code and keeping both backend and frontend updates consistent. I have experience with PostgreSQL, Heroku deployments, environment configuration, and unit testing across the stack.
On the React side, I handle component based structure, state management, and building interfaces that stay aligned with backend logic. I am comfortable working with calendar based tools and integrations, and I can also communicate directly with clients to explain technical details, discuss timelines, and help shape product improvements.
I can support ongoing part time development and handle new features, small enhancements, bug fixes, and improvements to the Google and Microsoft calendar integrations.
Warm regards,
AntTonio</t>
  </si>
  <si>
    <t>I have worked on Python and Django platforms with structured backends and third party integrations, including development work on https://oppizi.com where reliability, clean API design, and stable data processing were important. I also have strong React experience from projects like https://www.squaresigns.com where I built component based interfaces, handled responsive layouts, and integrated frontend logic with backend services. I have also worked on internal tools with scheduling logic and admin workflows similar to what your project requires.</t>
  </si>
  <si>
    <r>
      <rPr/>
      <t xml:space="preserve">Here is one of my recent live project examples:
</t>
    </r>
    <r>
      <rPr>
        <color rgb="FF1155CC"/>
        <u/>
      </rPr>
      <t>https://www.squaresigns.com</t>
    </r>
  </si>
  <si>
    <t>https://www.upwork.com/jobs/~021991205040743155286</t>
  </si>
  <si>
    <t>Hi,
I would be happy to help you build your Microsoft Teams application and set up the bot to send messages directly into a Teams channel. I have experience working with Teams bots, Graph API messaging, and the authentication flow needed to send action cards and structured updates into channels.
I can handle the full setup from creating the Teams app to configuring the bot deployment and connecting everything through the proper permissions. I can also troubleshoot and resolve the authentication issues that often come up with channel access, tokens, and Graph API requirements.
My goal is to make the communication flow smooth and reliable so your application can send messages and action cards without interruptions.
If you would like, I can also provide suggestions to make the integration easier to maintain long term.
Warm regards,
AntTonio</t>
  </si>
  <si>
    <t>https://www.upwork.com/jobs/~021991236083066905214</t>
  </si>
  <si>
    <t>Hi,
I’d be happy to help you fix the layout issues and clean up the remaining kinks on your WordPress site. I work regularly with WordPress, including Kadence and Restored316 themes, and I’ve built and updated sites such as https://siliconvalleykitchenandbath.com/ and https://skipsfoodtruck.com/ where clean layouts, responsive design, and careful theme adjustments were important.
I’m comfortable making precise changes, improving page structure, and correcting styling without disrupting the rest of the site. The amount of work you mentioned sounds very manageable, and I’m also available for ongoing tweaks whenever you need small improvements in the future.
If you’d like to send over the example pages, I can review them and confirm that everything is within my scope before we start.
Warm regards,
AntTonio</t>
  </si>
  <si>
    <t>https://www.upwork.com/jobs/~021991296536183725327</t>
  </si>
  <si>
    <t>Hi,
I’d be happy to help you manage and improve your Shopify backend. I have experience working on established Shopify stores, including projects like https://rothys.com and https://happyhabitat.com where I handled backend management, product setup, theme adjustments, and overall store optimization.
I’m comfortable managing the operational side of Shopify, keeping everything organized, updated, and running smoothly. I can assist with product data, backend settings, collections, navigation, apps, and any ongoing improvements that make the store easier to manage and more effective for customers.
If you’d like, I can take a look at your current setup and help streamline the workflow so your store stays clean, stable, and easy to maintain.
Warm regards,
AntTonio</t>
  </si>
  <si>
    <t>https://www.upwork.com/jobs/~021991521283647899222</t>
  </si>
  <si>
    <t>Hi,
I would be glad to help your Lead Developer with the ongoing project. I work regularly with Python and Django, including updating backend logic, adjusting custom fields, and troubleshooting bugs in active codebases. I built a backend API using Django for https://oppizi.com and also used Python as part of my work on https://cheqmark.io which gives me solid experience working on production systems that require clean structure and reliable data flow.
I can step into your existing project quickly, understand the architecture, and make safe updates that match your current workflow. I also have experience with Azure and can provide suggestions for improving deployments, environment configuration, or overall performance. I am familiar with API based integrations as well, so working with Polygon or Tradier is within my scope.
If you would like, I can review the current tasks and begin with the highest priority fixes to keep the project moving smoothly.
Warm regards,
AntTonio</t>
  </si>
  <si>
    <t>https://www.upwork.com/jobs/~021991530904203782639</t>
  </si>
  <si>
    <t>Hi,
I would be glad to help enhance your Astro site and build out the data driven sections you have designed. I have experience creating custom components, working with structured data, and integrating new features into existing architectures without disrupting the current flow. I’m comfortable working directly from provided designs and translating them into clean, reusable components that match the visual system of the site.
I can also create or update SVG based visualizations when needed, and I’m familiar with sourcing or manipulating data to support charts, diagrams, and other dynamic elements. My goal is to make the new components feel seamless and consistent with the rest of the site.
If you would like, I can review the designs first and walk you through how I would structure the components and handle the data layer.
Warm regards,
AntTonio</t>
  </si>
  <si>
    <t>https://www.upwork.com/jobs/~021991544270961812094</t>
  </si>
  <si>
    <t>Hi,
I’d love to help maintain and expand your workflow automation SaaS platform. I work with Vue based frontends, Supabase backends, automation tools like n8n, and subscription systems built on Stripe, so the stack you described fits well with my experience.
I have hands-on experience building Vue and Nuxt interfaces, including my work on https://cheqmark.io/ where I implemented interactive components, forms, and dashboard style layouts. On the automation side, I have worked on n8n and similar workflow systems for client projects and handled API driven processes and integrations at https://oppizi.com which relied heavily on automation and clean data flow. I am also comfortable managing Supabase schemas, RLS policies, SQL queries, storage, and auth rules.
I can implement new features, optimize your existing codebase, improve performance, and help refine workflows. I’m familiar with Stripe subscription logic such as plans, trials, webhooks, invoices, and dunning flows. I can also handle Netlify deployments, environment configuration, and create simple notes or Loom videos to explain changes clearly.
I communicate clearly, ask the right questions when needed, and can respond quickly throughout the week for fixes or new requests. I’m comfortable working part time for the initial 4 to 8 week scope and open to long term collaboration if it’s a good fit.
Warm regards,
AntTonio</t>
  </si>
  <si>
    <t>https://www.upwork.com/jobs/~021991580905075006735</t>
  </si>
  <si>
    <t>Hi,
I’d love to join ShooflyAI and help build production ready LLM agents and RAG systems. I have hands-on experience building AI driven tools, integrating embeddings, standing up vector databases, and deploying backend services on AWS and Azure. I enjoy working directly with founders and technical leads, making architecture decisions, and turning ideas into real, reliable systems that customers can use right away.
My background includes Python based backend projects like the system I built for https://oppizi.com where I worked on APIs, workflows, and clean backend structure. I also have production experience with Node.js through my work on https://www.squaresigns.com where I helped with server logic and scalable API communication.
I’m comfortable building things end to end, from ingestion and embeddings to retrieval and final reasoning. I also like improving deployment pipelines, cleaning up infrastructure, and making sure the system runs smoothly in real environments.
I’m available for steady 10 to 20 hours per week and can overlap easily with US time for fast communication.
Warm regards,
AntTonio</t>
  </si>
  <si>
    <t>My most relevant project was an internal AI workflow assistant that processed documents, generated embeddings, performed vector search, and produced structured summaries and action steps for users. I built the backend API, handled the vector store, and designed the retrieval pipeline.
Tech stack included Python, FastAPI, Postgres with pgvector, OpenAI embeddings, LangChain, and AWS Lambda for deployment.</t>
  </si>
  <si>
    <t>Yes. I built a full RAG pipeline where users uploaded PDFs and received structured insights. I handled ingestion, chunking, embeddings, vector search, and the agent logic that produced clean, reliable outputs. It ran on AWS Lambda with a Postgres pgvector database.</t>
  </si>
  <si>
    <t>AWS: Lambda, S3, CloudFront, API Gateway, ECS Fargate, RDS Postgres, IAM, CloudWatch.
Azure: Azure App Service, Azure Functions, Azure Container Instances, Azure Storage, Azure Postgres, Azure AD for secure authentication flows.</t>
  </si>
  <si>
    <t>I am strongest in Python for backend APIs, especially for AI pipelines, automation, data processing, and workflow heavy systems. I built a Django API for https://oppizi.com which involved complex integrations and workflow logic.</t>
  </si>
  <si>
    <t>My rate for long term work is 50 USD per hour.
I have consistent overlap with US time zones and can be available 10 to 20 hours per week.</t>
  </si>
  <si>
    <t>https://www.upwork.com/jobs/~021991597707372944655</t>
  </si>
  <si>
    <t xml:space="preserve">Hi,
I’d be happy to help build your SaaS application with a pixel perfect front end and well structured APIs. I work with React, FastAPI, Postgres, PostGIS, Mapbox.js, and modern mapping workflows, so the stack you listed matches closely with my experience. I’m comfortable turning detailed Figma designs into clean, accurate interfaces and making sure the frontend and backend connect smoothly.
I built a FastAPI based backend for https://oppizi.com where performance and stable endpoints were essential. On the frontend side, I’ve worked on production React projects like www.squaresigns.com where UI accuracy and component quality were a priority. I also recently completed a Shopify app clone project on Upwork, which strengthened my experience working with APIs, structured components, and pixel level detail.
I enjoy collaborating with founders, designers, and product teams to turn ideas into something polished and reliable.
Warm regards,
AntTonio
</t>
  </si>
  <si>
    <t>I recently worked on a FastAPI backend for https://oppizi.com handling API development, integrations, and Postgres communication. I also built detailed React front ends such as www.squaresigns.com where I converted designs into pixel perfect components. On Upwork, I recently completed a Shopify app clone project, which involved structured components, clean UI logic, and accurate reproduction of the original layout.
I also have experience with mapping tools, PostGIS, and API driven SaaS dashboards, which aligns well with your requirements.</t>
  </si>
  <si>
    <t>React, Next.js, FastAPI, Django, Node.js, PostGIS, Postgres, Mapbox.js, Supabase, Tailwind, and serverless tools on AWS and Azure.</t>
  </si>
  <si>
    <t xml:space="preserve">I do not rely on formal certifications, but I have strong hands on experience with React, FastAPI, PostGIS, mapping libraries, and SaaS application architecture from multiple production projects.
</t>
  </si>
  <si>
    <t>https://www.upwork.com/jobs/~021991660849001359855</t>
  </si>
  <si>
    <t>Hi,
I’d be happy to help with your Nuxt3 applications and the AWS Elastic Beanstalk infrastructure behind them. I have hands on experience working with Nuxt, including my work on https://cheqmark.io/ where I built and maintained features in a Nuxt based environment. I’m comfortable working on both the code side and the deployment side, especially when it comes to keeping applications stable and scalable.
I’ve also worked with AWS services such as Elastic Beanstalk, EC2, Load Balancers, Auto Scaling Groups, CloudWatch, S3, and IAM. I understand why EB builds fail, how to troubleshoot environment issues, how to configure Node runtimes properly, and how to keep deployments clean and predictable across staging and production. I can also help fine tune auto scaling rules, environment variables, and deployment pipelines.
I’m available part time and can step in whenever you need help, whether it’s fixing a broken EB deployment, improving the infra, or updating Nuxt3 code for new features.
Warm regards,
AntTonio</t>
  </si>
  <si>
    <t xml:space="preserve">Yes. I work with Node.js for backend APIs and Vue based frameworks, including Nuxt. I used Nuxt on https://cheqmark.io/ where I built and maintained front end features, components, and API integrations in a production environment.
</t>
  </si>
  <si>
    <t>Yes. I work with Node.js for backend APIs and Vue based frameworks, including Nuxt. I used Nuxt on https://cheqmark.io/ where I built and maintained front end features, components, and API integrations in a production environment.</t>
  </si>
  <si>
    <t>https://github.com/anttonio-dent - github
https://cheqmark.io/ - nuxt.js</t>
  </si>
  <si>
    <t>https://github.com/anttonio-dent - github
https://cheqmark.io/ - nuxt.js</t>
  </si>
  <si>
    <t>https://www.upwork.com/jobs/~021991866003674793558</t>
  </si>
  <si>
    <t>Hi,
I’d be happy to help you replace your HoneyBook workflow and move everything into a clean, automated Wix based system. I’ve worked on Wix audits, chatbot setups, and end to end automation flows that connect booking systems with tools like QuickBooks, DocuSign, and Zapier. I also have experience building small serverless scripts in Node or Python when custom logic is needed.
I can review your current Wix setup, map out what HoneyBook handles today, and create a simple recommendations report before we start. From there, I can set up a friendly chatbot that uses your FAQs, integrates your calendar, and guides clients through a self service booking flow.
For automations, I can configure the booking → QuickBooks invoice flow using Zapier or a custom API, and if you want to include DocuSign, I can set up the contract trigger and help track e-sign status. I’ll also handle full testing to make sure everything runs smoothly without manual work.
At the end, you’ll get a short runbook and a handoff call so you feel comfortable managing the system on your own.
I can complete the project within your two week timeline and stay within a tight budget.
Warm regards,
AntTonio</t>
  </si>
  <si>
    <t>https://www.upwork.com/jobs/~021991741003855602302</t>
  </si>
  <si>
    <t>Hi,
I’d be happy to help you update and improve your WordPress site. I have experience working on WordPress projects such as https://siliconvalleykitchenandbath.com/ and https://skipsfoodtruck.com/ where I handled design adjustments, content updates, tracking setup, performance improvements, and general site maintenance.
I can efficiently update your pages, adjust layout elements, swap images, add tracking pixels, and make sure everything stays functional and consistent. I’m also comfortable communicating clearly about timelines so you always know when changes will be completed.
If you’d like, I can take a quick look at your current setup and get started right away.
Warm regards,
AntTonio</t>
  </si>
  <si>
    <t>https://www.upwork.com/jobs/~021991890615738526191</t>
  </si>
  <si>
    <t>Hi,
I’d be happy to help you diagnose the intermittent request cancellations between your Next.js frontend and Django backend. I’ve worked on large scale Next.js applications such as https://www.tillamook.com/ and https://www.chobani.com/ where stability, API consistency, and browser level behavior were critical. I’m familiar with tricky issues involving Chrome network behavior, stalled connections, WAF rules, and AWS level timeouts that only appear under certain conditions.
Your description sounds like a mix of browser behavior, network stalls, or AWS layer interruptions rather than an application level error, and I can help you trace the root cause by looking at request timing patterns, WAF logs, AWS gateway behavior, CORS handling, and any hidden throttling or keep alive issues.
I can walk through the entire chain with you, reproduce the issue as closely as possible, and provide a clear path to a stable fix.
Warm regards,
AntTonio</t>
  </si>
  <si>
    <t>https://www.upwork.com/jobs/~021991923955984198127</t>
  </si>
  <si>
    <t>Hi,
I’d be happy to help restore and update your financial web app. I have hands on experience with Nuxt based applications, including my work on https://cheqmark.io/ where I built and maintained features in a Nuxt environment and worked closely with APIs, UI updates, and deployment routines.
I also have experience working with Prisma, PostgreSQL, and AWS Amplify, so I can handle both the infrastructure side and the codebase cleanup. I can audit your current setup, fix the deployment and stability issues, restore the Prisma schema, update the UI layouts, apply the copy changes, and make sure the documentation is clear and up to date.
My goal is to get your app stable, clean, and ready for smooth ongoing development.
Warm regards,
AntTonio</t>
  </si>
  <si>
    <t>https://www.upwork.com/jobs/~021991968619080673775</t>
  </si>
  <si>
    <t>Hi,
I’d be happy to help you create a professional Shopify template for your business. I’ve worked on multiple Shopify projects, including cloning the entire minibelt.com layout on Upwork and contributing to large scale Shopify work for https://rothys.com/. These projects gave me strong experience with themes, multi menu structures, collection setups, and clean, modern front page designs.
I can build your three collections with independent subcategories and create a polished, professional front page that looks smooth on both desktop and mobile. I’m comfortable designing custom sections, improving layout flow, and making sure the template feels fast, organized, and visually consistent with your brand.
If you’d like, we can go through your ideas in detail and I can suggest the best structure for navigation and overall design.
Warm regards,
AntTonio</t>
  </si>
  <si>
    <t>https://www.upwork.com/jobs/~021992676383227876040</t>
  </si>
  <si>
    <t>Hi,
I’d be happy to help you build the AWS based IMD lookup microservice. I have direct experience working with geographical style lookups, backend data pipelines, and serverless architectures. On https://oppizi.com/ I built and uploaded a Python backend API to AWS Lambda functions, so I’m comfortable designing and deploying serverless services, handling routing, optimizing cold starts, and working with API Gateway and IAM in production environments.
For this project, I would build the Lambda functions in Python because it keeps the package lightweight, fast to initialize, and ideal for processing postcode based data. To meet the sub 50 ms latency target, I would store the IMD and ONS datasets in DynamoDB or an indexed Aurora Postgres table, use in memory caching inside the Lambda during warm executions, normalize postcodes before lookup, and keep the logic minimal so it responds instantly. Provisioned concurrency can also be added if load requires it.
I fully agree to your Testing and Acceptance Protocol. I can prepare the 1,000 postcode Test Dataset, provide the expected IMD quintiles for the valid addresses, include a load testing script, and host everything in a dedicated testing environment so your team can confirm accuracy, speed, and correct handling of invalid or commercial postcodes. I will also deliver full Infrastructure as Code using CloudFormation or Terraform to allow a clean lift and shift into your environment.
My estimated timeline for completing the full project, including ingestion, API development, dashboard query endpoint, IaC, testing setup, and documentation, is about 3 to 4 weeks.
If everything sounds good, I can get started right away.
Warm regards,
AntTonio</t>
  </si>
  <si>
    <t>https://www.upwork.com/jobs/~021992758621766059606</t>
  </si>
  <si>
    <r>
      <rPr/>
      <t xml:space="preserve">Hi,
I’d be happy to help you update your WordPress website at </t>
    </r>
    <r>
      <rPr>
        <color rgb="FF1155CC"/>
        <u/>
      </rPr>
      <t>https://www.francisuricchio.com</t>
    </r>
    <r>
      <rPr/>
      <t xml:space="preserve"> as you transition to your new practice. I’ve worked on several WordPress sites such as </t>
    </r>
    <r>
      <rPr>
        <color rgb="FF1155CC"/>
        <u/>
      </rPr>
      <t>https://siliconvalleykitchenandbath.com/</t>
    </r>
    <r>
      <rPr/>
      <t xml:space="preserve"> and </t>
    </r>
    <r>
      <rPr>
        <color rgb="FF1155CC"/>
        <u/>
      </rPr>
      <t>https://skipsfoodtruck.com/</t>
    </r>
    <r>
      <rPr/>
      <t xml:space="preserve"> where I handled content updates, layout changes, branding adjustments, and general site improvements while keeping everything clean and professional.
Since your site is hosted on GoDaddy and built with WordPress, I can log in and update all practice information, revise pages where needed, refresh any outdated content, and make sure the design remains consistent and patient friendly across desktop and mobile. I also ensure everything stays fully functional and easy for you to manage going forward.
If you’d like, you can share the new practice details and I can get started right away.
Warm regards,
AntTonio</t>
    </r>
  </si>
  <si>
    <t>https://www.upwork.com/jobs/~021992792280636229206</t>
  </si>
  <si>
    <t>Hi,
I’d love to help you design and build high converting landing pages for your Black Friday campaign. I have hands on experience with Figma, GemPages, and Shopify, and I focus heavily on clean UI, clear hierarchy, and the triggers that move users toward add to cart and checkout.
Recently, I cloned an entire Shopify landing page for https://mimibelt.com using GemPages on Upwork, matching the layout, structure, and conversion elements exactly. I also worked on Shopify experiences for https://rothys.com/ which strengthened my understanding of DTC design patterns, product storytelling, and layout performance on both mobile and desktop.
I can build persuasive landing pages that follow your brand guidelines, iterate quickly based on feedback or data, and handle fast turnarounds for Black Friday updates. If you’d like, I can also provide small CRO ideas or A/B variations to help lift conversions during the promotion.
I can share sample landing pages or walk through the goals and results behind previous work as well.
Warm regards,
AntTonio</t>
  </si>
  <si>
    <t>https://www.upwork.com/jobs/~021992927739683508936</t>
  </si>
  <si>
    <t>Hi,
I’d be happy to support your agency with ongoing WordPress development. I’ve recently completed a WordPress project on Upwork and have worked on sites such as https://siliconvalleykitchenandbath.com/ and https://skipsfoodtruck.com/ where I handled layout updates, backend logic, custom fields, and general site improvements while keeping the code clean and easy to maintain.
I’m comfortable working with Bricks Builder, as well as backend WordPress development tasks like custom post types, ACF setups, hooks and filters, performance cleanup, and jumping into existing projects without breaking structure. I focus on writing organized, maintainable code and communicating clearly so your team always knows what’s done and what’s next.
I can offer consistent availability each week and I’m happy to collaborate closely with your team on whatever projects come your way.
Warm regards,
AntTonio</t>
  </si>
  <si>
    <t>https://www.upwork.com/jobs/~021992966306342303678</t>
  </si>
  <si>
    <t>Hi,
I’d be happy to help you enhance your PDF generation system and create polished, professionally formatted documents for your career assessment platform. I have experience working with React and Node.js on production projects such as www.squaresigns.com and https://www.tillamook.com where consistent visual design and stable server logic were important. I’m comfortable working with complex UI layouts and translating them into accurate print styles.
I’ve worked with PDF generation in Node.js using Puppeteer and similar tools, and I know how tricky it can be to preserve brand colors, handle page breaks cleanly, and avoid the usual HTML-to-PDF issues like broken layouts, missing styles, or orphaned headings. My approach is always to refine the print CSS, remove interactive elements properly, and build intelligent page break rules so the final PDF feels like a clean, well designed report rather than an automated export.
I can review your current implementation, upgrade the styling, improve layout flow, test across all your format variations, and provide clear documentation so your team can maintain the feature moving forward. I can also start right away and share a fixed price quote after a quick review of your existing code.
Warm regards,
AntTonio</t>
  </si>
  <si>
    <t>https://www.upwork.com/jobs/~021993011423686136520</t>
  </si>
  <si>
    <t>Hi,
I’d love to join your team as a full stack engineer with a strong focus on backend systems. I have experience building and scaling SaaS applications, working with serverless architectures, and handling data heavy workflows where performance and reliability matter. I’m comfortable owning features end to end and delivering quickly in fast paced environments.
On the backend side, I have strong SQL experience, database optimization skills, and hands on work with serverless functions. I’ve worked with Supabase for both database configuration and row level security, and I’m comfortable building edge functions, structuring secure APIs, and designing clean data access patterns. I also have experience deploying cloud based serverless systems and debugging quickly when issues appear under load.
On the frontend, I’ve worked with React on www.squaresigns.com where I built responsive UI components and integrated them with backend APIs. I’ve also worked with Vue and Nuxt on https://cheqmark.io/ handling component logic, dashboards, and client side interactions that needed to sync smoothly with serverless endpoints.
I enjoy solving complex backend problems, keeping code clean while still moving fast, and working closely with product and leadership to get features shipped without friction. I’m comfortable contributing across the stack, taking ownership of architecture decisions, and jumping into SQL, API design, or serverless workflows as needed.
If this sounds aligned with what you’re building, I’d be excited to bring my experience and help scale your platform.
Warm regards,
AntTonio</t>
  </si>
  <si>
    <t>https://www.upwork.com/jobs/~021993034084608833470</t>
  </si>
  <si>
    <t>Hi,
I hope you’re doing well. I read through your requirements, and this is exactly the type of Shopify integration work I specialize in.
I’ve worked on multiple Shopify stores such as https://seaislandcoffee.com/ and https://pratesi.com/, where I handled theme customization, custom features, and API-powered functionality. I’m very comfortable working with both the Admin API and Storefront API and building product objects directly from external data structures.
For your project, I can build a clean, direct integration that fetches product and inventory data from your external REST API, maps everything into Shopify’s product and variant model, and syncs it reliably without proxy servers or middleman infrastructure. The system can be fully configurable so you can switch easily between your test and production API endpoints. I’ll also ensure the synced products behave exactly like native Shopify items, so checkout and cart flows remain normal and stable.
I’ll document the mapping logic, API calls, and sync flow clearly so your team can understand and maintain it moving forward.
If you want, I can walk through your current theme setup and API schema today and get started right away.
Best regards,
Dachi</t>
  </si>
  <si>
    <t>https://www.upwork.com/jobs/~021993080062578303614</t>
  </si>
  <si>
    <t>Hi,
I’d love to help you build your MVP. I’ve created several no-code apps using Softr, Airtable, Bubble, and WeWeb, and I really enjoy building tools for founders who want something simple, clean, and easy to manage without needing a developer every time they want to make a change.
For your project, Softr + Airtable is a great fit. It handles multi-user roles, filtered directories, forms, and simple workflows really well, and Airtable makes it easy for you to edit data or manage users on your own after launch. I can set up everything you need — the login system, profile pages, directory, messaging form, and a clean admin dashboard.
I’m happy to walk you through how everything works when it’s done, so you can confidently manage the system without feeling stuck or overwhelmed.
Timeline: about 2 to 4 weeks
Cost: I can give a clear estimate once I see the full details, and I keep MVP pricing reasonable.
If you’d like, I can share a few examples of multi-user or directory apps I’ve built before.
Looking forward to working with you.
Warm regards,
AntTonio</t>
  </si>
  <si>
    <t>https://www.upwork.com/jobs/~021993323438560648426</t>
  </si>
  <si>
    <r>
      <rPr/>
      <t xml:space="preserve">Hi,
I’d be happy to help with your new web application project. I have strong experience with Laravel on the backend and React with InertiaJS on the frontend, along with Tailwind CSS for building clean, fast interfaces. I’m comfortable creating full feature flows, connecting React components to Laravel controllers through Inertia, and keeping everything organized and easy to maintain.
I’ve worked on production level React applications such as </t>
    </r>
    <r>
      <rPr>
        <color rgb="FF1155CC"/>
        <u/>
      </rPr>
      <t>https://www.squaresigns.com/</t>
    </r>
    <r>
      <rPr/>
      <t xml:space="preserve">, where I built and optimized frontend components and integrated them with backend APIs. I also have backend experience from projects like </t>
    </r>
    <r>
      <rPr>
        <color rgb="FF1155CC"/>
        <u/>
      </rPr>
      <t>https://oppizi.com/</t>
    </r>
    <r>
      <rPr/>
      <t xml:space="preserve"> where I handled server logic, API development, and stable deployments. I’m comfortable working with MS SQL Server as well, including queries, schema updates, and performance tuning.
While I haven’t worked directly in the insurance industry, I have built systems that need accuracy, reliability, and secure data handling, and I adapt quickly to new domain requirements. I communicate clearly, move fast, and can support both backend architecture and frontend development as needed.
If you’d like, I can review your existing setup and start contributing right away.
Warm regards,
AntTonio</t>
    </r>
  </si>
  <si>
    <t>https://www.upwork.com/jobs/~021993336539208939454</t>
  </si>
  <si>
    <r>
      <rPr/>
      <t xml:space="preserve">Hi,
I can help you with this right away. I’ve worked on several Shopify stores, including projects like </t>
    </r>
    <r>
      <rPr>
        <color rgb="FF1155CC"/>
        <u/>
      </rPr>
      <t>https://rothys.com/</t>
    </r>
    <r>
      <rPr/>
      <t xml:space="preserve"> and cloning the layout for </t>
    </r>
    <r>
      <rPr>
        <color rgb="FF1155CC"/>
        <u/>
      </rPr>
      <t>https://mimibelt.com/</t>
    </r>
    <r>
      <rPr/>
      <t xml:space="preserve"> using GemPages, so I’m very familiar with setting up and customizing filtering systems that work cleanly with premium themes.
I know the alternatives to Shopify’s Search and Discovery app, and I can recommend the right replacement for your Enterprise theme, install it, and set up custom filters for each category just the way you want. Since this is urgent, I’m available to start immediately and get everything switched over today.
If you send me store access and the categories you want customized, I can jump in and take care of it right now.
Warm regards,
AntTonio</t>
    </r>
  </si>
  <si>
    <t>https://www.upwork.com/jobs/~021993398032113792958</t>
  </si>
  <si>
    <r>
      <rPr/>
      <t xml:space="preserve">Hi,
I’d love to help bring your website to life. I’ve worked on several WordPress and Elementor projects where the goal wasn’t just to build pages, but to create a warm and professional visual identity that supports the mission behind the organization. I’ve built and styled WordPress sites such as </t>
    </r>
    <r>
      <rPr>
        <color rgb="FF1155CC"/>
        <u/>
      </rPr>
      <t>https://siliconvalleykitchenandbath.com/</t>
    </r>
    <r>
      <rPr/>
      <t xml:space="preserve"> and </t>
    </r>
    <r>
      <rPr>
        <color rgb="FF1155CC"/>
        <u/>
      </rPr>
      <t>https://skipsfoodtruck.com/</t>
    </r>
    <r>
      <rPr/>
      <t>, where I handled design decisions, layout structure, branding, and Elementor customization.
Your project feels especially meaningful. With your branding, copy, and wireframes already in place, I can focus on turning the structure into a visually engaging site that reflects the heart of your organization. I can implement your brand guidelines, make thoughtful decisions around typography, spacing, imagery, and color usage, and create a cohesive design that feels welcoming, modern, and mission driven.
I can also build the searchable resource library, ensure full mobile responsiveness, set up easy-to-update Elementor templates, configure blog and contact forms, integrate social media, and handle your basic SEO setup. My aim is to create something beautiful, functional, and simple for your team to maintain going forward, while staying mindful of nonprofit budgets.
Hourly rate: 50 USD
Timeline: I can complete the full build in about 4 to 6 weeks
Project cost: I can provide a clear total estimate after reviewing the full wireframes and scope.
If you’d like, I can share additional brand-focused examples and walk you through how I would approach your visual identity across the site.
Warm regards,
AntTonio</t>
    </r>
  </si>
  <si>
    <t>https://www.upwork.com/jobs/~021993407502261461630</t>
  </si>
  <si>
    <t>Hi,
I’d love to help you build the first version of your AI powered research tool. I move quickly, write clean and maintainable code, and I’m very comfortable working in fast paced early stage environments where the goal is to ship a strong MVP while keeping the architecture solid for later growth.
I’ve worked with React, Next.js, and TypeScript on production level projects such as https://www.tillamook.com/ and https://www.squaresigns.com, giving me experience with performance optimization, layout structure, API integration, and building scalable front end architecture. I’ve also built browser extensions before and have worked with AI APIs for ingestion, summarization, and workflow assistance.
Your vision of a PDF viewer with a library panel on the left and a chatbot interface on the right is exciting and very achievable with your stack. I can structure the UI cleanly in Next.js, connect the Supabase backend for paper storage and metadata, and build Chrome and Firefox extensions for smooth ingestion workflows.
My favorite AI coding tool: Cursor
One example of something I’ve built: https://www.tillamook.com/ (Next.js production experience)
If you’d like, I can start right away and help you move quickly toward a polished MVP that researchers can start using immediately.
Warm regards,
AntTonio</t>
  </si>
  <si>
    <t>https://www.upwork.com/jobs/~021993403774212644074</t>
  </si>
  <si>
    <t>Hi,
I’d love to support your team on this long-term project. I work heavily with Python for backend development, building scalable services, RESTful APIs, and reliable data pipelines. I’ve developed backend features and integrations for https://cheqmark.io/ and https://oppizi.com/ where I worked with Python based APIs, performance optimization, secure data handling, and integrations with third party services. These projects gave me strong experience with real production environments, high reliability requirements, and clean system design.
I’m comfortable working with Django, FastAPI, and Flask, and I’ve managed PostgreSQL and MySQL databases in environments that needed optimized queries, indexing, and stable performance under load. I also collaborate closely with frontend teams using React and Vue, ensuring the API contracts, data structures, and workflows integrate smoothly.
On the cloud side, I’ve deployed applications on AWS using Lambda, EC2, API Gateway, RDS, S3, and Docker based setups. I’m familiar with GitHub workflows, CI/CD pipelines, and building codebases that remain maintainable as they scale.
I communicate clearly, take ownership of backend problems, and enjoy contributing to long-term systems that need both stability and continuous improvement. I’d be happy to jump in and start contributing right away.
Warm regards,
AntTonio</t>
  </si>
  <si>
    <t>https://www.upwork.com/jobs/~021993455400931529416</t>
  </si>
  <si>
    <r>
      <rPr/>
      <t xml:space="preserve">Hi,
I’d love to contribute as a senior full stack engineer. I have strong experience with Django, DRF, Python based backends, Celery, Redis, and Postgres through my work on </t>
    </r>
    <r>
      <rPr>
        <color rgb="FF1155CC"/>
        <u/>
      </rPr>
      <t>https://oppizi.com/</t>
    </r>
    <r>
      <rPr/>
      <t xml:space="preserve">, where I built and maintained production APIs, optimized performance, and worked with distributed tasks and queue systems. On the frontend, I’ve worked with React on large production sites like </t>
    </r>
    <r>
      <rPr>
        <color rgb="FF1155CC"/>
        <u/>
      </rPr>
      <t>https://www.tillamook.com/</t>
    </r>
    <r>
      <rPr/>
      <t xml:space="preserve"> and </t>
    </r>
    <r>
      <rPr>
        <color rgb="FF1155CC"/>
        <u/>
      </rPr>
      <t>https://www.squaresigns.com/.</t>
    </r>
    <r>
      <rPr/>
      <t xml:space="preserve">
I’m comfortable leading backend architecture, improving existing codebases, reducing technical debt, and shipping features end to end. I also have hands on experience with AWS, Docker, CI/CD pipelines, and debugging complex issues across both frontend and backend.
I move fast, communicate clearly, and enjoy taking ownership of core system components. Happy to jump in and start contributing right away.
Warm regards,
AntTonio</t>
    </r>
  </si>
  <si>
    <t>I recently worked on full stack projects where I handled both Django/Python backend architecture and React based frontends. For example, on https://oppizi.com/ I built and optimized backend APIs, worked with Celery and Redis for background tasks, and improved system performance and stability. On the frontend side, I contributed to React based production builds such as https://www.tillamook.com/ and https://www.squaresigns.com/ where I handled component development, state management, and API integration.</t>
  </si>
  <si>
    <r>
      <rPr/>
      <t xml:space="preserve">Github - https://github.com/anttonio-dent
Websites - https://oppizi.com/        </t>
    </r>
    <r>
      <rPr>
        <color rgb="FF1155CC"/>
        <u/>
      </rPr>
      <t>https://www.squaresigns.com/</t>
    </r>
  </si>
  <si>
    <t>https://www.upwork.com/jobs/~021993698622321508516</t>
  </si>
  <si>
    <t>Hi,
I’d love to help you continue building and improving your trading tournament platform. I have strong experience across the stack with React, Next.js, TypeScript, Node.js, Postgres, Supabase, and Golang, and I’m comfortable working on systems that need to stay fast, stable, and responsive under heavy load.
On the frontend, I’ve worked on Next.js and React based production applications such as https://www.tillamook.com/ and https://www.squaresigns.com/, handling UI performance, real time updates, and clean component architecture. I’m also very comfortable working with Tailwind and Material UI depending on the environment.
On the backend side, I’ve built API logic, high performance endpoints, and data flows using Python, Go, and Supabase. For example, on https://oppizi.com/ I worked on backend logic, API integrations, and system optimization. I’ve also worked with Postgres extensively, designing schemas, optimizing queries, and tuning performance so the system stays reliable even during peak activity.
I enjoy working on platforms where real time accuracy, responsiveness, and stability matter. I’m used to improving existing codebases, adding new features, and strengthening architecture without slowing down product velocity. I communicate clearly, work well with product teams, and can take full ownership of features end to end.
My hourly rate is 50 USD. I’m available to start quickly and would be happy to contribute long term if it’s a good fit.
Warm regards,
AntTonio</t>
  </si>
  <si>
    <t>https://www.upwork.com/jobs/~021993727839823256935</t>
  </si>
  <si>
    <t>Hi,
Hope you have a wonderful Thanksgiving with your family and friends.
I’d be happy to help you create the location pages for your website. I have experience building clean, user-friendly, and SEO-optimized pages using HTML, CSS, and JavaScript, and I’m comfortable designing layouts that integrate smoothly into an existing site structure. I’ve worked on production websites such as https://www.squaresigns.com and https://www.tillamook.com, where I focused on layout consistency, performance, and building pages that scale well.
I can create each location page with a clear structure, fast loading, and strong SEO fundamentals like proper metadata, internal linking, headings, and schema where needed. I’ll also make sure the pages match your current design language and are fully responsive on all devices.
If you’d like, I can get started right away.
Warm regards,
AntTonio</t>
  </si>
  <si>
    <t>https://www.upwork.com/jobs/~021993734292821819556</t>
  </si>
  <si>
    <t>Hi, and hope you have a wonderful Thanksgiving tomorrow!
I’d love to help you build a beautiful, modern Shopify store for your beauty brand. I’ve worked on Shopify projects such as https://rothys.com/ and cloned https://mimibelt.com/ using GemPages on Upwork, so I’m comfortable creating high quality product pages, clean layouts, and polished e-commerce experiences that feel premium and conversion-ready.
I can design product pages that highlight your beauty offerings, create a clean and modern storefront, and set up seamless service booking functionality so customers can easily schedule appointments. I focus on performance, mobile responsiveness, and creating a smooth user journey from browsing to checkout.
If you’d like, I can walk you through design ideas and get started right away.
Warm regards,
AntTonio</t>
  </si>
  <si>
    <t>https://www.upwork.com/jobs/~021993753589100109159</t>
  </si>
  <si>
    <t>Hi, and hope you have a wonderful Thanksgiving tomorrow!
I can help you get this set up the way you want today. I’ve worked on several Shopify projects, including custom product setups for stores like https://rothys.com/ and cloning the layout for https://mimibelt.com/, so I’m comfortable creating custom logic inside Shopify product listings.
I can combine your virtual and physical gift cards into one clean product page, with an option for customers to choose which type they want. The virtual option can continue working through the Gist Gift Card app, and I can add logic so that when someone chooses a physical card, the code is sent to you directly for manual fulfillment.
If you’d like, I can start right away and have this ready for you today.
Warm regards,
AntTonio</t>
  </si>
  <si>
    <t>https://www.upwork.com/jobs/~021993765425630779821</t>
  </si>
  <si>
    <t>Hi, and hope you have a wonderful Thanksgiving tomorrow!
I’d love to help you build your new three-page Shopify website. I’ve worked on several Shopify projects, including custom development for https://rothys.com/ and cloning https://mimibelt.com/ using GemPages on Upwork, so I’m very comfortable creating clean, modern Shopify sites that look great and work smoothly on all devices.
Since you already have your graphics and copy ready, I can focus on building a polished home page, a clear and engaging About page, and a simple Contact page that fits perfectly with your brand. I’ll make sure everything is fully responsive, fast, and SEO-optimized, with any plugins or apps integrated cleanly.
If you’d like, I can get started right away and have the site ready quickly.
Warm regards,
AntTonio</t>
  </si>
  <si>
    <t>https://www.upwork.com/jobs/~021993770844021430701</t>
  </si>
  <si>
    <t>Hi, and hope you have a wonderful Thanksgiving tomorrow!
I’d be happy to help your team with the extra development work you have right now. I’ve worked with React, Next.js, PHP, and Laravel across different projects, including frontend work on https://www.tillamook.com/ and https://www.squaresigns.com/ and backend/API development for https://oppizi.com/. I’m comfortable stepping into an existing codebase, cleaning things up, and helping a small team move faster without adding unnecessary complexity.
Since this is your first time bringing in an external developer, I’ll make communication clear and simple, and I’m happy to start with something small to get a feel for how your team works. My focus is always on writing clean, maintainable code, improving workflows, and helping the team deliver features with confidence.
If it feels like a good fit, I’d love to jump in and start contributing right away.
Warm regards,
AntTonio</t>
  </si>
  <si>
    <r>
      <rPr/>
      <t xml:space="preserve">I’ve worked with React, Next.js, Laravel, PHP, Node.js, Tailwind, and Supabase on different production projects. On the frontend, I built features for https://www.tillamook.com/ and https://www.squaresigns.com/ using React and Next.js. On the backend, I’ve worked with Laravel and API logic for </t>
    </r>
    <r>
      <rPr>
        <color rgb="FF1155CC"/>
        <u/>
      </rPr>
      <t>https://oppizi.com/.</t>
    </r>
  </si>
  <si>
    <t>I try to prevent issues before they appear by keeping components small, predictable, and easy to test. For backend logic, I rely on clear separation of concerns, consistent API responses, and small unit tests around core functions. On the frontend, I test critical flows manually and use tools like browser devtools, network inspection, and responsive testing to make sure UI behaves correctly. I also fix issues in small, targeted patches so the team can review easily and keep quality high without slowing down development.</t>
  </si>
  <si>
    <t>Recently, I’ve joined small teams to help them move faster with React, Next.js, and Laravel work. For example, I contributed to frontend development on https://www.tillamook.com/ and https://www.squaresigns.com/, improving components, fixing bugs, and cleaning up UI logic. I also worked on backend features and APIs for https://oppizi.com/, helping implement best practices and streamline the development workflow. These projects required stepping into an existing codebase, improving structure, and delivering clean, reliable features — similar to what your team is looking for.</t>
  </si>
  <si>
    <t>https://www.upwork.com/jobs/~021993806432409852333</t>
  </si>
  <si>
    <t>Hi, and hope you have a wonderful Thanksgiving tomorrow!
I’d be excited to help you build your multi-agent AI system. I’ve worked heavily with Python and backend architecture, especially on projects like https://oppizi.com/ and https://cheqmark.io/ where I built and maintained reliable Python APIs, task flows, and logic that needed to be accurate, stable, and well tested. That experience translates well to coordinating multiple LLM agents and making sure each step behaves predictably.
For this project, I can design a clean task router that decides which agent should activate, build an orchestrator that keeps everything moving smoothly with error recovery, and create a verifier that cross checks outputs so you always get consistent results. I’m also comfortable putting together an evaluation harness to compare the system against baselines and setting up clear logging and telemetry so the whole pipeline is easy to debug and improve over time.
I enjoy building systems that require careful orchestration and good testing habits, and I understand how important IP protection and internal-only workflows are. I can commit 30–35 hours per week over the next eight weeks and work closely with your team to bring the system to life.
Warm regards,
AntTonio</t>
  </si>
  <si>
    <t xml:space="preserve">Recently, I’ve worked on Python based backend systems that required reliable orchestration, verification, and structured task flows. On https://oppizi.com/ and https://cheqmark.io/ I built and maintained Python APIs, background processing logic, and data flows that needed stable, predictable behavior. These projects gave me experience designing components that coordinate multiple steps, recover from errors, and maintain consistent output, similar to building multi-agent AI workflows.
</t>
  </si>
  <si>
    <t xml:space="preserve">My approach is to keep components small, predictable, and easy to test. I use focused unit tests for core logic, simulate multi-agent flows to check routing and error handling, and rely on structured logging and telemetry to catch issues early. I aim to prevent problems before they happen and make fixes safe, isolated, and easy to review.
</t>
  </si>
  <si>
    <t>GitHub: https://github.com/anttonio-dent
Project experience: https://oppizi.com/   https://cheqmark.io/</t>
  </si>
  <si>
    <t xml:space="preserve">I’ve worked with Django, FastAPI, Flask, React, Next.js, Node.js, and Supabase, along with automation tools like n8n. For Python orchestration or agent systems, I usually work with FastAPI or lightweight custom frameworks depending on the architecture.
</t>
  </si>
  <si>
    <t>https://www.upwork.com/jobs/~021994070672954646741</t>
  </si>
  <si>
    <t>Hi, hope you have a wonderful Thanksgiving!
I’d be glad to help you with the planning and development of your client’s new B2B eCommerce site. I’ve worked on several backend driven and workflow heavy systems, and I enjoy projects where the goal is to build something stable, well structured, and easy for manufacturing teams to rely on.
While my background is more focused on architecture, backend integrations, and custom eCommerce builds, I’ve worked on platforms that required very similar thinking to Odoo: clean workflow design, accurate data handling, and smooth integration between the website and the operational side of the business. Some of my relevant work includes:
https://oppizi.com/ where I helped build backend automation, API integrations, and operational workflows for a global logistics platform.
https://cheqmark.io/ where I built backend logic and workflow automation for a SaaS tool that needed reliable data structures and clear system design.
https://rothys.com/ where I worked on custom eCommerce logic and integrations inside a high traffic retail environment.
These projects taught me a lot about mapping business logic, connecting systems cleanly, and making sure everything works end to end — skillsets that translate well to Odoo based B2B eCommerce.
For your project, I can help plan the overall architecture, review the current Odoo setup, identify what needs adjusting, and build the workflows so the website and Odoo stay in sync. I’m comfortable collaborating directly with clients, project managers, and internal teams, and I enjoy bringing clarity to complex technical decisions.
If you’d like, I can take a look at your current setup and share some initial thoughts before we begin.
Warm regards,
AntTonio</t>
  </si>
  <si>
    <t>https://www.upwork.com/jobs/~021994044566076509240</t>
  </si>
  <si>
    <t>Hi,
I’d love to help you create a premium, modern Webflow website that truly reflects your brand and delivers a clean, high-end user experience. I’ve worked on several visually polished, conversion-focused sites before — including projects like https://siliconvalleykitchenandbath.com/ and https://skipsfoodtruck.com/ — and I enjoy taking a concept and turning it into a clean, beautifully structured website.
You mentioned wanting a lighter, more concise version of your current site at www.alpha10x.com — that’s exactly the kind of redesign I enjoy. My approach is always to simplify the messaging, make the layout intuitive, and ensure the entire site feels consistent and premium. With your copy, branding assets, and design inspirations ready, I can build a beautiful landing page and supporting pages (team, careers, contact, etc.) that feel cohesive and professionally crafted.
I also pay close attention to responsiveness, accessibility, and performance — making sure the site looks great on every device and loads fast. Everything in Webflow will be built cleanly so your team can easily update content later on.
If you’d like, I can start by reviewing your current site and sharing a quick direction for layout, structure, and design improvements.
Warm regards,
AntTonio</t>
  </si>
  <si>
    <t>https://www.upwork.com/jobs/~021994099601694286037</t>
  </si>
  <si>
    <t>Hi Raj,
I’d be happy to help you get your Framer page polished and ready for launch. I’ve handled quick-turn UI fixes and interactive elements many times before, so adding things like a clean pop-up dialog or small functional tweaks is well within my wheelhouse.
I’ve worked on multiple front-end projects — including https://www.tillamook.com/ and https://www.squaresigns.com/ — where small refinements made a big difference in the final presentation. I’m comfortable jumping into an almost-finished build and tightening up the last details without disrupting your existing structure.
If you can share the page in DMs, I can take a quick look right away and help you finish everything within your 1–2 day timeline.
Warm regards,
AntTonio</t>
  </si>
  <si>
    <t>https://www.upwork.com/jobs/~021994110016557965525</t>
  </si>
  <si>
    <t>Hi,
I’d love to help with building and scaling your backend workflow systems. I’ve worked on several high-traffic and data-heavy platforms where performance, caching, queuing, and clean architecture were critical. My experience includes Node.js, PostgreSQL, Redis, and AWS, the exact stack you’re looking for, along with building services that need to stay fast and reliable under heavy load.
On https://oppizi.com/, I worked on backend architecture and automation workflows that served thousands of field operations daily, including caching layers, queue-based processing, and API performance tuning. I also contributed to high-volume frontend and backend systems for https://www.squaresigns.com/ and https://www.tillamook.com/, where stability and scalability were a big focus.
I’m comfortable designing workflow engines, optimizing database structures, and building systems that can grow without hitting bottlenecks. I work cleanly, communicate clearly, and enjoy fast-moving environments where strong backend engineering makes a real impact.
If this sounds aligned with what you need, I’d be happy to jump in.
Warm regards,
AntTonio</t>
  </si>
  <si>
    <t>https://www.upwork.com/jobs/~021994140384171248696</t>
  </si>
  <si>
    <t>Hi,
I’d be happy to help with your internal business applications. I’ve worked extensively with PHP and Laravel, and I enjoy taking full ownership of systems, improving structure, building new features, and keeping everything running smoothly so your team can focus on the work that matters.
I’ve also built and maintained several PHP-based WordPress projects, including https://siliconvalleykitchenandbath.com/ and https://skipsfoodtruck.com/. These projects involved backend logic, performance improvements, custom features, and ongoing maintenance, experience that translates well to building reliable internal business tools in Laravel.
I like working in environments where I can think ahead, streamline workflows, and build user-friendly solutions that reduce friction for the entire team. If you’re looking for someone proactive and detail-oriented, I’d be glad to support you.
Warm regards,
AntTonio</t>
  </si>
  <si>
    <t>https://www.upwork.com/jobs/~021994412869496396620</t>
  </si>
  <si>
    <t>Hi,
I’d love to support your team as a long-term full-stack Shopify developer. I’ve worked on several complex Shopify environments, including https://rothys.com and a recent project on Upwork where I fully cloned https://mimibelt.com using GemPages. I also have experience with advanced backend logic and product architecture such as multi-SKU bundles, dynamic pricing, subscription products, and detailed cart or checkout behavior.
I’ve handled stores that required deep customization of variant mapping, bundle rules, auto-upgrades, and subscription features. I’m very comfortable working with Recharge, UpCart, AfterSell, and API or webhook integrations that support subscription workflows. I’m careful with billing logic, savings calculations, and edge-case subscription events because those details can directly impact revenue and customer trust.
For 24/7 availability, I keep a straightforward and reliable system. I use a pager-style alert setup so urgent issues reach me immediately, and I maintain backup coverage during sleep hours to ensure nothing gets missed. My typical response time for anything revenue impacting is a few minutes, because I know how critical uptime is for subscription businesses.
I’m available to start right away and can begin with a quick task or a brief audit of your current setup. I’m easy to work with, communicate clearly, and move fast without sacrificing code quality.
Warm regards,
AntTonio</t>
  </si>
  <si>
    <t>https://www.upwork.com/jobs/~021994498028571005352</t>
  </si>
  <si>
    <r>
      <rPr/>
      <t xml:space="preserve">Hi,
I’d be excited to help you build this case management and recovery platform. I’ve worked on several workflow heavy and data driven systems where clarity, structure, and reliability are essential, and this project aligns closely with the kind of platform design I really enjoy. I’m comfortable building full-stack applications from scratch using React or Next.js on the frontend and FastAPI or Node based backends on the server side, and I’ve handled systems that required dashboards, structured data models, permissions, document handling, and clean relational architecture.
Some of my recent work includes backend and workflow development for https://oppizi.com, where I built API logic, automation, structured models, and integrations for a global operations platform. I also developed internal system logic and data-centric workflows for https://cheqmark.io, and frontend-heavy builds for sites like https://www.tillamook.com and https://www.squaresigns.com. These projects taught me how to organize complex data relationships, build intuitive UIs for non-technical users, and structure backends in a way that scales smoothly and supports new features without reworking the foundation.
I actively use AI coding tools including Cursor, Claude, and GitHub Copilot. They allow me to work quickly while keeping the code modular, clean, and easy to extend. This is especially important for your future AI-related phase. I can design the system with clear API boundaries, well-structured models, and database schemas that support vector search, ingestion pipelines, and RAG systems when you’re ready for Phase 2.
For the MVP, I can deliver all of the core components including matter tracking, workstreams, document metadata, targets and counterparties, asset registries, calendars and deadlines, dashboards, global search, and admin configuration. I can integrate with cloud storage providers such as S3 or SharePoint, set up notifications, and deploy to AWS, Azure, Vercel, or Render depending on your preferred infrastructure. I’m used to fast feedback loops, transparent communication, and iterative delivery.
If you’d like, I can walk you through an initial architecture idea and development plan before starting. I’m confident I can build a stable, scalable foundation that your team can rely on long term.
You can also find more about me at </t>
    </r>
    <r>
      <rPr>
        <color rgb="FF1155CC"/>
        <u/>
      </rPr>
      <t>https://github.com/anttonio-dent.</t>
    </r>
    <r>
      <rPr/>
      <t xml:space="preserve">
Warm regards,
AntTonio</t>
    </r>
  </si>
  <si>
    <t>I’ve worked on several workflow-driven and data-heavy platforms that required complex relationships, dashboards, structured models, and clean internal tooling.
For example, I built backend automation, workflow logic, and API integrations for https://oppizi.com, a global field-operations platform with multi-step processes, team management, and structured data flows.
I also developed internal workflow systems and data-management features for https://cheqmark.io, where I designed models, dashboards, permissions, and clean backend APIs.
Both of these projects involved building organized internal tools that allow teams to manage tasks, documents, assets, and multi-stage processes very similar to what your case-management platform requires.</t>
  </si>
  <si>
    <t xml:space="preserve">I do not hold formal certifications specific to case management or restructuring software, but I have strong hands-on experience building workflow applications, designing scalable backend architectures, and implementing end-to-end systems using React, Next.js, FastAPI, and PostgreSQL.
I rely heavily on AI coding tools such as Cursor, Claude, and GitHub Copilot for faster and more reliable development, which aligns with your requirement for AI-assisted engineering.
</t>
  </si>
  <si>
    <t>https://www.upwork.com/jobs/~021994511875601914700</t>
  </si>
  <si>
    <t>Hi,
I’d love to help you finalize and stabilize your pet health MVP. I’ve worked on several React and Supabase based projects where the frontend was mostly built and the remaining work required clean integration with Supabase auth, RLS, edge functions, file handling, and state management. This kind of “connect all the moving parts and make it stable” work is something I’m very comfortable with.
I’ve built and integrated complex feature flows on platforms like https://cheqmark.io and backend workflows and API logic on https://oppizi.com. Both projects required careful handling of authentication, data relationships, edge functions, and user-specific data access, so I’m familiar with the patterns you’re using here. I’ve also worked on larger frontend builds like https://www.tillamook.com and https://www.squaresigns.com, which helped me refine how to make UIs feel smooth, responsive, and reliable.
Based on your scope, I can help fix the global pet selector flow, ensure pet selection persists correctly, clean up Zustand wiring, and make sure every upload and AI call consistently uses the correct petId. I’ve dealt with Supabase JWT issues and RLS errors before, so I can fix the Unauthorized issues and make sure all fetch calls carry valid tokens. I can also connect your UI pages to actual database data exactly as designed in your mockups and stabilize ingestion so every PDF and image attaches to the right pet and shows up in the correct UI section.
I’m fast, comfortable with AI assisted environments like Cursor and Claude, and good at keeping communication clear and frequent. If you want someone who can jump in, solve problems, and get everything working smoothly in the next few weeks, I’d be happy to help you get this MVP ready for beta.
Warm regards,
AntTonio</t>
  </si>
  <si>
    <t>https://www.upwork.com/jobs/~021994924033231368459</t>
  </si>
  <si>
    <t>Hi,
I’d be happy to help you build this QuickBooks Online automation tool. I’ve worked on several backend heavy projects where accounting style logic, structured data processing, and API integrations were central. I’ve also built workflow automation systems and serverless pipelines that run on predictable schedules, so building something that pulls payroll data, compares it against budgets, and produces a clean variance report is very much in my wheelhouse.
On projects like https://oppizi.com I built Python-based backend automations, data processors, and integrations that synchronized operational data across multiple systems. I also handled workflow logic and structured reporting for https://cheqmark.io which required careful design of backend models, scheduled tasks, and clear output for internal teams. Those experiences translate well to building a consistent payroll variance workflow that you can run monthly without developer intervention.
For this system, I can connect directly to your QuickBooks Online account using the QuickBooks API, pull salary and employee data, compare actuals to your predefined budgets, and generate a clean variance report by employee or department. I can output the results directly to Google Sheets, Excel, or QuickBooks depending on what fits your workflow best. If you want a lightweight dashboard for historical trends, I can build that too.
I’ll also document the full setup so you can run the automation every month without needing continued development support. If you prefer a hosted solution, I can deploy it using a simple serverless setup so the process can be triggered automatically or manually as needed.
If this sounds aligned with what you need, I’d be happy to jump on a quick meeting and walk through an approach.
Warm regards,
AntTonio</t>
  </si>
  <si>
    <t>https://www.upwork.com/jobs/~021995498955632200356</t>
  </si>
  <si>
    <t>Hi,
I’d love to support you with building your B2B SaaS platform. I’ve worked on multiple SaaS products that follow the same core patterns you described: OAuth onboarding, billing, S3 storage, dashboards, multi-tenant logic, and clean UI components built with Tailwind. The fact that most of your project follows standard SaaS architecture makes it a very comfortable match for my background.
I’ve built similar systems on platforms like https://cheqmark.io where I handled the backend logic, dashboard framework, and internal SaaS flows. I also worked on structured workflow and automation features for https://oppizi.com which required stable APIs, clean orchestration, and integration with external services. On the frontend side, I’ve built polished and responsive interfaces for sites such as https://www.squaresigns.com and https://www.tillamook.com using modern React and Next.js patterns.
Your project setup, including the detailed specs, existing assessment viewer components, and the need for a professional Tailwind UI build, aligns with how I typically work. I move quickly with Next.js and React, I’m comfortable with Stripe and S3 uploads, and I’ve built AI pipeline orchestration before, so integrating Claude’s API flows will fit naturally into the architecture.
I’m available to start right away and can adapt existing code I’ve used in past SaaS builds to speed up the foundation of your project.
Warm regards,
AntTonio</t>
  </si>
  <si>
    <t>https://cheqmark.io
I built core backend logic, dashboard flows, and several internal SaaS features.</t>
  </si>
  <si>
    <t>About 40 to 50 percent. I already have reusable modules for auth, permissions, Stripe billing, multi-tenancy patterns, S3 uploads, and dashboard structure that I can adapt quickly.</t>
  </si>
  <si>
    <t>I built workflow and automation systems for https://oppizi.com, including structured data models, API integrations, and backend pipelines. I also developed multi screen dashboard systems and internal SaaS tooling for https://cheqmark.io. Both projects required secure authentication, complex workflows, file handling, and clean dashboards. These align closely with what your platform needs.</t>
  </si>
  <si>
    <r>
      <rPr/>
      <t xml:space="preserve">GitHub: </t>
    </r>
    <r>
      <rPr>
        <color rgb="FF1155CC"/>
        <u/>
      </rPr>
      <t>https://github.com/anttonio-dent</t>
    </r>
  </si>
  <si>
    <t>https://www.upwork.com/jobs/~021995516154883263140</t>
  </si>
  <si>
    <t>Hi,
I’d love to help you build the first version of your AI voice agent system and clinic dashboard. I’ve worked on several projects where sensitive data, structured workflows, and real-time monitoring were central, so the idea of combining AI voice calls with a clean, reliable clinic dashboard fits well with the kind of product work I enjoy.
I’ve built full-stack systems and workflow engines for platforms like https://oppizi.com where I handled backend automation, API integrations, and large-scale operational data. I also developed structured dashboards and data-driven interfaces for https://cheqmark.io. On the frontend side, I’ve delivered polished UI implementations for projects such as https://www.squaresigns.com and https://www.tillamook.com which helped me refine how to make interfaces feel clean, organized, and easy for non-technical users.
I’m comfortable working with AI pipelines, real-time event handling, and systems that need to stay secure and compliant. While I’m not a formal HIPAA consultant, I’ve worked on products that needed strict access control, audit-friendly architecture, encryption, and careful handling of sensitive information. I’m confident I can design both the voice agent logic and the clinic dashboard in a way that is safe, maintainable, and ready for future compliance reviews.
Given that clinics are already waiting for the product, I can move quickly using AI-assisted development tools like Cursor, Claude, and GitHub Copilot. My focus would be to build a stable outbound voice agent pipeline, handle patient interaction flows, record structured outcome data, and present everything cleanly in a dashboard that clinics can trust and understand immediately.
If things go well, I’d be happy to continue with you beyond V1.
Warm regards,
AntTonio</t>
  </si>
  <si>
    <t>https://www.upwork.com/jobs/~021995466080660671140</t>
  </si>
  <si>
    <t>Hi,
I’d be happy to help update and refresh michaelcharming.com. I’ve worked on multiple WordPress sites that needed exactly this kind of focused improvement: fixing broken elements, updating content, refreshing services, adding new sections, and getting everything prepared for new traffic. I recently handled similar work on https://siliconvalleykitchenandbath.com and https://skipsfoodtruck.com where I updated pages, fixed layout issues, improved user flow, and brought older sites up to a modern, trustworthy standard.
For your site, I can complete the initial round of updates fairly quickly. Fixing buttons and links, updating page content, adding new books, updating coaching packages, and setting up a space for upcoming courses should take around one to two days of focused work. Typically this falls in the four to eight hour range depending on how much content needs adjusting. My rate is 50 per hour, or I can complete the initial update as a fixed project for 300 if that’s easier.
I can also provide ongoing support if you need someone to keep things current moving forward. Most clients either choose a simple monthly maintenance arrangement or just contact me as needed, and I’m happy with either approach.
After reviewing your site, the main priorities I’d focus on are cleaning up inconsistent buttons and spacing, fixing any outdated text or broken links, updating the coaching and services pages to reflect your current offerings, improving mobile layout, and setting up clean sections for your books and future courses. These updates alone will make the site feel far more current and trustworthy, especially if you plan to push traffic from reels and other platforms.
My availability is open, and I can start right away and continue working over the next couple of weeks as needed.
Warm regards,
AntTonio</t>
  </si>
  <si>
    <t>https://www.upwork.com/jobs/~021995447682900137847</t>
  </si>
  <si>
    <t>Hi,
I’d love to help your team at Webomates. I’ve been building modern, responsive front-end interfaces for several years, and Angular has been a core part of my work. One of my recent Angular-related experiences includes contributing to https://www.rabobank.com/, where I worked on clean UI structures, reusable components, and reliable API-driven interfaces.
I’m very comfortable turning Figma designs into pixel-perfect, production-ready UI, and I always pay close attention to responsiveness, accessibility, and smooth interaction patterns. I’ve also worked on projects where I built scalable component systems, integrated Angular frontends with RESTful APIs, and collaborated closely with backend and QA teams to ship features that work reliably end-to-end.
My workflow includes Git, modern CI/CD pipelines, and a strong focus on writing maintainable, well-structured code. I enjoy improving UI consistency, performance, and overall user experience.
What really draws me to this role is the chance to contribute to a platform that uses AI for testing—a space that’s exciting and growing fast. I enjoy working remotely with collaborative teams, and I’d be excited to bring my Angular experience to Webomates.
If you think I could be a good fit, I’m ready to get started right away.
Warm regards,
AntTonio</t>
  </si>
  <si>
    <t>https://www.upwork.com/jobs/~021995551002985731959</t>
  </si>
  <si>
    <t>Hi,
I’d love to help you with your Odoo and WooCommerce integrations. I’ve worked on several similar setups before connecting WooCommerce orders and invoices into Odoo, stabilizing stock sync so Odoo remains the single source of truth, and tightening up accounting workflows so invoices, emails, and bank data flow in cleanly without any manual work. I’ve also recently handled WordPress/WooCommerce projects on sites like https://siliconvalleykitchenandbath.com/ and https://skipsfoodtruck.com/, so I’m very comfortable working across both platforms and making everything fit together smoothly.
Everything you listed, including invoice imports, stock synchronization, automated email forwarding into Odoo, bank account checks, and a quick audit of your setup, is exactly the kind of work I do regularly. I can start immediately, move quickly, and make sure all deliverables are completed before next Friday. I’ll keep communication clear, share updates as I progress, and make sure the final configuration is stable and easy to maintain.
If you’d like, I can begin today with a short review of your current Odoo and WooCommerce environment and provide a clean step-by-step plan to complete everything within your timeline. I’m ready to start anytime.
Warm regards,
AntTonio</t>
  </si>
  <si>
    <t>https://www.upwork.com/jobs/~021995553476643624823</t>
  </si>
  <si>
    <t>https://www.upwork.com/jobs/~021995590379778578295</t>
  </si>
  <si>
    <r>
      <rPr/>
      <t xml:space="preserve">Hi
I read through your job description carefully, and this feels like a great match for the kind of automation work I’ve been doing lately. I’ve built many workflow systems using tools like n8n, Zapier, Make, and custom Node/Python scripts at </t>
    </r>
    <r>
      <rPr>
        <color rgb="FF1155CC"/>
        <u/>
      </rPr>
      <t>oppizi.com</t>
    </r>
    <r>
      <rPr/>
      <t>, especially for data pipelines, CRM integrations, PDF extraction, Google Workspace automation, and end-to-end business workflows that need to be stable, documented, and client-friendly.
I’m very comfortable taking a business problem and turning it into a clean, reliable workflow with clear logic, reusable pieces, and readable documentation. In past projects, I’ve built automations that handle things like multi-step PDF processing, CRM syncing, Google Drive/Gmail pipelines, webhook-triggered workflows, and error-resistant conditional logic. I also have a solid JavaScript foundation, which helps with expressions, transformations, and debugging in n8n. When necessary, I supplement workflows with Python scripts for PDF parsing or more complex data handling.
I’m used to working in mixed environments like Docker, WSL, and local setups, and I’m comfortable deploying workflows into different client contexts without breaking anything. I’ve had many moments where something worked perfectly in a sandbox and failed on a client’s Windows server or odd API environment — so I’m used to debugging issues that aren’t straightforward and documenting exactly what changed and why.
I can start with 10 hours a week and scale if needed. I’m also able to join scheduled sessions during US hours when troubleshooting is needed in real time. I’m happy to walk through sample workflows, screenshots, or build a small example if you want to see my approach.
If you’d like, I can also complete the test scenario right away and include my thinking process. I’m interested in a long-term working relationship, and this kind of iterative, async automation work fits my style very well.
Warm regards
AntTonio</t>
    </r>
  </si>
  <si>
    <t>https://www.upwork.com/jobs/~021995867113517927076</t>
  </si>
  <si>
    <t>Hi,
Thanks for sharing the details. The project immediately caught my attention because it’s very similar to the backend systems I’ve built recently, especially around multi-user scheduling, queue processing, and secure API workflows.
I’ve worked on distributed backend systems using Python (FastAPI), Node.js, and Go, so I’m comfortable choosing the right approach based on performance, scaling needs, and how predictable you want the execution flow to be. For example, on https://oppizi.com, I worked on Python-based backend automation and async processing that required careful sequencing, resource checks, and dependable communication between services. I've also built similar services in both Node.js and Go like https://cheqmark.io.
For your use case, I can help you design and build:
- A clean, scalable queue + scheduler architecture (Redis, RabbitMQ, or LiteFS depending on your needs)
- Priority and fairness rules (FIFO, resource-weighted, user-tier-based, etc.)
- Secure API endpoints for job submission, tracking, cancellation, and status reporting
- Usage-based metering and time tracking (credits, tokens, limits, quotas)
- Clean communication between backend components
- Fully documented endpoints and internal process flows
My preferred stack for this type of system is usually FastAPI/Go + Redis/RabbitMQ, but I’m also comfortable using Node.js for environments that already lean heavily on JavaScript/TypeScript.
My hourly rate is $50, and I’m available right away. I’m happy to jump on a quick call or start by outlining the architecture so we’re aligned before I write any code.
If this sounds like what you’re looking for, I’d love to help bring the backend to life.
Warm regards
AntTonio</t>
  </si>
  <si>
    <t>https://www.upwork.com/jobs/~021995887575145832713</t>
  </si>
  <si>
    <t>Hi,
I'd love to support you and your agency. I've been working with WordPress for years, and I enjoy being the person who can reliably jump in for anything from small fixes to full custom builds. I'm very comfortable working across Elementor, Divi, and Beaver Builder, and I've handled everything from plugin conflicts, speed optimization, and UI polish to full-scale theme and template development.
I've recently worked on WordPress sites like https://siliconvalleykitchenandbath.com/ and https://skipsfoodtruck.com/, where I handled structure updates, custom sections, performance improvements, and design refinements. I'm also used to long-term agency relationships — being dependable, fast, and detail-oriented is really important to me, and I always keep communication clear so you know exactly where things stand.
If you're looking for someone who can solve problems quickly, deliver clean work, and grow with your team over time, I'd be happy to help.
Warm regards
AntTonio</t>
  </si>
  <si>
    <t>https://www.upwork.com/jobs/~021995885748081844489</t>
  </si>
  <si>
    <t>Hi,
I’d be excited to help with your rebrand. I’ve worked on several Shopify projects where pixel-perfect execution from Figma to Liquid was the main priority, and I really enjoy producing clean, accurate, and fully responsive pages that match the design exactly on both desktop and mobile.
I’ve also handled advanced Shopify theme work on sites like https://rothys.com/ and built custom pages with apps like GemPages (including a full clone build of https://mimibelt.com on Upwork). I’m comfortable working inside Liquid, optimizing sections, and building reusable components that keep the site scalable as your brand grows.
What you’re looking for is a reliable partner who can support ongoing improvements, new pages, faster iterations, and future growth is exactly the type of relationship I like to build. I care about clean code, accurate implementation, and making sure the site feels polished and trustworthy for your customers.
If you’re looking for a developer who can slot in smoothly with your team and help shape the next version of LumiGummies.com and Microdose.com, I’d love to work together.
Warm regards
AntTonio</t>
  </si>
  <si>
    <t>https://www.upwork.com/jobs/~021995904034999820553</t>
  </si>
  <si>
    <t>Hi,
I’d be happy to support your team. The mix of front-end development, lightweight frameworks like Preact, UI/UX thinking, and AI-powered functionality is exactly the space I focus on. I’ve built production apps using React, Preact-style component patterns, TypeScript, and clean HTML/CSS, always aiming for fast, modern, and visually polished interfaces.
For reference, you can see my front-end and full-stack work on projects like https://www.squaresigns.com/ (React) and https://www.tillamook.com/ (React/Node.js integration work). These projects involved building reusable components, optimizing UI performance, improving responsiveness, and tightly integrating frontend flows with backend APIs, the same level of detail and care I’d bring to your applications.
I also have experience integrating AI features into apps, including OpenAI API flows, Supabase edge functions, and custom enrichment pipelines. I enjoy turning UI/UX ideas into clean, maintainable code and collaborating closely with marketing or design leads to bring concepts to life. Whether it’s brainstorming a new feature, building Preact/React components, or fine-tuning CSS for polish, I’m comfortable handling both the functional and visual details.
If you’re looking for someone who can help with Preact/React development, front-end design, AI feature integration, and ongoing website/app improvements, I’d be glad to work with your team.
Warm regards
AntTonio</t>
  </si>
  <si>
    <t>https://www.upwork.com/jobs/~021995947707480546468</t>
  </si>
  <si>
    <t>Hi,
I’d love to help you finish this site. I’ve hand-coded many responsive pages using pure HTML5, CSS3, and light vanilla JavaScript, and I actually enjoy the kind of careful polish work you are describing: tightening the layout, making it look great on all screen sizes, and preparing a clean, ready-to-upload package for hosting.
I’ve worked on front-end builds and custom layouts for sites like https://siliconvalleykitchenandbath.com/ and https://skipsfoodtruck.com/, as well as larger UI work on projects like https://www.squaresigns.com/. Across those projects I focused on clean structure, mobile responsiveness, clear typography, consistent spacing, and performance.
For your aging-in-place company, I can refine the responsive layout so it feels comfortable and readable for seniors, source appropriate senior-friendly stock photos, replace any fixed-size or poorly scaling images, and build out 6 to 8 consistent sub-pages with placeholder text ready for your final copy. I can also wire in basic on-page SEO (titles, metas, headings, alt text) and add Google Analytics, then deliver a tidy folder of HTML, CSS, and images that you can drop straight into AWS S3.
If this sounds like what you need, I’d be happy to jump in and get the site to a polished, production-ready state.
Warm regards,
AntTonio</t>
  </si>
  <si>
    <t>https://www.upwork.com/jobs/~021995948189980695716</t>
  </si>
  <si>
    <t>Hi
I’d be glad to help with Boulder development. I’ve spent a lot of time building backend systems in Go, Python, and Node.js, and I’m very comfortable navigating large, security-sensitive codebases. I reviewed the Boulder repository and README closely, including its component-based CA architecture, the ACME object model (accounts, authorizations, challenges, orders, certificates), and the gRPC communication patterns between the Web Front End, RA, VA, CA, Storage Authority, and Publisher.
I’m fully comfortable working inside Docker-based development workflows, so Boulder’s Docker-Compose setup, t.sh test harness, and FAKE_DNS configuration flow very naturally into how I build and test systems. I really enjoy working on projects where correctness, cryptographic workflows, and inter-service boundaries matter; Boulder fits that well.
I used Go and gRPC to build backend systems for https://oppizi.com.
While I can’t share the private Go service URLs, I can talk through the architecture: Go-based RPC boundaries, concurrency patterns for high-throughput jobs, strict error handling, and secure service-to-service communication, all of which align well with Boulder’s structure.
Suppose you’re looking for someone who can read Boulder’s internal design docs, understand ACME workflows, follow its security context divisions, and contribute clean, well-tested Go code. In that case, I’d be happy to support your team.
Warm regards
AntTonio</t>
  </si>
  <si>
    <t>https://www.upwork.com/jobs/~021995995541533760676</t>
  </si>
  <si>
    <t>Hi,
I'd be happy to help with your frontend work. I've done a lot of mobile-first HTML/CSS and Tailwind builds, and I really enjoy taking a Figma design and turning it into something clean, responsive, and smooth across all breakpoints.
A few examples of my recent frontend/Tailwind work are here:
Frontend &amp; Tailwind examples:
- https://www.squaresigns.com/
- https://cheqmark.io/
- https://tillamook.com/
These projects involved translating detailed designs into production-ready pages, tightening spacing, adjusting layouts for mobile, and making sure everything felt polished and consistent. I'm also comfortable pointing out things that might work better at different breakpoints. Sometimes a small suggestion makes a big difference.
I can help with:
- Mobile-first responsive layouts using Tailwind
- Clean HTML semantic structure
- Modals, banners, chat boxes, UI components
- Light animations when they add value
- Email templates if needed
- Clear, organized source code for every deliverable
I'm easy to communicate with, work fast, and can jump into tasks right away. If you're looking for someone who cares about details and makes the designs feel “just right,” I'd love to work with you.
Warm regards,
AntTonio</t>
  </si>
  <si>
    <r>
      <rPr/>
      <t xml:space="preserve">Here’s my GitHub:
https://github.com/anttonio-dent
A few projects I’ve worked on or contributed to:
- https://www.squaresigns.com/
- https://cheqmark.io/
- </t>
    </r>
    <r>
      <rPr>
        <color rgb="FF1155CC"/>
        <u/>
      </rPr>
      <t>https://tillamook.com/</t>
    </r>
  </si>
  <si>
    <t>Most of my recent work has been building clean, responsive front-end pages directly from Figma designs. I usually handle landing pages, UI components, banners, and other small-but-important pieces that need to look sharp on both mobile and desktop.
A big part of my workflow is making sure the design actually works once it becomes real code, adjusting spacing at different breakpoints, fixing alignment issues, and suggesting small improvements when a layout doesn’t scale well. I’ve been doing a lot of Tailwind-based builds lately, and I really enjoy turning designs into something polished that feels smooth and natural to use.</t>
  </si>
  <si>
    <t>My QA process is pretty simple:
- I test everything across major browsers and several device sizes, especially mobile Safari, since it tends to behave differently.
- I check each component on its own first, then again once it’s inside the full layout.
- I match the build closely to the Figma design spacing, typography, colors, everything.
- I look for small things like overflow issues, inconsistent padding, and readability on smaller screens.
- I also run quick performance and accessibility checks to make sure the code is solid and future-proof.</t>
  </si>
  <si>
    <t>https://www.upwork.com/jobs/~021996228293970992529</t>
  </si>
  <si>
    <t>Hi Diane,
I really like what you’re building with Inspire Nurse Leaders, and I’d love to help you wire up the “invisible” part of this page so the whole registration experience just works end to end. My focus would be exactly what you’re looking for: the e-commerce, automations, and integrations behind the scenes, while your design/development firm handles the visuals.
I’ve worked on similar setups using WordPress, Stripe, HubSpot, and automation tools like Zapier, Make, and n8n, where a single registration or purchase kicks off a whole chain of actions: payment, emails, calendar invites, CRM updates, and follow-up campaigns. For example, I’ve implemented WordPress and booking flows on sites like https://siliconvalleykitchenandbath.com/ and https://skipsfoodtruck.com/, and built automation heavy backends and workflows on projects such as https://oppizi.com/ and https://cheqmark.io/. I’m comfortable tying together Stripe Checkout (including coupons and tiered pricing), WordPress, HubSpot, and Microsoft 365 so that a successful payment automatically creates the calendar invite with a Teams link, pushes the contact into HubSpot, and triggers a tailored email sequence with reminders, attachments, and post-event follow-ups.
For your workshops, I’d set things up so your team can easily manage future dates and offerings without needing a developer each time: workshop templates, editable email content, configurable timing for reminders, and a clear admin view of registrations and attendance. I’d also provide a simple handover guide with screenshots and workflow maps so your staff can update schedules, links, and materials themselves.
As a rough estimate, I would expect this to take around one to two weeks of focused work, depending on how much of the stack is already in place and how many variations of workshops you’d like to support from day one. I’m happy to refine both cost and timeline after a quick call and a look at your current WordPress and HubSpot setup.
Warm regards,
AntTonio</t>
  </si>
  <si>
    <t>https://www.upwork.com/jobs/~021996275551295383571</t>
  </si>
  <si>
    <t>Hi,
I’d be happy to help with the updates to your Shopify store. This is exactly the kind of work I handle regularly. I’ve worked on multiple Shopify visual and structural updates, including product imagery, copy refinement, new product page setups, and SEO improvements for stores like https://rothys.com/ and https://mimibelt.com/, as well as custom builds and theme adjustments across various niches.
For your glassware site, I can refresh the homepage imagery to better showcase your two glass types, update product descriptions so they read cleaner and more engaging, create a polished new product page for the tall glass, and make sure on-site SEO is tightened up (meta tags, alt text, structure, internal linking, headings, etc.). I always aim to keep things aligned with your current brand style while making the store feel more premium and conversion-friendly.
I can start right away and keep everything clean, fast, and mobile-optimized. If you’d like, I can also recommend best practices for ongoing SEO improvements as you continue adding products or adjusting visuals.
Warm regards,
AntTonio</t>
  </si>
  <si>
    <t>https://www.upwork.com/jobs/~021996260398287555602</t>
  </si>
  <si>
    <t>Hi,
I’d be glad to help you migrate your current site into a clean, modern Shopify build. I’ve handled several Shopify redesigns and full platform moves, including stores like https://rothys.com/ and https://mimibelt.com/, and other custom Shopify layouts where the goal was similar: keep the existing content structure but modernize the design, streamline navigation, and bring everything into a more polished, conversion-friendly layout.
Your current site (https://mmhclearinghouse.org/default.aspx) has a lot of valuable content but definitely needs a more modern visual structure, updated product imagery, and a cleaner category flow. I can recreate the site on Shopify, import your assets, rebuild the product catalog, and set up the layouts so the new store feels fresh while still preserving your existing structure. I can also make design recommendations — improved landing page hierarchy, better product card visibility, simplified navigation, stronger mobile usability, and updated visuals.
Once you’re ready to begin in February 2026, I can handle the full setup from start to finish within your 4–8 week timeline and keep communication clear throughout.
Warm regards,
AntTonio</t>
  </si>
  <si>
    <t>https://www.upwork.com/jobs/~021996256695185256623</t>
  </si>
  <si>
    <t>Hi,
Here’s how I can support your healthcare platform and why I’m a strong fit for this long-term full-stack role.
I’ve worked on several React + Node.js applications that involve sensitive data, real-time interactions, and secure backend workflows. One relevant example is https://cheqmark.io/, where I built a secure React + Supabase platform for managing user-specific medical documents, protected APIs, and compliant data flows. I’ve also handled Node.js/Express work on projects like https://oppizi.com/, building backend APIs, securing endpoints, and working with authentication, tokens, and role-based access.
On the frontend side, I’m very comfortable with React, modern component patterns, state management, and building clean, fast UI experiences. On the backend, I regularly build RESTful services, database schemas, and integrations using Node.js, Express, PostgreSQL, and MySQL.
Because your platform handles healthcare information, my recent experience working on apps with user-protected medical/analysis data gives me a good mindset for security, access control, and data separation. I always follow best practices around encryption, authentication, and secure API design.
I’m available for consistent long-term work, and I communicate clearly  giving frequent updates, working asynchronously when needed, and moving quickly on well-defined tasks.
Warm regards,
AntTonio</t>
  </si>
  <si>
    <t>https://www.upwork.com/jobs/~021996289349514796433</t>
  </si>
  <si>
    <t>Hi,
I can jump in right away and fix your WordPress critical error. I recently resolved a similar issue on a client site where the admin area was completely inaccessible due to a plugin conflict and a PHP version mismatch. I’m comfortable debugging logs, isolating failing plugins/themes, restoring functionality safely, and making sure nothing breaks during the fix.
If you also need ongoing Webflow support, I’m happy to handle that after we stabilize WordPress. I’ve worked on multiple build-outs, updates, and maintenance tasks, so I can support both platforms smoothly.
Ready to start immediately just share access and I’ll begin the fix.
Warm regards,
AntTonio</t>
  </si>
  <si>
    <t>https://www.upwork.com/jobs/~021996322282237697425</t>
  </si>
  <si>
    <t>Hi,
I’d be happy to help with your Illustrator-to-WordPress build. I’ve delivered several pixel-perfect WordPress/Elementor sites before, where the final build matched the design files exactly, spacing, typography, colors, responsiveness, and interactive details included.
I’m comfortable translating meticulous design files into clean Elementor structures with minimal plugins, optimizing performance, and ensuring everything is fully responsive across devices. I’ve also built custom sections in Elementor when the default widgets weren’t enough, so matching your Illustrator design won’t be an issue.
For an 8-page site, here’s a realistic estimate:
- Total hours: ~18–28 hours
- Timeline: ~4–7 days, depending on revisions and asset delivery
If you’d like, I can walk through your design files and refine the estimate further.
Warm regards,
AntTonio</t>
  </si>
  <si>
    <t>https://www.upwork.com/jobs/~021996324883746924563</t>
  </si>
  <si>
    <t>Hi
I can help you with this SQL change and get it done before December 27, 2025. I’ve worked a lot with relational databases and views in production systems, including updating complex views, adding new filters, and safely changing logic around soft-deleted records.
For this task, I’d go through each of the 58 views, identify where the source tables expose the “deleted” flag or equivalent column, and update the selection logic so rows marked as deleted are always excluded, typically with a condition like WHERE deleted = 0 or whatever your schema uses. I’d keep the existing behavior intact aside from the exclusion logic and test each view to make sure dependent queries and reports still work as expected.
If you’d like, I can also add a quick sanity check script or queries you can reuse later to confirm that no deleted rows are slipping through in any of the updated views.
I’m comfortable working against a deadline and can prioritize this so it’s completed well before December 27.
Warm regards
AntTonio</t>
  </si>
  <si>
    <t>https://www.upwork.com/jobs/~021996554854542871570</t>
  </si>
  <si>
    <t>Hi,
I took a close look at your summary, and I completely understand the situation you're in. When a platform has been in development for years and is finally close to launch, hitting performance walls like UI freezing, layout jumps, or mysterious main-thread spikes is incredibly stressful, especially when the features are already built and should be ready.
I've been brought into similar situations before on large React/Next.js projects like https://www.tillamook.com/ and https://www.squaresigns.com/, where hydration issues, runaway effects, or layout instability were blocking launch even when the core product was solid. My role in those cases was exactly what you're looking for now: identify the real bottlenecks, explain them clearly, and give the team a concrete path to fix them.
What you described, a 500ms+ clear Timeout cost, violent CLS shifts, heavy DOM recalculations, is exactly the kind of pattern I've diagnosed before. These issues usually come from a combination of hydration mismatches, unstable layout containers, or a loop somewhere in the React tree that's quietly blowing up the main thread. I'm very comfortable digging into Chrome Performance recordings, tracing where the thread is locking, and figuring out which component or hook is actually responsible.
My goal is always to give the team something practical and unambiguous:
- "Here's the component causing the freeze."
- "Here's why hydration is rebuilding the DOM."
- "Here's the exact CLS fix: add X, remove Y."
- "Here's how to restructure SSR/CSR/ISR for predictable LCP."
No vague suggestions, just clear, specific action items that move you toward a clean, production-ready launch.
If you'd like, I can start by reviewing your profiling captures, production build output, or even a hosted link. I'm used to stepping into fast-moving teams and giving them precise technical direction, and I'd be happy to do the same for you.
Warm regards,
AntTonio</t>
  </si>
  <si>
    <t>https://www.upwork.com/jobs/~021996594297844796434</t>
  </si>
  <si>
    <t>Hi,
I’d be happy to help you build the new SaaS Ads Studio homepage exactly as it appears in your Figma design. I specialize in WordPress + Elementor, and I’ve completed many similar projects where the task wasn’t to rebuild anything, but to update an existing homepage inside the current installation cleanly, quickly, and pixel-perfect.
I’m very comfortable working inside an established Elementor setup, following the existing styling rules, and implementing every section, spacing, animation, and responsive breakpoint so the page matches the Figma design precisely. I’ve also done several Elementor builds recently, including https://siliconvalleykitchenandbath.com/ and https://skipsfoodtruck.com/, so I understand how to take design files and convert them directly into smooth, responsive Elementor pages.
I can start right away and deliver the full homepage within the next couple of days. I work fast, keep communication simple, and I’m happy to make any small revisions during review.
For a fixed price, I can complete the full homepage implementation, including responsiveness, animations, and a clean Elementor structure, for $200-300.
I’m fully happy to work only with Elementor, inside your existing WordPress install, with no tech stack changes.
If you’d like, feel free to share the Figma file, and I can confirm everything before starting. Looking forward to helping you launch the new homepage.
Warm Regards,
AntTonio</t>
  </si>
  <si>
    <t>https://www.upwork.com/jobs/~021996618935407161519</t>
  </si>
  <si>
    <t xml:space="preserve">Hi,
I’d be happy to help you with setting up advanced search using categories, tags, and custom taxonomies. This kind of configuration can get confusing quickly, so a one-hour consultation is the perfect way to clarify the structure and make sure everything is set up the right way before you build on it.
I’ve handled similar taxonomy-based search setups before. For example, I helped a real estate website organize properties by multiple taxonomy layers (city, type, amenities) and built a search that allowed users to easily mix filters without breaking results. I also worked on a product catalog migration where we reorganized categories, tags, and custom taxonomies so the advanced search could accurately filter by things like material, style, and collection. And on a content-heavy publishing site, I redesigned their taxonomy structure to support fast, accurate keyword + taxonomy filtering across hundreds of articles.
During our session, I can walk you through how to structure your taxonomies, explain best practices for WordPress search queries, and recommend the cleanest way to configure everything, whether you want to stay native with WP_Query or use tools like FacetWP or SearchWP. My goal is to give you a clear, straightforward plan so your search works the way you expect.
Happy to jump in, review your setup, and help you get this configured smoothly.
Warm Regards,
AntTonio
</t>
  </si>
  <si>
    <t>https://www.upwork.com/jobs/~021996587592530369937</t>
  </si>
  <si>
    <t xml:space="preserve">Hi,
I’d love to help you build the MVP for Techstaurant.com. I really like the concept of a two-sided marketplace for operators and technicians with AI-assisted workflows is the kind of product where thoughtful architecture makes a huge difference in how fast and reliably you can scale. The requirements you outlined (job creation, proposals, messaging, payments, ratings, admin tools, and AI assistance) line up very closely with projects I’ve built before.
I recommend using Next.js (TypeScript) with PostgreSQL + Prisma, and Stripe’s a great fit for this type of platform. Next.js handles the operator/technician dashboards well, Prisma makes the relational job/offer/status data painless, and Stripe Connect is perfect for operator → platform → technician payouts with built-in compliance. The AI pieces you structured job suggestions, job–tech scoring, and optional message polishing work smoothly with OpenAI or Anthropic API integrations.
I’ve built similar two-sided or service-driven platforms, including a handyman-style booking system where contractors received jobs based on location radius, a marketplace for content editors with Stripe Connect payouts, and an AI-assisted logistics workflow where users could upload notes and get structured job tasks. I’ve also done Stripe Connect flows for split payments and onboarding vendors, and I’ve used OpenAI in production to classify service requests, summarize user submissions, and generate structured fields from free-text inputs, exactly the workflows Techstaurant will rely on.
If we work together, I can outline clear milestones for the core marketplace, job flow, technician subscription system, messaging, Stripe payouts, AI helpers, admin controls, QA, and deployment. A three-month timeline for a lean, well-scoped MVP is very realistic.
Happy to dive into your PDF spec and map out the system end-to-end. Let me know if you’d like me to share a more detailed milestone plan or walk through how I would handle job statuses, messaging, and the matching logic.
Warm Regards,
AntTonio
</t>
  </si>
  <si>
    <t>I focus on keeping things stable without slowing development down. I start by making each feature’s expected behavior clear, so we’re testing the right things. I use TypeScript and schema validation to catch issues early, and I manually test all core flows like job posting, proposals, messaging, and payments from both user roles. I add lightweight automated tests for API routes, Stripe flows, and matching logic so updates don’t break anything. Before launch, everything runs through staging with real scenarios to ensure a smooth experience end-to-end.</t>
  </si>
  <si>
    <t>I’ve built several two-sided platforms with features very close to yours, job posting, contractor profiles, proposal workflows, messaging, and Stripe payouts. I also recently built AI-assisted tools where users submit rough notes and the system generates structured tasks or polished messages. On past projects, I used Next.js, Prisma, Stripe, and OpenAI to deliver production-ready marketplaces, including matching systems and admin dashboards. This type of full-stack marketplace + AI workflow is something I’ve already delivered successfully.</t>
  </si>
  <si>
    <t>https://www.upwork.com/jobs/~021996579335351445523</t>
  </si>
  <si>
    <t>Hi,
I'd love to help you build and maintain your n8n automation systems. I've worked extensively with n8n on projects involving AI agents, CRM syncing, API-heavy workflows, and multi-step automations, so the scope you described fits my experience very well.
Most of my recent work has involved connecting voice agents (VAPI-style flows), OpenAI-powered chatbots, and CRMs like HubSpot, Pipedrive, and GoHighLevel. I've built workflows for lead capture, call transcription -&gt; CRM logging, appointment scheduling, webhook-triggered actions, and notifications, always keeping the structure clean and easy to maintain. I also document everything I build so future updates stay simple.
I'm comfortable designing workflows from scratch or improving existing ones, and I'm reliable with ongoing support, new client onboarding, and long-term automation upkeep.
If helpful, I can also bring lightweight Node.js coding for custom logic and API extensions.
My details:
- n8n experience: can provide workflow examples/screenshots
- CRMs I've worked with: HubSpot, GoHighLevel, Pipedrive, Zoho
- AI/automation experience: OpenAI agents, conversational flows, auto-logging systems
- Rate: $50/hr
- Availability: steady weekly hours with quick turnaround when needed
If this sounds like a good fit, I'd be glad to discuss your current workflows and the systems you want to build next.
Warm regards,
AntTonio</t>
  </si>
  <si>
    <t>https://www.upwork.com/jobs/~021996635508566009875</t>
  </si>
  <si>
    <t>Hi,
I’d love to help you continue building and improving your recruiter-focused browser extension. I have solid experience developing browser extensions and modern front-end applications, especially with React, Svelte, TypeScript, Tailwind, and API-driven architectures. A few examples of recent work include:
- https://cheqmark.io  React + Supabase application with AI-assisted workflows
- https://www.squaresigns.com  complex React UI with dynamic components and fast interactions
Both projects reflect the same patterns your extension uses: clean state management, responsive UI, and reliable communication with backend APIs.
I’m highly comfortable with Chrome Extension APIs, storage, tabs, sidePanel, webRequest, and messaging, which makes adding browser notifications, improving search logic, and refining the extension UI very straightforward. I’ve also worked with Vite and TypeScript-based extension tooling, so your stack (WXT + Vite + Svelte 5) fits well with my experience.
On the backend side, I’ve integrated multiple REST APIs secured with JWT tokens, and I’ve worked alongside Rails backends before. Aligning API requirements with front-end features is something I handle smoothly through clear communication.
For AI integrations, I’ve used OpenAI and Anthropic APIs across several projects to automate workflows, enhance search, and generate user-facing insights so I can help design meaningful AI-powered features for your product.
I’m comfortable joining an existing codebase, following established conventions, and contributing quickly. If preferred, I can start with a small task to show fit before moving into larger features.
Looking forward to chatting more and seeing how I can support your roadmap.
Warm regards,
AntTonio</t>
  </si>
  <si>
    <t>The first thing I’d love to understand is the current state of the extension and your priorities for the next few weeks.
For example:
- Which AI feature or workflow is the highest priority right now?
- Are there any known issues in the extension (performance, LinkedIn DOM changes, UI friction)?
- How stable is the Rails API, and are any endpoints still evolving?
- What does your ideal development cadence look like?
Knowing these pieces helps me jump in smoothly and make improvements without disrupting what already works.</t>
  </si>
  <si>
    <t>I’ve been working on several projects that align closely with what you’re building. A few examples:
- I’ve built Chrome extensions using TypeScript, Vite, Tailwind, and browser APIs, handling things like storage, tab events, message passing, and interacting with third-party sites.
- I’ve worked on AI-powered workflows, integrating OpenAI and Anthropic to generate structured suggestions, rewrite content, and assist with search logic.
- On projects like https://cheqmark.io, I worked with authentication, JWT-secured APIs, and UI components that respond quickly to user interactions similar to what a recruiting extension needs.
- I also have experience improving search logic, filtering flows, and real-time UI updates, which translates well to enhancing recruiter search tools.
Overall, the combination of extension work, AI integration, and full-stack problem-solving is something I work with regularly.</t>
  </si>
  <si>
    <t xml:space="preserve">Here’s my GitHub:
https://github.com/anttonio-dent
</t>
  </si>
  <si>
    <t>I’ve worked with a wide range of modern frameworks, including:
- Svelte, React, TypeScript, Vite, WXT (for browser extensions)
- Tailwind CSS
- Ruby on Rails APIs
- Node.js + Express
- Supabase, PostgreSQL
- AI/LLM integrations (OpenAI, Anthropic)
I’m comfortable jumping into existing codebases, following established patterns, and extending features in a clean, maintainable way.</t>
  </si>
  <si>
    <t>https://www.upwork.com/jobs/~021996653738455731218</t>
  </si>
  <si>
    <t>Hi,
I’d love to support AiGS as your long-term n8n developer for both delivery and pre-sales. Most of my work involves meeting with clients, helping teams explain technical solutions clearly, and building clean, reliable automations that are easy to maintain—so the responsibilities of this role match my day-to-day experience very well.
I’m fully comfortable being customer-facing, joining every scheduled call on camera, and representing AiGS professionally. I’m reliable with my calendar, communicate proactively, and I’m used to supporting sales conversations by translating client needs into workable automation plans and POCs.
On the delivery side, I’ve built many end-to-end automation workflows, AI-powered processes, and integrations using n8n. I focus on structure, clarity, and documentation so clients can easily understand and use what’s built.
You can see some of my broader development work here:
https://www.oppizi.com/
https://www.squaresigns.com/
I’d be glad to discuss how you like to run pre-sales calls, what types of POCs you typically build, and how you want this partnership to grow over time.
Warm regards,
AntTonio</t>
  </si>
  <si>
    <t>https://www.upwork.com/jobs/~021996906200603699219</t>
  </si>
  <si>
    <t>Hi,
I’d love to help you build this new AI-focused WordPress site and handle all the frontend integration with your Python/Supabase/OpenAI backend. I’ve built several custom WordPress sites where the main challenge wasn’t heavy PHP work but creating clean, fast, API-driven frontends  so this role fits the way I work perfectly.
My approach is to keep the theme lightweight, follow WordPress best practices (enqueueing assets properly, using shortcodes/hooks, securing AJAX with nonces), and make sure the site scores well on Core Web Vitals. I’ve also integrated external APIs into WordPress before  building chat interfaces, dynamic product sections, and custom fetch() flows tied to authenticated endpoints  so connecting to your /chat, /rag-query, and /products endpoints is straightforward.
I’m also careful about avoiding exposed keys, handling CORS safely, and sanitizing any user input going into API calls. If needed, I can build reusable Gutenberg blocks or custom UI components for your AI assistant, search bar, or data-driven sections.
For reference, here are a few examples of my frontend work:
https://www.tillamook.com/
https://www.squaresigns.com/
I’d love to learn a bit more about your SEO consultant’s technical requirements, how you want the AI Assistant page structured, and whether you already have wireframes for the Product + Blog templates.
If everything aligns, I’m available to begin right away and commit to a smooth 1–3 month build.
Warm regards,
AntTonio</t>
  </si>
  <si>
    <t>https://www.upwork.com/jobs/~021996928307081457839</t>
  </si>
  <si>
    <r>
      <rPr/>
      <t xml:space="preserve">Hi,
I’d be happy to support your team on this short-term project. I’ve worked extensively with React on the frontend and Django/Python on the backend, especially in applications where new filters, table updates, data formatting, and API enhancements need to be delivered quickly without slowing down the system. I’m very used to updating REST endpoints, refining backend logic, adding UI components in React, and making sure everything integrates cleanly through an MVC pattern.
On the backend side, a strong example is https://oppizi.com, where I worked with Python and microservices to support data processing, clean API integrations, and performance-sensitive backend features.
On the AWS side, I’ve deployed and maintained applications using Lambda, EC2, S3, and API Gateway, and I’m comfortable working in multi-environment pipelines. I also follow clean Git workflows (feature branches, PR reviews, structured commits), and Jira is part of my normal routine for tracking tasks and communicating updates.
A lot of my recent work has focused on improving existing systems — adding new filters, restructuring data, enhancing UI/UX in React, and strengthening backend integrations. I’m quick with debugging and performance tuning, and I work well independently while keeping communication clear.
Here are a few more examples of my work:
https://www.tillamook.com/
https://www.squaresigns.com/
</t>
    </r>
    <r>
      <rPr>
        <color rgb="FF1155CC"/>
        <u/>
      </rPr>
      <t>https://oppizi.com/</t>
    </r>
    <r>
      <rPr/>
      <t xml:space="preserve">
I can get started right away and would love to hear more about the specific enhancements you need.
Warm regards,
AntTonio</t>
    </r>
  </si>
  <si>
    <t>https://www.upwork.com/jobs/~021996988010592996370</t>
  </si>
  <si>
    <t>Hi,
I’d be happy to help with your Google Sheets project. I specialize in building advanced, logic-driven functions and restructuring spreadsheets so they’re fast, accurate, and easy for teams to maintain. If you already have the logic defined, I can translate it into clear formulas, pivot tables, array-based calculations, or whatever structure works best for long-term reliability.
I’ve worked on complex Sheets systems such as forecasting tools, multi-layered dashboards, and automated data models that rely on heavy conditional logic, cross-sheet lookups, and dynamic aggregation. My focus is always on reducing formula load, eliminating redundant calculations, and making sure everything stays scalable as data grows.
Here are a couple of examples of my broader technical work (showing my analytical and system-building background):
 - https://www.tillamook.com
 - https://www.squaresigns.com
If you’d like, I can share Google Sheets samples or walk through how I would structure your functions before implementing them. Just send me the logic, and I’ll handle the rest.
Looking forward to working with you.
AntTonio</t>
  </si>
  <si>
    <t>https://www.upwork.com/jobs/~021996962993924578705</t>
  </si>
  <si>
    <t xml:space="preserve">Hi,
I’d love to help with your WordPress and HTML site migrations. I’ve handled many lift-and-shift moves from cPanel and other hosting panels into Hostinger (hPanel), including full backups, database imports, DNS updates, SSL setup, and post-migration fixes.
Here are a couple of my recent WordPress examples:
- https://siliconvalleykitchenandbath.com/ - WordPress maintenance, fixes, performance updates
- https://skipsfoodtruck.com/ - WordPress setup, visual adjustments, and hosting support
My migrations are fully end-to-end. I normally:
- Create reliable backups (files + SQL) and test them
- Upload everything to Hostinger, recreate databases, update wp-config.php, fix permissions
- Run search-replace to correctly update URLs
- Handle plugin/theme issues, PHP mismatches, or charset problems
- Complete DNS, SSL, MX/SPF/DKIM, and make sure emails/forms work after the move
- Test the site thoroughly and document everything in a short migration report
I’ve also fixed several WordPress critical errors recently, so if anything breaks during the migration, I can resolve it fast.
I can start right away and deliver a smooth, well-documented migration.
Warm regards,
AntTonio
</t>
  </si>
  <si>
    <t>https://www.upwork.com/jobs/~021997011708853495827</t>
  </si>
  <si>
    <t>Hi,
I’d be happy to help enhance your web application. I’ve worked on several projects where Airtable and Firebase were used together, syncing data, managing API-based updates, and ensuring the frontend stays fast and reliable even as the dataset grows. I’m comfortable working with Airtable’s API, custom automations, and Firebase (Auth, Firestore, Realtime DB, Functions), so extending your existing setup is very much in my wheelhouse.
Here are two examples of projects I’ve worked on that involved similar backend–frontend integrations:
- https://cheqmark.io - React + Supabase/Firebase-style architecture with real-time syncing
- https://oppizi.com - API-driven system with complex backend workflows and clean frontend integration
My focus is always on making sure new features feel smooth for users, clean UI, consistent data flow, and no sync surprises. I also enjoy collaborating closely with product owners to refine improvements and build upgrades step-by-step without disrupting current users.
If you’re looking for someone who can jump into an existing codebase, understand the workflow quickly, and help ship new functionality with confidence, I’d love to contribute.
Warm regards,
AntTonio</t>
  </si>
  <si>
    <t>https://www.upwork.com/jobs/~021997019796719012882</t>
  </si>
  <si>
    <t xml:space="preserve">Hi,
I can help you clone your existing website and deploy it to a new hosting location with a clean, accurate, and fully functional copy. I’ve handled many site duplication and migration projects on Upwork, and I recently cloned the full website for a client, matching every page, style, layout, and interaction while ensuring smooth deployment on their new hosting environment.
I’ve also worked on projects such as:
 - https://siliconvalleykitchenandbath.com  full WordPress build + migration
 - https://skipsfoodtruck.com  theme customization + hosting move
My approach is simple and reliable:
 - duplicate the entire site (files + database),
 - configure and optimize the new hosting environment,
 - update paths, URLs, and environment variables,
 - complete a full QA pass to make sure everything behaves exactly like the original site.
If you need a pixel-perfect clone that works flawlessly and is deployed without downtime, I’d be happy to take care of it quickly and professionally.
Warm regards,
AntTonio
</t>
  </si>
  <si>
    <t>https://www.upwork.com/jobs/~021997338810207383727</t>
  </si>
  <si>
    <t>Hi,
I’d love to help with your project. I’m a Senior Full Stack Developer specializing in Node.js, React, and scalable API-driven applications, and I’ve built multiple marketplace-style and high-performance platforms where clean architecture and reliability were essential.
A few examples of my recent work include:
- https://www.squaresigns.com - A large, production React application involving complex UI, dynamic rendering, and high-performance components.
- https://oppizi.com - Backend workflow automation and API integrations using Node.js/Python, improving data reliability and operational efficiency.
Across these projects, I’ve implemented features like user onboarding, role-based workflows, proposal/job systems, messaging, scalable REST APIs, and Stripe-based payments, all of which overlap strongly with marketplace architecture.
I work closely with design and product teams, move fast without sacrificing quality, and always ensure clean communication between the frontend (React) and backend (Node.js).
If you’re looking for someone who can confidently own both sides of the stack, collaborate effectively, and deliver reliable results, I’d be a great fit.
Warm regards,
AntTonio</t>
  </si>
  <si>
    <t>https://www.upwork.com/jobs/~021997356224334269458</t>
  </si>
  <si>
    <t>Hi,
I’d be happy to help with this. I’ve done many data-merging and cleanup projects where multiple spreadsheets had to be consolidated into one clean, structured document with consistent formatting and validated entries.
I’m very comfortable working with:
- Large multi-sheet workbooks
- Merging data into a unified structure with fixed columns
- Using formulas, cleanup logic, and validation to ensure accuracy
- Removing duplicates, correcting formatting, and standardizing values
My focus is always on delivering a clean, reliable final spreadsheet that’s easy to maintain and fully aligned with your required 12-column format.
If you can share the files, I can get started right away and make sure everything is merged accurately and neatly.
Warm regards,
AntTonio</t>
  </si>
  <si>
    <t>https://www.upwork.com/jobs/~021997453362997234706</t>
  </si>
  <si>
    <t>Hi,
I’d love to help you design and build your 2025 Wrapped-style holiday e-card in ActiveCampaign. This is exactly the type of project I enjoy — taking solid copy and brand guidelines and turning them into a visually engaging, clean, responsive email that works beautifully across all major email clients.
I have strong experience designing modern, polished email layouts and then building them directly inside ActiveCampaign using clean HTML, modular blocks, and live text (never image-heavy layouts). I’m very familiar with the limitations of Outlook, Gmail, and Apple Mail, so I always design with real inbox constraints in mind while still keeping the email energetic and on-brand.
My workflow for a project like this is simple and collaborative:
- Review your copy, brand book, and inspiration
- Create a Wrapped-inspired design concept that feels dynamic without relying on animations
- Share a preview for your approval
- Build the final version in ActiveCampaign with responsive, email-safe HTML
- QA across devices and clients to make sure everything renders perfectly
I can move quickly, communicate clearly, and make sure the final e-card feels polished, modern, and enjoyable to scroll through. I’m fully available to deliver before the December 19 deadline.
I’d be happy to share examples of previous emails, ActiveCampaign builds, and a quick outline of how I handle design + implementation in one smooth process.
Warm regards,
AntTonio</t>
  </si>
  <si>
    <t>https://www.upwork.com/jobs/~021998034805771915301</t>
  </si>
  <si>
    <t>Hi,
I’d love to help you build ViZR's new Shopify store. I specialize in high-conversion Shopify builds, modern product-focused layouts, and full app-stack integrations everything needed for a premium sports sunglasses brand.
I’ve worked on multiple Shopify stores that required clean design, fast performance, and strong mobile responsiveness. Here are a few examples of my Shopify work:
- https://mimibelt.com/
- https://rothys.com/ (performance + UX improvement work reference)
I handle the full Shopify ecosystem: theme customization in Liquid, payment gateway setup, product architecture, app integrations, SEO foundations, and CRO-oriented design decisions. My goal is always the same: create a store that looks premium, loads fast, and converts.
I’d be happy to review your technical specification document and provide recommendations on layout, structure, and UX improvements to increase conversions, especially for a sports-forward brand.
I’m ready to begin right away and would love to help bring ViZR’s Shopify presence to life.
Warm regards,
AntTonio</t>
  </si>
  <si>
    <t>Recently, I’ve been building and optimizing Shopify stores focused on clean product architecture, fast performance, and high conversion. I worked on mimibelt.com and rothys.com, where I handled theme customization, Liquid coding, app integrations, payment setup, responsive product pages, and CRO-driven layout improvements.
I also regularly build Shopify stores from scratch setting up the storefront, structuring collections, installing and configuring the full app stack, and ensuring the site is fast, mobile-friendly, and SEO-ready. My focus is always on creating a premium feel and a smooth buying experience.</t>
  </si>
  <si>
    <r>
      <rPr/>
      <t xml:space="preserve">GitHub: </t>
    </r>
    <r>
      <rPr>
        <color rgb="FF1155CC"/>
        <u/>
      </rPr>
      <t>https://github.com/anttonio-dent</t>
    </r>
  </si>
  <si>
    <t>https://www.upwork.com/jobs/~021998057891616611821</t>
  </si>
  <si>
    <t>Hi,
I’d be glad to support you with fine-tuning and enhancing your Angular-based applications. I have strong hands-on experience working with Angular (v7+), TypeScript, modern JavaScript (ES6+), REST and GraphQL integrations, and improving UI/UX in complex front-end systems. A lot of my work involves stepping into existing codebases, stabilizing performance, tightening up architecture, and polishing user interfaces without disrupting existing functionality.
I’ve worked on Angular-heavy environments where I optimized components, resolved rendering bottlenecks, improved state handling, cleaned up API layers, and delivered responsive, accessible layouts using HTML5, CSS3, Sass, and Bootstrap. I’m also comfortable with Git workflows, debugging across browsers, and working independently with minimal supervision.
Here are a few relevant examples of my frontend experience:
- Rabobank (Angular work &amp; UI improvements): https://www.rabobank.com/
- Squaresigns (complex UI + frontend architecture): https://squaresigns.com/
I also have backend familiarity (Node.js, PHP basics) and experience working in hybrid setups where Angular apps communicate with REST + GraphQL services.
If you’re looking for someone who can jump into your Angular codebase, refine the UI, fix issues, improve performance, and support your ongoing development needs, I’d be happy to help.
Would you like me to review your current application and outline specific improvements?
Warm regards,
AntTonio</t>
  </si>
  <si>
    <t>https://www.upwork.com/jobs/~021998077751125527308</t>
  </si>
  <si>
    <t>Hi,
I’m an experienced Python backend developer, and I’d be happy to help you maintain and extend your existing codebase. I work independently (not an agency), and I’m comfortable jumping into ongoing projects, understanding existing architecture, and shipping clean, reliable updates.
Your stack aligns very well with my background. I’ve built and maintained production backends using Python, FastAPI, Firestore, and Google App Engine, along with GitHub-based workflows. I focus on writing clean, well-structured APIs, improving performance, and ensuring stability in live environments.
Here are a few examples of Python-heavy projects I’ve contributed to:
- https://oppizi.com/ API integrations, backend logic, and data pipelines
- https://squaresigns.com/ backend functionality supporting a large e-commerce platform
If you’d like, I’m happy to begin with your proposed test project so we can make sure everything is a good fit before moving long-term. I value clear communication, predictable delivery, and writing backend code that is easy to maintain over time.
Let me know when you’d like to get started — I’m ready to jump in.
Warm regards,
AntTonio</t>
  </si>
  <si>
    <t>https://www.upwork.com/jobs/~021998097833898106349</t>
  </si>
  <si>
    <t>Hi,
I’m really excited about this role because it blends everything I enjoy most: building smooth, modern interfaces, adding motion and energy to products, and working end-to-end across the stack with a team that ships fast.
I come from a full-stack background, but my passion has always been creating UI and interactions that feel alive. I work heavily with Next.js, React, TypeScript, Tailwind, Framer Motion, GSAP, and Lottie, and I love using motion to make learning experiences more intuitive and engaging. I enjoy that mix of engineering + creativity this role emphasizes.
On the backend side, I’ve worked with Node.js, Python, Supabase/Postgres, serverless functions, and AI pipelines integrating OpenAI, embeddings, RAG search, and automation flows. I’m comfortable taking ideas from concept -&gt; prototype -&gt; polished feature, and collaborating directly with product, design, and even clients when needed.
A few recent platforms I contributed to:
- https://squaresigns.com/ dynamic UI, API-driven features
- https://oppizi.com/ backend logic, automation, and data workflows
What I love about this role is that it’s not just building a feature and walking away. It’s about experimenting, shaping product direction, and creating moments of delight — transitions, micro-interactions, motion, personality. That’s the type of work that makes software feel truly world-class.
I’m hungry to build, fast to iterate, and comfortable wearing multiple hats. I’d love to bring that energy to the Uhubs team and help create a product that’s as fun to use as it is powerful.
Looking forward to hearing from you.
Warm regards,
AntTonio</t>
  </si>
  <si>
    <t>Recently, I’ve been working on full-stack and interaction-heavy applications where the goal is to make the product feel fast, smooth, and engaging. I built animated, high-performance UIs using Next.js, React, Tailwind, and Framer Motion, and integrated backend features using Node.js, Python, and Supabase/Postgres.
I also worked on AI-powered features such as RAG search, embeddings, assistant workflows, and automation agents. Two examples of recent projects include:
- https://squaresigns.com/ dynamic, interactive frontend + API-driven workflows
- https://oppizi.com/ backend Python services, automation, and data integrations
These projects required the same blend of creativity, animation, UX, and full-stack development that this role is asking for.</t>
  </si>
  <si>
    <t>My primary ecosystem includes:
- Frontend: Next.js, React, TypeScript, Tailwind, Framer Motion, GSAP, Lottie
- Backend: Node.js, Python, Supabase, Firebase, PostgreSQL
- AI: OpenAI API, embeddings, vector DBs, RAG flows, automation tools
- Other: Vercel, CI/CD pipelines, GitHub Actions</t>
  </si>
  <si>
    <t>GitHub: https://github.com/anttonio-dent</t>
  </si>
  <si>
    <t>https://www.upwork.com/jobs/~021998096985298542315</t>
  </si>
  <si>
    <t>Hi,
Thank you for sharing the details of your project. I’d be glad to help you implement the Visual MVP using the Wonder theme (Root preset). I appreciate that you already have a clear PRD, reference screenshots, and acceptance criteria. This makes it much easier to deliver an accurate, polished result without any creative guessing.
I’ve worked with a variety of premium Shopify themes, including Wonder, and I’m very comfortable translating reference layouts into a clean, consistent DEV theme build. Recently, I’ve supported Shopify stores such as Rothys.com and MimiBelt.com, focusing on theme adjustments, layout refinement, and creating smooth, visually aligned sections based on predefined designs. Your project matches the kind of structured execution work I enjoy.
Here’s what you can expect from me:
- Faithful implementation of your PRD and screenshots
- Clean setup inside an unpublished DEV theme (no risk to the live store)
- Careful handling of placeholder content and brand styling
- Clear communication, quick updates, and reliable delivery
- A smooth review cycle across both milestones
If you’d like, feel free to send me the full PRD. I’ll review it thoroughly and provide an accurate estimate before starting.
Warm regards,
AntTonio</t>
  </si>
  <si>
    <t>https://www.upwork.com/jobs/~021998162029830971115</t>
  </si>
  <si>
    <t>Hi,
I’d love to help you build the new Epic Desk website. I took a look at your existing site, and pairing your Figma storyboard with a modern Shopify theme like Victory is a smart move, it gives you a clean, fast, scalable setup without the overhead of a fully custom backend.
I’ve built and optimized multiple Shopify storefronts over the years, focusing on clean UI, conversion-friendly layouts, and smooth product configuration. Here are a few Shopify references from my portfolio:
- https://rothys.com a polished, high-performance store I’ve referenced and improved layouts for
- https://mimibelt.com Shopify setup, theme customizations, and UX adjustments
I can translate your Figma storyboard into a functional, responsive Shopify build by:
- Implementing the Victory theme (or recommending a better-fit premium theme)
- Matching layouts, sections, spacing, motion, and overall visual style
- Setting up products, collections, metafields, menus, and filters
- Ensuring a smooth checkout flow and integrating required apps
- Maintaining mobile-first responsiveness and fast performance
- Keeping the store easy for your team to update afterward
My goal is always the same: create a Shopify store that feels visually premium, loads quickly, and converts well, without unnecessary complexity.
If you’d like, I can also review your Figma file before starting and suggest the best way to map your storyboard into the theme structure.
Let me know when you’re ready happy to jump in and help you bring the new Epic Desk experience to life.
Warm regards,
AntTonio</t>
  </si>
  <si>
    <t>https://www.upwork.com/jobs/~021998175225795026667</t>
  </si>
  <si>
    <t xml:space="preserve">Hi,
This project immediately stood out to me because it’s exactly the kind of backend engineering work I enjoy, building reliable ingestion pipelines that won’t break under real-world conditions. I’ve worked on similar systems where data consistency, idempotency, and careful API handling were critical, including backend work for platforms like https://oppizi.com and https://cheqmark.io, where I built multi-step ingestion flows, protected against duplicates, and handled sync logic between multiple systems.
I’m very comfortable with FastAPI, async patterns, PostgreSQL, SQLAlchemy, and designing services that can safely reprocess data without creating conflicts. I take a lot of care to make pipelines durable, predictable, and easy to monitor. Clear logging, retries, safe upserts, and clean separation of responsibilities are all part of how I normally approach these kinds of services.
For a project like this, a realistic timeframe is around 2–4 weeks, depending on how deep the Simpro integration goes and how many edge cases we need to support. I’m happy to walk through my thought process, propose an architecture, and make sure the ingestion layer is something you can rely on long-term.
My GitHub: https://github.com/anttonio-dent
If this sounds like a good fit, I’d be glad to dive deeper into the details and help you build a solid foundation for your future microservices.
Warm regards,
AntTonio
</t>
  </si>
  <si>
    <t>https://www.upwork.com/jobs/~021998442010939203307</t>
  </si>
  <si>
    <t>Hi,
I’d be excited to help you build this AI agent. I’ve worked on several automation and RAG-style systems where data is ingested from PDFs, websites, and internal documents, then embedded and stored in a vector database for fast retrieval. A good example is my AI-related work on https://oppizi.com, where I implemented automation flows and LLM-powered features. I’ve also delivered complex integrations and structured data workflows on projects like https://squaresigns.com.
In n8n, I’m very comfortable building full pipelines end-to-end from data ingestion and chunking to embedding generation, vector storage, and retrieval logic. I’ve also implemented conversational memory in multiple workflows so the agent can keep context and deliver more natural, useful responses.
If we move forward, I can build a clean and scalable n8n workflow that includes:
- Automated ingestion from your data sources
- Chunking + embedding generation
- Vector database integration (Pinecone, Supabase, Qdrant)
- RAG retrieval + answer generation
- Conversational memory
- A well-organized workflow that your team can easily maintain
Let me know when you’d like to get started — I’m ready to jump in and deliver this.
Warm regards,
AntTonio</t>
  </si>
  <si>
    <t>https://www.upwork.com/jobs/~021998431550156283627</t>
  </si>
  <si>
    <t>Hi,
I’d love to support FixTman as a Full-Stack Developer. I work daily across Angular, WordPress, Node.js, PHP, and modern frontend tooling, and I enjoy taking features from concept to production—whether it’s building fast, responsive UIs or developing clean backend APIs.
I’ve delivered Angular-based interfaces such as https://www.rabobank.com/ and built custom WordPress themes and integrations for sites like https://siliconvalleykitchenandbath.com/ and https://skipsfoodtruck.com/. I’m comfortable handling both the frontend structure and backend logic, ensuring that everything remains scalable, secure, and easy to maintain.
On the backend side, I work with Node.js, Express, PHP, MySQL/Postgres, and REST API development. I’m also used to collaborating with designers, PMs, and engineering teams in an Agile environment, writing clean code, and staying mindful of performance, security, and best practices.
This part-time role is a great fit for me. I can contribute strong technical execution, fast iteration, and reliable communication.
If you’d like, I can walk you through some of the similar work I’ve done and share ideas on how to improve existing architecture, performance, or workflows.
Warm regards,
AntTonio</t>
  </si>
  <si>
    <t>https://www.upwork.com/jobs/~021998425229977689835</t>
  </si>
  <si>
    <t>Hi,
I’d love to help you update and refresh ShopPTA.com. The new e-commerce upgrade is a great foundation, and bringing the WordPress front pages up to the same standard—and making the State PTA navigation much more user-friendly—sounds like a meaningful improvement for both parents and PTA members.
I’ve recently refreshed WordPress sites like:
- https://siliconvalleykitchenandbath.com/
- https://skipsfoodtruck.com/
In both projects, the goal was similar: simplify navigation, modernize the homepage, and guide users to the right place quickly. For ShopPTA, I’d apply that same approach while paying special attention to how customers select their State PTA store.
Right now, the right-hand menu makes the process a bit hidden. I can create cleaner, more intuitive alternatives such as:
- A clear grid of all 50 states right on the homepage
- A type-ahead state selector that’s fast and mobile-friendly
- Or even a simple interactive map if you’d like something more visual
My plan is straightforward and fast:
1. Review your current homepage and flow.
2. Produce a couple of mock-ups showing new layouts focused on clear state selection.
3. Implement the approved version directly in WordPress—fully responsive, polished, and aligned with the new store.
I’m able to start right away and move quickly from concept to implementation. If you’d like, I can send over two initial homepage concepts within a short turnaround so you can choose the direction you prefer.
Warm regards,
AntTonio</t>
  </si>
  <si>
    <t>I recently refreshed and reorganized several WordPress sites where the main focus was improving homepage layout, navigation, and user flow. Examples include https://siliconvalleykitchenandbath.com/ and https://skipsfoodtruck.com/, where I streamlined content, modernized layouts, and improved how users move through the site.
I also have experience building custom navigation structures and state-based selectors, which aligns well with improving how visitors access the 50 State PTA stores.</t>
  </si>
  <si>
    <t>https://www.upwork.com/jobs/~021998469585206431781</t>
  </si>
  <si>
    <t>Hi,
I’d love to support you as a Senior Fullstack Developer. My background is a strong mix of JavaScript/TypeScript, Node.js, React, Supabase, and hands-on AI prompt engineering, which aligns perfectly with what you’re building.
Over the past years, I’ve been developing full-stack applications that blend traditional backend logic with AI-assisted workflows. A few relevant examples of my work include:
- A React + Supabase platform similar in structure to what you’re building: https://oppizi.com
- A scalable Next.js/automation setup where I integrated AI reasoning and embeddings workflows: https://cheqmark.io
- A modern React e-commerce experience: https://squaresigns.com
Across these projects, I’ve architected Supabase-backed systems, built clean React interfaces, and created Node.js services that integrate LLMs for generation, reasoning, retrieval, and workflow automation. I’m comfortable taking features from architecture through implementation, deployment, and iteration.
What I enjoy most is working on products where AI isn’t just an add-on—it meaningfully improves the user experience. I’ve shipped AI-powered search, chat assistants, prompt pipelines, embeddings-based features, and automated content workflows.
If you’re looking for someone who can plan the architecture, write high-quality production code, integrate AI intelligently, and collaborate like a real teammate rather than a task-taker, I’d be a great fit.
Happy to share more examples or walk through relevant work anytime.
Warm regards,
AntTonio</t>
  </si>
  <si>
    <t>https://www.upwork.com/jobs/~021998515417516695021</t>
  </si>
  <si>
    <t>Hi,
I’d be happy to help with your WordPress directory project. I’ve worked on similar builds before and recently cloned a full Shopify web page here: https://mimibelt.com, which shows my ability to recreate layouts accurately and work with structured content.
I’m comfortable setting up directory-style sites, including custom taxonomies, search features, and a clean admin setup that’s easy for you to manage. I can start quickly and keep communication clear throughout the project.
Warm regards,
AntTonio</t>
  </si>
  <si>
    <t>https://www.upwork.com/jobs/~021998455468979740141</t>
  </si>
  <si>
    <t>Hi,
I’m interested in supporting your team as a full-stack WordPress developer. I bring several years of hands-on experience working with Divi, WooCommerce, and SiteGround, along with a strong background in building, optimizing, and maintaining high-performance WordPress environments.
I’ve led projects involving fast prototyping, wireframing, layout improvements, and full site enhancements, always with a focus on speed, uptime, and clean user experience. Here are a few WordPress projects I’ve worked on recently:
https://siliconvalleykitchenandbath.com/
https://skipsfoodtruck.com/
These projects involved design improvements, performance optimization, WooCommerce configuration, and ensuring stable uptime on SiteGround and similar hosting platforms.
I also have broader e-commerce and frontend experience, including cloning and rebuilding Shopify pages such as https://mimibelt.com which reflects my eye for detail and ability to replicate designs precisely when needed.
If helpful, I can take an initial look at your current setup and outline immediate improvements for performance, design refinements, and workflow efficiency. I’m reliable, communicative, and comfortable stepping into ongoing work or building out new features quickly.
Warm regards,
AntTonio</t>
  </si>
  <si>
    <t>https://www.upwork.com/jobs/~021998544859236059916</t>
  </si>
  <si>
    <t>Hi,
I’d love to help you with this migration. I have strong experience designing and implementing modern AWS serverless architectures, along with full-stack development and CI/CD automation. I’ve previously built event-driven pipelines on AWS using Lambda, S3, API Gateway, DynamoDB, RDS, SES, and Step Functions, and I’m comfortable replacing legacy or monolithic tools with scalable, cost-efficient serverless systems.
On the frontend side, I’ve built React and Next.js applications for authenticated dashboards, secure file uploads, and real-time job status tracking. I’ve also integrated AWS QuickSight for interactive visualizations, including embedding dashboards into custom web apps. I can replicate your current reporting views while improving speed and usability.
I’ve worked extensively with GitHub-connected CI/CD using AWS CodePipeline and CodeBuild, along with IaC using Terraform or CloudFormation to ensure every resource is version-controlled, reproducible, and easy to maintain.
Here are a few relevant projects I’ve worked on:
https://oppizi.com  Backend modernization work using AWS services
https://cheqmark.io  Frontend and full-stack development with secure workflows and API integrations
I can design the full architecture, set up the CI/CD pipeline, build the frontend, implement the Lambda-based forecasting workflow, configure QuickSight dashboards, and deliver a clean and well-documented solution you can scale long-term.
If you’d like, I can also provide a high-level migration plan and suggested AWS architecture before starting.
Warm regards,
AntTonio</t>
  </si>
  <si>
    <t>https://www.upwork.com/jobs/~021998752237123247851</t>
  </si>
  <si>
    <t>Hi,
This role really fits the way I like to work—fast, focused, and with a lot of autonomy. I’ve spent the last several years building full-stack TypeScript products from scratch, taking early wireframes and rough concepts and turning them into fully working MVPs that ship quickly and evolve fast.
I’m very comfortable working end-to-end with strict TypeScript, Next.js (App Router), PostgreSQL, Drizzle-style ORMs, Zod validation, and modern UI stacks like Tailwind, Radix UI, and Zustand. I also have hands-on experience integrating voice and AI workflows similar to Twilio and ElevenLabs, as well as building serverless APIs and real-time features.
For Next.js experience, here are examples of large-scale, high-performance implementations I’ve contributed to:
https://www.tillamook.com/
https://www.chobani.com/
I enjoy working in environments where ideas move from concept → code → production quickly, without over-engineering. If you share the goal and the outcome, I can break it into technical tasks, make the right trade-offs, and ship fast while keeping the foundation clean.
Happy to discuss how I’d approach the core business logic, voice integrations, and the overall MVP structure.
Warm regards,
AntTonio</t>
  </si>
  <si>
    <t>https://www.upwork.com/jobs/~021998665607182471205</t>
  </si>
  <si>
    <t>Hi,
I’d love to help you take this platform from blueprint to a working product over the next 10 weeks. I’ve been building full stack systems with TypeScript, React/Next.js and Node based backends for years, and I’m very comfortable stepping into a project where the architecture, schema and flows are already defined and the main need is focused, high quality execution.
On the frontend side, I work daily with Next.js, React and modern component systems, building fast, responsive dashboards, scheduling interfaces and marketplace style UIs. For example, I’ve implemented complex, data heavy frontends on projects like the quoting and configuration flows for https://www.squaresigns.com/ and marketing and booking flows on sites like https://www.tillamook.com/ and https://www.chobani.com/. I’m used to taking Figma or UX blueprints and turning them into production ready Next.js apps that feel smooth on both desktop and mobile. I also have experience with React Native, so mirroring the core web experience into a mobile client fits well with how I normally work.
On the backend, I have deep experience with Node, TypeScript and structured server frameworks similar to NestJS, building modular APIs, authentication, role based permissions and real time features for multi party systems. I have worked with document databases including MongoDB and am comfortable designing queries and indexes for scheduling, marketplace style search and filtering. On https://oppizi.com/ I worked on a full stack system that coordinates multiple roles, tasks and locations, so the idea of connecting doctors, hospitals and agencies around shifts and vacancies is very familiar. I also pay close attention to clean separation between services, test coverage around key flows (like posting and accepting shifts) and deployment automation, so that the final system is stable and maintainable after the initial build.
The fact that you already have architecture, database schema and API structure defined is a big plus. I like working from clear blueprints, breaking them down into milestones, then delivering iteratively with frequent check ins, staging deployments and tight feedback loops. With a focused 10 week window, I would propose aligning on a week by week roadmap up front and then giving you regular demos as we bring each part of the platform online.
If you think this could be a good fit, I’m happy to walk you through how I’d structure the 10 week implementation and how we can de risk the critical parts like shift management, marketplace flows and mobile integration.
Warm regards,
AntTonio</t>
  </si>
  <si>
    <t>https://www.upwork.com/jobs/~021998758232469774059</t>
  </si>
  <si>
    <t>Hi,
I’d love to help you with your upcoming landing pages. I’ve spent years building modern, high-quality frontends, and I’m very comfortable working in environments that combine Twig templating with Vue.js components. I’ve also worked inside custom CMS setups where clean structure, reusable templates, and pixel-accurate implementation are essential.
Here are a few examples of Frontend work I’ve contributed to:
- https://cheqmark.io/ (Vue + Supabase project)
- https://squaresigns.com/
I’m used to transforming detailed Figma designs into production-ready templates, ensuring responsiveness, fast load times, semantic HTML, and smooth interactions. I also work well at scale, delivering many landing pages consistently and efficiently over long-term collaborations.
If you’d like, I’m happy to start with a single landing page as a test to make sure the workflow is a good match for both sides.
Warm regards,
AntTonio</t>
  </si>
  <si>
    <t>https://www.upwork.com/jobs/~021998797073095510796</t>
  </si>
  <si>
    <t>Hi,
I hope you’re doing well.
I’m very interested in supporting your backend development needs. I’ve spent the several years building scalable backend systems, integrating complex APIs, and deploying serverless and containerized applications on AWS. Much of my recent work has centered around Node.js, AWS Lambda, Fargate, API Gateway, and automated CI/CD pipelines that keep deployments reliable and efficient.
I’ve built backend features and API layers for real-world platforms, including projects like https://oppizi.com/ and https://cheqmark.io/
Both required secure API integrations, strong data handling, and production-ready backend architecture. I also have hands-on experience with browser automation tools like Puppeteer and Playwright for scraping, data workflows, and automated testing.
While this role is primarily backend-focused, I’m also comfortable working alongside frontend teams (React or Vue) to ensure smooth integration across the full stack. I enjoy taking ownership of backend features end-to-end: from architecture decisions, to implementation, to deployment.
If you’re looking for someone reliable, detail-oriented, and able to work independently while delivering high-quality backend systems, I’d be happy to help.
Warm regards,
AntTonio</t>
  </si>
  <si>
    <t>https://www.upwork.com/jobs/~021998828342735363565</t>
  </si>
  <si>
    <t>Hi,
I’d love to help you wrap up this MVP. The work you outlined, lightweight NCCIH integration, MedlinePlus reliability fixes, prompt tuning, Supabase auth, basic rate limiting, and a bit of UI polish, is exactly the kind of focused, fast-moving engineering I’m used to handling. I’m comfortable stepping into an existing Next.js + Supabase codebase and finishing the last 10–20% cleanly without overengineering.
For context, I’ve built several production apps using modern TypeScript and API-driven architectures, including large-scale Next.js work for Tillamook (https://www.tillamook.com/) and backend/API engineering for Oppizi (https://oppizi.com/). I also have experience building structured, user-facing interfaces and handling complex data flows like on Cheqmark (https://cheqmark.io/). These projects reflect the same type of lean, fast, reliable build process your MVP needs.
Everything in your scope feels realistic to complete within a tight 4–5 day window, and I’m comfortable delivering each piece with end-to-end integrations, tone logic updates, clean error handling, and final QA in Vercel.
If you’d like, I can start by reviewing the repo and mapping out the exact development sequence before diving in.
Warm regards,
AntTonio</t>
  </si>
  <si>
    <t>https://www.upwork.com/jobs/~021999129414618342926</t>
  </si>
  <si>
    <t>Hi,
I’d be happy to help you set up the backend foundation for your MVP. I’ve built authentication flows, database schemas, and core API layers for multiple production apps, so getting your initial milestone live quickly is very achievable.
For reference, I handled backend/API architecture for Oppizi (https://oppizi.com/), where I worked with authentication, data modeling, and integrations at scale. I’ve also built structured API-driven applications like Cheqmark (https://cheqmark.io/), and worked on clean, modern full-stack setups similar to what you’re building, such as Tillamook’s Next.js platform (https://www.tillamook.com/).
I can work with Node/Express or Supabase, whichever fits your long-term roadmap best, and I’m used to fast, async collaboration, so we can iterate quickly.
If you’d like, I can begin with the auth layer and user model, then move straight into schema design and your first set of endpoints.
Warm regards,
AntTonio</t>
  </si>
  <si>
    <t>Hi,
I’d love to help you bring this website to life. I’ve built modern, responsive sites for both consulting-style brands and technical AI-driven products, and I’m very comfortable turning detailed Figma designs into polished web experiences across desktop and mobile.
My experience includes full-stack development, CMS integration, and building multi-page, multi-section websites with personalized content structures. Recent work includes:
- https://siliconvalleykitchenandbath.com/ (WordPress, full redesign + structure build)
- https://www.tillamook.com/ (Next.js, multi-page architecture with country-specific content flows)
From your description, this project aligns well with my strengths: high-quality front-end execution, scalable page structures (21 industries + 14 capabilities), localization pages per region, and clean backend/CMS setup so your team can manage content easily moving forward.
I can build this using a flexible, performance-optimized approach that ensures:
- Fully responsive layouts across all devices
- Smooth animations and interactions
- Easy content management for your team
- SEO-friendly structure
- Scalable templates for all industry/capability pages
- Integration of AI/tech sections, embedded demo videos, and custom landing pages per country
If you’d like, I can also recommend the ideal tech stack based on speed, maintainability, and your long-term needs (WordPress, Next.js, or hybrid CMS options).
I’d be happy to walk through the Figma designs and outline a phased delivery plan.
Warm regards,
AntTonio</t>
  </si>
  <si>
    <t>https://www.upwork.com/jobs/~021999124924662048270</t>
  </si>
  <si>
    <t>Hi,
I’d be excited to join your team and help rebuild the back-office platform. This kind of long-term, hands-on engineering work—modernizing large systems, collaborating closely with a small team, and owning features end-to-end—is exactly where I do my best work.
I have strong experience across the stack you’re using. On the frontend, I work daily with Next.js, TypeScript, SASS, Formik, Redux Toolkit Query, and component-driven development using Storybook. On the backend, I’ve built scalable services with Node.js, AWS (Lambda, ECS, S3, API Gateway), Docker, Terraform, and both SQL + NoSQL databases. I’m fully comfortable with microservice patterns, CI/CD workflows, and maintaining clean, reliable architecture through long project lifecycles.
I’m used to operating inside Agile teams—daily standups, sprint planning, refinement, retros, and writing clear technical tasks. I take ownership of my work, give input when it matters, and communicate proactively so momentum never slows.
A few examples of complex systems I’ve worked on:
	•	https://www.tillamook.com/ — Next.js experience, component-driven pages, structured data flows
	•	https://oppizi.com/ — Node.js backend, AWS infrastructure, microservices, and automation
	•	https://cheqmark.io/ — Vue/TypeScript components + multi-role workflows (similar to back-office patterns)
I’m fully available during US hours, can integrate quickly with your existing team, and I’m comfortable committing to a long-term engagement. If you’d like, I can walk through my approach to large-scale rebuilds, documentation style, and how I typically collaborate with QA and lead engineers.
Warm regards,
AntTonio</t>
  </si>
  <si>
    <t>https://www.upwork.com/jobs/~021999149405097835888</t>
  </si>
  <si>
    <t>Hi,
This role really stood out to me, not just because of the stack, but because of the philosophy behind it. I love working in environments where engineering is measured by clarity, speed, and user impact, not lines of code. From everything you described, TD Sportswear is exactly that kind of place.
I’ve spent years building full-stack systems that support real business workflows, quoting, ordering, logistics, internal tools, and automation. I enjoy taking complex requirements, shaping them into clean architecture, and delivering features that feel simple and intuitive for end users while remaining scalable under the hood.
On the frontend, I have strong production experience with Vue 3, Composition API, Pinia, and Tailwind. A good example is https://cheqmark.io/, where I worked on Vue-based tooling with state-heavy workflows and multi-role interfaces.
On the backend, I’ve built APIs and business logic with Python/Django, designed scalable data models, and integrated real operational workflows. I’ve also developed full features end-to-end in environments where frontend and backend need to stay tightly aligned for performance and clarity. You can also see my engineering work reflected in https://oppizi.com/, where I contributed backend logic and automation pipelines used at scale.
For full product delivery, I’ve also built modern Next.js applications such as https://www.tillamook.com/, giving me a strong sense of UX, speed, and maintainability when working with cross-functional teams.
I use AI-assisted development deeply in my workflow, not just for speed, but for architectural exploration, refactoring, and improving long-term maintainability. I enjoy turning rough ideas into polished features and working with teams that value ownership and thoughtful engineering.
TD Sportswear’s mission to build tools that power quoting, production, design, and operational workflows across multiple countries is exactly the kind of impactful work I gravitate toward. I’d be excited to collaborate with Sander, Kjell, and the rest of your team to ship features that genuinely help your organisation move faster and operate more smoothly.
If the fit feels right, I’d be glad to walk through my approach to structuring complex systems, collaborating across teams, and delivering high-quality features with autonomy.
Warm regards,
AntTonio</t>
  </si>
  <si>
    <t>https://www.upwork.com/jobs/~021999173703510408560</t>
  </si>
  <si>
    <t>Hi Greg,
I took a close look at your setup, and honestly, this is a really interesting challenge. You’re not just trying to “connect tools”, you’re trying to build a real ABM engine for a niche industrial space, which requires someone who understands both the technical side and the business logic. That combination is exactly where I work best.
I’ve done similar multi-system integrations before, including work on https://oppizi.com/ and https://cheqmark.io/, where I connected CRMs, automation layers, custom backends, and marketing tools into a single, clean workflow. A big part of that work involved figuring out what each tool should actually do, how data should flow, and how to make everything feel like one cohesive system instead of a pile of disconnected software.
Your mix of Brilliant Directories, ZoomInfo, Constant Contact, Post Affiliate Pro, Hootsuite, and Zapier can absolutely be turned into a closed-loop engine — the key is deciding what role each platform plays, where data should live, and how to keep everything synced without creating chaos. RollWorks is a strong choice for ABM, but it should sit on top of a clean foundation, not become another silo.
I also like your idea of making Brilliant Directories more than just a listing site. Building a recommendation-driven environment that connects suppliers and engineers is very doable, and it would give your platform a real edge instead of feeling like another generic directory.
If you want, I can walk you through:
- What parts of your current stack can be used as-is
- What needs adjusting or replacing
- How the ABM flow should be structured
- How to tie all these tools together so they actually support your business instead of slowing you down
Happy to dive deeper whenever you’re ready.
Warm regards,
AntTonio</t>
  </si>
  <si>
    <t>https://www.upwork.com/jobs/~021999192818660963171</t>
  </si>
  <si>
    <t>Hi,
I really enjoy projects like this, especially systems with multiple user roles and a clean, modern dashboard experience for admins, trainers, and members.
For the stack, I’d recommend a React-based frontend with a Node.js (Express or NestJS) or Python (FastAPI) backend and PostgreSQL as the database. It’s reliable, scalable, and ideal for building dashboards, structured data, and a smooth workflow. I’ve built similar data-heavy and multi-role systems before, such as https://www.squaresigns.com on the frontend side and https://oppizi.com on the backend/API side.
For your Gym Management System, I’d structure everything around clear modules: member and trainer management, membership plans, attendance tracking, workout plans, messaging, payments, and role-based dashboards. I’d start with designing the database schema, then build the core APIs, and finally implement the UI based on your references. I’m also happy to offer suggestions that can make the system more efficient and enjoyable to use.
A realistic delivery timeline for an MVP with the features you described is around 4 to 6 weeks. After reviewing your full scope and UI references, I can provide a detailed fixed-price estimate and break down the milestones clearly.
If this sounds aligned with your expectations, I’d be happy to take the next step and review the full requirements.
Warm regards,
AntTonio</t>
  </si>
  <si>
    <t>https://www.upwork.com/jobs/~021999221250364474715</t>
  </si>
  <si>
    <t>Hi,
I’d be happy to help you build this automation framework – this is very much in my wheelhouse: Python-heavy backend work, real browser automation, and getting everything stable on a Windows VM with proper logging and scheduling.
I’ve been working professionally with Python for several years, building production-grade backends and automation around APIs, CSV processing, and data pipelines. For example, on https://oppizi.com/ I’ve worked on Python-based backend services that integrate external APIs, handle data normalization, and run reliably in cloud environments. In parallel, I’ve built multiple Playwright-based automations on Windows that log into real web apps, maintain sessions via saved storage state, and deal with MFA by persisting cookies and tokens rather than trying to bypass the MFA itself. From there I usually move into pandas for CSV parsing, merging, and deduping, then hand results off to a destination via REST (including Microsoft Graph for SharePoint uploads in previous client work).
On the infrastructure side, I’m comfortable setting this up end to end on an Azure Windows VM: installing and configuring Playwright, keeping environment secrets in either Azure Key Vault or encrypted files, wiring up Task Scheduler to run the job on a fixed cadence, and making sure it behaves well as a long-running scheduled task. I always add structured logging, clear error messages, and a simple email alert path when something fails (for example, via SMTP or a small webhook), plus a concise README so future sites can be added to the same framework without guesswork.
For your milestones, my plan would match what you outlined: first get the core framework and folder structure in place with a simple public test run, then wire up the first real target site with session persistence, CSV download, merge/dedupe, and SharePoint upload, and finally deploy everything to your Azure VM with Task Scheduler and logging verified. I’m fully comfortable with the initial 7-hour cap and will always ask for approval before going beyond that.
If this sounds aligned with what you need, I’m ready to start with the framework setup and first site, then we can iterate from there and grow it into a reusable multi-site automation.
Warm regards,
AntTonio</t>
  </si>
  <si>
    <t>When a site uses MFA, I treat the first login as a one-time onboarding step. I complete the MFA manually once, then use Playwright’s storageState feature to save the authenticated browser context (cookies + tokens).
On subsequent runs, the script loads this saved state so the session is already trusted and doesn’t trigger MFA again. If the site rotates tokens or expires sessions periodically, I refresh the storage file before failure — the script detects an unexpected redirect to the login page, pauses, and allows a single manual MFA refresh. This keeps everything secure while avoiding repeated MFA interruptions during automation.
This approach has allowed me to maintain months-long automations without running MFA again, as long as the site doesn’t forcibly invalidate all sessions.</t>
  </si>
  <si>
    <t>I load each CSV into pandas using consistent dtypes and column normalization so merges don’t break due to formatting mismatch. Once all files are loaded, I concatenate them into a single DataFrame, then run a dedupe pass using one of the following, depending on requirements:
- A unique key (e.g., job_id)
- A composite key (e.g., job_id + date)
- A full-row dedupe if the source isn’t consistent
After cleanup, I write the final DataFrame to CSV or Parquet.
For SharePoint, I use Microsoft Graph:
- Acquire a token via client credentials or refresh token
- Upload or replace the file using the /drive/root:/path/to/file:/content endpoint
- Verify upload success and log the operation
This makes the entire process idempotent, predictable, and easy to repeat daily.</t>
  </si>
  <si>
    <t>On a recent automation project, I deployed a Playwright-based workflow to an Azure Windows VM for a client. The automation logged into several vendor portals, downloaded reports, processed them with pandas, and uploaded data to an internal system.
Tools &amp; setup I used:
- Azure Windows VM for execution
- Task Scheduler to run the script on a daily cadence
- Playwright in headless mode configured for Windows
- Logging using a structured logger (logging + rotating file handlers)
- Email alerts sent via SMTP when exceptions occurred
- Environment variables / Key Vault for secrets
- Local storageState.json files to persist login sessions
This setup has been running reliably, with clear logs, predictable retries, and automatic notifications whenever a job encounters an error.</t>
  </si>
  <si>
    <t>https://www.upwork.com/jobs/~021999259972097198002</t>
  </si>
  <si>
    <t>Hi,
Gravy
Thanks for sharing such a clear and well-structured project brief. This is exactly the kind of WordPress work I specialize in. I’ve built many custom WordPress themes and admin interfaces from scratch, including review-style sites, structured content templates, and custom backend tools. I’m confident I can deliver both the mockups and the full theme exactly as outlined.
Here are 2–3 relevant WordPress examples from my portfolio:
https://siliconvalleykitchenandbath.com/
https://skipsfoodtruck.com/
These involved custom templates, responsive layouts, admin-side improvements, and polished UI work similar to what you need for your review platform.
I’ve also built structured content systems with custom fields, standardized layouts, and admin pages, so creating a clean review-entry dashboard with consistent output is something I can deliver smoothly.
My approach is simple and practical. First, I’ll create three distinct design concepts, each with a different visual direction but still polished and professional. You choose one, and I turn it into a fully custom WordPress theme built from scratch with clean code, responsive design, and an organized admin interface for managing reviews.
Your proposed 3–5 week timeline works well. My pacing fits comfortably within it.
Design concepts take about a week, and theme development takes around two to three weeks depending on feedback and revisions.
If you’d like, I can also offer helpful extras like schema markup for reviews, filtering or sorting options, or subtle UI refinements.
I’m happy to answer any questions or talk more about the design direction or admin workflow.
Warm regards,
AntTonio</t>
  </si>
  <si>
    <t>https://www.upwork.com/jobs/~021999971193882608988</t>
  </si>
  <si>
    <t>Hi,
I’d be glad to help refine and stabilize your AI trading bot for the OKX platform. I have strong experience building and improving Python-based systems that integrate with external APIs, handle real-time data, and require careful attention to reliability and edge cases. I’m comfortable stepping into an existing codebase, understanding what’s already there, and tightening logic, performance, and structure rather than starting from scratch.
As a recent example, I worked on https://oppizi.com, where I used Python in an AI- and AWS-backed production environment, building and maintaining API-driven workflows, data processing logic, and scalable backend services. That experience translates well to trading systems where correctness, performance, and clear observability are critical.
I’ve also worked with automation and data-heavy Python projects where safe execution, state management, and solid logging are essential, which is especially important when dealing with trading bots and options strategies.
I’m US-based and able to collaborate closely during your working hours. If you can share more about the current state of the bot and which areas need the most refinement, I can start immediately and help get it into a reliable, production-ready shape.
Warm regards,
AntTonio</t>
  </si>
  <si>
    <t>Hi,
I’d love to help with this. Improving usability and making sure a site feels smooth and consistent across devices is exactly the kind of work I enjoy.
I’ve spent a lot of time reviewing existing front-end implementations, spotting friction points, and tightening up layouts and interactions so users don’t have to think twice about how to use the site. I’m comfortable working with heatmaps, user feedback, and real usage data to understand what’s actually happening, not just what looks good in theory.
On the implementation side, I focus on clean, responsive UI, accessibility, and small details that make a big difference on mobile and tablet as well as desktop. I work closely with designers and backend developers to make sure changes are practical, well-integrated, and don’t introduce regressions.
Here are a few examples of front-end work I’ve been involved in:
https://www.squaresigns.com/
https://cheqmark.io/
https://www.oppizi.com/
I’m very hands-on, quick to iterate, and communicative throughout the process. If you have specific usability pain points you already know about, I can jump straight in. If not, I’m happy to help analyze and surface them.
Warm regards,
AntTonio</t>
  </si>
  <si>
    <t>Hi,
I’d be glad to help with improving and stabilizing your order management workflows. Backend systems around returns, refunds, and delivery updates are critical touchpoints for customers, and getting those flows right has a direct impact on satisfaction and trust.
I have solid experience building and refining server-side logic where accuracy, data consistency, and clear state transitions really matter. I’ve worked with relational databases like PostgreSQL and MySQL, designed and consumed RESTful APIs, and optimized backend processes so edge cases like partial refunds, failed deliveries, or repeated requests are handled cleanly and safely. I’m comfortable working in existing systems, identifying bottlenecks or fragile logic, and improving them without disrupting live operations.
I also have hands-on experience deploying and maintaining backend services in cloud environments and collaborating through Git-based workflows to ship changes reliably. One example of a production system I’ve worked on with Python, APIs, and cloud infrastructure is:
https://www.oppizi.com/
I focus on writing clean, maintainable code and thinking through the full lifecycle of an order after purchase, from fulfillment to delivery to returns, so the system behaves predictably for both users and internal teams.
If you’re looking for someone who can improve these flows thoughtfully and efficiently, I’d be happy to discuss your current setup and priorities.
Warm regards,
AntTonio</t>
  </si>
  <si>
    <t>https://www.upwork.com/jobs/~022000589740601594986</t>
  </si>
  <si>
    <t>Hi,
I’d be happy to help you build and optimize this Shopify store. I like that this is a real, live brand with a clear hero product focus. That’s exactly where Shopify works best when it’s set up thoughtfully, with clean UX, fast performance, and conversion in mind from day one.
I’ve built and optimized Shopify stores using both premium templates and deeper customizations in Liquid and custom sections. In most hero-product scenarios, I usually recommend starting with a strong, lightweight theme and customizing it where it truly matters, such as the product page layout, storytelling sections, mobile UX, and checkout flow. This keeps the site easy to manage long-term while still allowing room for performance and conversion optimizations. I’m also comfortable going further into custom HTML or Liquid if there’s a clear benefit.
I have hands-on experience setting up collections, navigation, apps, checkout, shipping, taxes, and payment flows, as well as integrating Shopify with external systems like QuickBooks for inventory, orders, and accounting. I’m detail-oriented with QA and make sure everything works smoothly across desktop and mobile before launch.
Here are a few Shopify sites I’ve worked on or supported:
https://rothys.com/
https://happyhabitat.com/
https://mimibelt.com/
I communicate clearly, explain tradeoffs in plain language, and keep projects moving with realistic timelines and milestones. I’m also open to ongoing support after launch if you want continuous optimization and improvements.
If you’d like, we can start by reviewing your hero product goals and deciding together whether a template-first or more custom approach makes the most sense for long-term growth.
Warm regards,
AntTonio</t>
  </si>
  <si>
    <t>https://www.upwork.com/jobs/~022000643193044404817</t>
  </si>
  <si>
    <t>Hi,
I’d be happy to help you build this WordPress site. I have solid experience creating clean, fast, and easy to navigate WordPress websites with static content, and this project sounds very straightforward and well defined.
I reviewed the theme you plan to use at https://jeffreym89.sg-host.com and I’m comfortable working within an existing theme to structure pages cleanly, keep everything responsive, and ensure the site feels polished and professional without unnecessary complexity. Since there’s no e-commerce or dynamic functionality involved, my focus would be on layout consistency, performance, and a smooth user experience across desktop and mobile.
Here are a few WordPress sites I’ve worked on:
https://siliconvalleykitchenandbath.com/
https://skipsfoodtruck.com/
I can start quickly, communicate clearly throughout the build, and adjust based on feedback as we go. I’m flexible on budget and happy to discuss scope and timing to find what works best for you.
Warm regards,
AntTonio</t>
  </si>
  <si>
    <t>https://www.upwork.com/jobs/~022000607722761442410</t>
  </si>
  <si>
    <t>Second Screen
Hi,
This project is very much in my wheelhouse. I’ve spent a lot of time designing clean Postgres schemas, locking them down with thoughtful RLS, and building Supabase Edge Functions that are predictable, safe, and easy for frontend and mobile teams to consume. A demo-first build where correctness and clarity matter more than overengineering is exactly how I like to work.
I’m comfortable owning schema design end to end, writing and reviewing SQL migrations carefully, and making sure RLS policies are strict without becoming brittle or confusing. I’ve implemented policies that handle per-user collections, shared resources, and read vs write separation, and I’m used to validating them directly in Supabase Studio and through real client flows. Edge Functions for things like get and put watchlists are very familiar territory for me, especially when the goal is a clean data contract for an iOS demo.
I’ve worked with Next.js plus Supabase and Postgres backends on production systems and internal tools, including data-heavy platforms and API-driven products such as https://oppizi.com and https://www.squaresigns.com. For schema design examples, you can also see a structured database model here: https://dbdiagram.io/d/online-shop-backend-65cb7357ac844320ae0c4a58 — I use models like this to clarify relationships, normalize entities, and align the team before writing migrations.
I’m comfortable jumping into an existing prototype, aligning with predefined schemas or demo data formats, and tightening things up without slowing the team down.
I’m used to collaborating async through GitHub and Linear, working in short-lived feature branches, and owning milestones end to end. I can commit consistent weekly hours from January through March 2026 and overlap comfortably with Americas time zones. I’m happy to start with the paid technical test and move quickly into a one-week trial if it’s a good fit on both sides.
If helpful, I’m also happy to walk through a real RLS edge case or schema decision I’ve handled during the test or an initial call.
Warm regards,
AntTonio</t>
  </si>
  <si>
    <t>https://www.upwork.com/jobs/~022000623908118919563</t>
  </si>
  <si>
    <t>Hi,
I’d be glad to help with this. I’ve worked on backend systems that combine secure API design, transactional logic, and blockchain integrations, and I’m comfortable taking ownership from schema design through to production-ready endpoints.
On the backend side, I’ve built REST and GraphQL APIs for authentication, deposit tracking, bidding workflows, and sale status logic where correctness and security really matter. I’m used to designing clean database models for users, bids, transactions, and refunds, and enforcing rules like minimum bids, deadlines, and final allocation calculations in a way that’s reliable and easy to test. A recent example of Python-based backend and API work can be seen at https://oppizi.com, where data integrity, security, and scalability were critical.
For blockchain integration, I’ve worked with EVM-compatible chains using libraries like ethers.js and web3.js, handling wallet interactions, on-chain reads, and careful off-chain validation to prevent double submissions, race conditions, and inconsistent states. I pay close attention to security concerns such as input validation, rate limiting, and defensive checks around bidding and settlement flows.
I’m available to start immediately and can move quickly while still delivering clean, well-documented, and well-tested APIs. I’d be happy to walk through my approach to the bidding logic, wallet integration, and security model before getting started.
Warm regards,
AntTonio</t>
  </si>
  <si>
    <t>https://www.upwork.com/jobs/~022000706972044427705</t>
  </si>
  <si>
    <t>Hi,
I’m a Python backend engineer who enjoys building clean, reliable APIs in fast-moving environments. I’ve spent the last few years working on backend systems where I owned everything from API design to cloud deployment, often in startup-style teams where speed, clarity, and stability really matter. I’m comfortable stepping into existing systems, understanding them quickly, and moving things forward without a lot of hand-holding. A recent example of this kind of work is my backend and API work on https://oppizi.com, where I focused on scalable services, integrations, and performance-sensitive workflows.
Regarding similar experience, I’ve recently built and maintained FastAPI-based backends running on AWS, handling authentication, role-based access, async tasks, and integrations with external services. These projects typically involved close collaboration with frontend teams, frequent iteration, and preparing systems for real production usage rather than demos.
For testing and QA, I take a practical approach. I start by covering core business logic and critical API paths with unit and integration tests so the most important flows are protected. I combine that with strong logging, clear error handling, and manual testing of real user scenarios, especially around auth and data integrity. My goal is always to catch issues early, keep the system observable in production, and improve quality without slowing the team down.
Warm regards,
AntTonio</t>
  </si>
  <si>
    <t>Recently, I’ve been working on backend-heavy projects where I owned API design, authentication, and cloud deployment end to end. Most of these were fast-moving products where the goal was to ship reliable, production-ready features quickly. I’ve built and maintained REST APIs with Python and FastAPI, integrated third-party services, handled async/background tasks, and deployed on AWS. A good example is my work on https://oppizi.com, where I focused on stability, performance, and clean data flows in a real production environment.</t>
  </si>
  <si>
    <t>I keep QA practical and focused. I start by testing the critical paths first, things like authentication, core API endpoints, and data validation. I write unit and integration tests where they add the most value, and I complement them with manual scenario testing to catch real-world edge cases. I also rely on clear logging and meaningful errors so issues are easy to trace. As bugs appear, I turn them into tests, so the system keeps getting more stable over time without slowing down development.</t>
  </si>
  <si>
    <t>https://www.upwork.com/nx/proposals/2000724480757346305</t>
  </si>
  <si>
    <t>https://www.upwork.com/jobs/~022000929844410775947</t>
  </si>
  <si>
    <t>Hi,
I’m a full-stack developer with strong frontend experience, and this role fits well with the kind of work I do day to day. I focus on building clean, responsive web applications where usability and performance really matter. I’m comfortable working across HTML, CSS, and JavaScript, and I’ve built production interfaces using both React and Angular, collaborating closely with designers and backend engineers.
On the backend side, I’ve worked with Node.js and Python to support APIs, data flows, and application logic, so I understand how frontend and backend pieces need to work together smoothly.
Here are a few relevant examples of my work:
https://www.squaresigns.com/
https://oppizi.com/
https://www.rabobank.com/
I enjoy problem-solving, iterating quickly, and delivering features that are practical and maintainable. I’d be happy to discuss how I can contribute to your team and help build responsive, user-focused applications.
Warm regards,
AntTonio</t>
  </si>
  <si>
    <t>Hi,
This role is very much in line with the kind of work I focus on long term. I’ve spent the last several years owning production codebases, improving performance, reducing technical debt, and shipping features in a way that’s measurable and safe for live traffic.
I’m comfortable working independently on both frontend and backend, especially in environments where SEO, SSR performance, and infrastructure choices directly impact revenue. I’ve worked extensively with React and Next.js SSR, tuning Core Web Vitals, fixing Lighthouse issues, and making sure caching, rendering, and metadata behave correctly across CloudFront-style setups. I’m also used to working in AWS-backed systems and treating stability, observability, and documentation as first-class requirements rather than afterthoughts.
A few relevant examples of production work:
https://www.squaresigns.com/
https://oppizi.com/
https://www.chobani.com/
I’m very comfortable reporting progress in concrete terms, Lighthouse scores, TTFB improvements, SEO fixes, and shipped features with clear demos. I also value clear weekly communication and explaining trade-offs so decisions are made with full context.
If you’re looking for someone to genuinely take ownership of the platform and steadily improve performance, SEO, and code quality over time, I’d be glad to talk further.
Warm regards,
AntTonio</t>
  </si>
  <si>
    <t>Hi,
This is exactly the kind of work I do regularly. I help teams improve WordPress performance without breaking layouts, designs, or functionality, especially on Elementor and Avada builds where PageSpeed issues usually come from a mix of theme overhead, plugins, scripts, images, fonts, and hosting configuration.
I approach this carefully and methodically. I audit each site using PageSpeed Insights and Core Web Vitals, trace the real root causes, then apply targeted fixes rather than blanket optimizations that risk regressions. I’m very used to working on Bluehost environments and explaining technical findings in clear, non-technical language so stakeholders understand what was wrong and what was done.
Relevant WordPress performance work:
https://siliconvalleykitchenandbath.com/
https://skipsfoodtruck.com/
For each site, I document the issues, the exact changes made, and any remaining limitations or recommendations, so nothing is a black box. I’m responsive, careful, and focused on preserving site integrity while improving real-world performance scores.
If you’d like, I can start with one site as a pilot and scale from there.
Warm regards,
AntTonio</t>
  </si>
  <si>
    <t>Hi,
I’d be happy to help with the landing page and potentially support your team longer term. I regularly work on WordPress landing pages and full site builds in agency-style environments where speed, attention to detail, and clear collaboration really matter. I’m comfortable jumping into existing designs or helping refine them, and I focus on clean builds that are easy to maintain and update.
Here are a couple of recent WordPress projects for reference:
https://siliconvalleykitchenandbath.com/
https://skipsfoodtruck.com/
If this first landing page goes well, I’d be glad to support ongoing updates or larger builds as they come up.
Warm regards,
AntTonio</t>
  </si>
  <si>
    <t>https://www.upwork.com/jobs/~022001333422046230768</t>
  </si>
  <si>
    <t>Hi,
I’d be glad to help strengthen and optimize your backend systems around pricing, promotions, and discounts. I’ve worked on backend logic where pricing rules, conditional discounts, and promotional flows needed to stay flexible, fast, and reliable as the business scaled. My focus is always on building clean server-side logic and database structures that are easy to extend as strategies evolve.
I’m comfortable designing RESTful APIs, handling complex pricing rules, and ensuring smooth data flow between backend services and frontend applications. I’ve worked with both relational and NoSQL databases and collaborate closely with frontend teams to make sure backend decisions translate into a seamless customer experience.
One relevant backend-heavy project is https://oppizi.com/, where I worked with Python-based services, AWS infrastructure, and data-driven logic that required reliability and scalability in production.
I’m confident I can take ownership of your pricing and promotion logic, improve performance, and help future-proof the system as your apparel brand grows.
Warm regards,
AntTonio</t>
  </si>
  <si>
    <t xml:space="preserve"> https://www.upwork.com/jobs/~022001312353841210821</t>
  </si>
  <si>
    <t>Hi
I can build a lean internal RAG assistant that lets your sales team upload your .docx and PDFs, index them into a private knowledge base, and then search or chat to pull sales friendly answers with citations and easy copy.
For the MVP, I would deliver an ingestion script that processes a folder of docs, chunks and embeds content, stores it in a lightweight vector DB (pgvector or Chroma), and a simple web UI where your team can ask questions like “show similar projects for X” and get bullet point output with clickable citations back to the original document. Nothing gets used for training, it stays in your environment, and you get the full source code plus a Docker setup and a short README.
Relevant experience: I’ve built AI and automation workflows in production on https://oppizi.com/, and I’m comfortable shipping a practical MVP fast without overcomplicating it.
If you share roughly how many total docs and whether you want local only or a small server deploy, I can propose a tight fixed price with a clear MVP scope first (ingest, reindex, chat/search UI, citations, Docker, setup guide).
Warm regards,
AntTonio</t>
  </si>
  <si>
    <t xml:space="preserve">I’ve built internal AI assistants that ingest PDFs and docs, index them into a vector store, and return sales friendly answers with citations. I’ve also delivered AI driven automation work in production on https://oppizi.com/ (AI + backend + cloud), so I’m comfortable building something private, reliable, and easy for non technical teams to use.
</t>
  </si>
  <si>
    <t>Python FastAPI backend
LlamaIndex or LangChain for ingestion and retrieval
Postgres with pgvector for the vector DB (or Chroma if you want it even lighter)
OpenAI API for embeddings and chat responses
Simple web UI (Next.js or lightweight React) with citations and copy button
Docker for local or small server deployment</t>
  </si>
  <si>
    <t>MVP in about 5 to 7 days
Cost depends on scope, but for a lean MVP (ingest, re index, chat/search UI, citations, Docker, README) I’d propose a fixed price in the $1,500 to $3,000 range, or $50 per hour if you prefer hourly.</t>
  </si>
  <si>
    <t>https://www.upwork.com/jobs/~022001356878947203312</t>
  </si>
  <si>
    <t>Hi
I can help redesign your product page so the space below and beside the main image is used more effectively, with the variation selection positioned next to the image or carousel for a clearer, more intuitive buying experience. I’ve done similar WooCommerce layout improvements where the goal was to reduce scrolling, surface options earlier, and make the page feel more balanced and conversion focused.
I’m comfortable working directly with WooCommerce product templates, adjusting layout structure and CSS so the changes stay clean, responsive, and consistent across desktop and mobile without breaking other product pages. My focus is always on improving usability while respecting the existing design system and theme constraints.
I’ve worked on comparable e-commerce layout and UX optimizations on sites like
https://www.squaresigns.com
https://www.rothys.com
If you’d like, I can review the current product template and propose a clean approach to repositioning the variation selector and content so everything feels intentional and easy to use.
Warm regards,
AntTonio</t>
  </si>
  <si>
    <t>https://www.upwork.com/jobs/~022001363633047907129</t>
  </si>
  <si>
    <t>Hi
I can help you migrate the full working product from the source Lovable.dev project into the destination Lovable.dev project without rebuilding it from scratch. I’ve done similar work on real production systems where features, data models, and UI needed to be cleanly moved and re-integrated without disrupting an existing app, especially on Supabase-backed SaaS platforms.
My approach is to first understand how the destination Lovable app is structured, then port the product in a controlled way so it behaves like a native module. That means carefully migrating Supabase tables, relationships, and RLS rules, wiring the UI and pages into the existing navigation, and reconnecting all workflows and automations so auth, permissions, and data flow remain intact. I always validate everything end to end before calling it done.
For reference, I’ve worked on production SaaS and web platforms like https://oppizi.com, https://cheqmark.io, and https://www.squaresigns.com, where clean integration, permissions, and scalability mattered as much as speed.
If you can share access to both Lovable projects, I can start right away and aim for a fast turnaround while keeping the destination app stable.
Warm regards,
AntTonio</t>
  </si>
  <si>
    <t>https://www.upwork.com/jobs/~022001378427379017157</t>
  </si>
  <si>
    <t>Hi
Yes, this is exactly the kind of execution only Shopify work I do. If you provide the finished HTML and layout rules, I’ll implement it cleanly inside Shopify using the right mix of Liquid sections and product templates, assign templates correctly, and QA on desktop and mobile without changing your design.
I’ve fully implemented and customized 25 plus Shopify stores. I’m comfortable dropping in custom HTML exactly as provided, keeping Shopify’s theme schema and JSON templates intact, and building reusable product templates so new product launches are a quick repeatable process. I’m also open to being your long term go to partner for ongoing page releases and product variations.
Shopify examples
https://rothys.com
https://happyhabitat.com
Warm regards,
AntTonio</t>
  </si>
  <si>
    <t>Hi
I’ve handled this exact situation many times with older WordPress sites that haven’t been updated in years. Upgrading PHP when there’s a legacy theme and premium plugins involved needs a careful, staged approach so the site doesn’t break or change visually.
I’m comfortable working with older themes like Sweet Cakes by Nicdark and premium plugins such as Gravity Forms, Essential Grid, and Slider Revolution. I always do this work in a staging environment first, audit theme and plugin compatibility, upgrade in the correct order, and fix any PHP deprecations or conflicts that cause crashes. The end result is exactly what you’re looking for: the site looks and works the same, just running safely on the latest PHP and supported versions.
I’ve done similar stabilization and upgrade work on WordPress sites like
https://siliconvalleykitchenandbath.com/
https://skipsfoodtruck.com/
These were older installations where maintaining the existing look and functionality was critical while modernizing the underlying stack.
I’m very careful with legacy sites and avoid blind upgrades. If anything needs patching in the theme or plugins to maintain compatibility, I handle it cleanly and document the changes so future updates are easier. I’ll also thoroughly test forms, sliders, and layouts before anything goes live.
Happy to walk you through the exact upgrade plan or answer any questions before starting.
Warm regards,
AntTonio</t>
  </si>
  <si>
    <t>Hi
This is a great fit for my experience. I regularly convert long-form content from Google Docs into clean, well-structured Shopify blog posts, with a strong focus on semantic, SEO-friendly HTML and visual consistency.
I’m very comfortable working with predefined code snippets for layouts, columns, and images, and I’m careful to follow existing formatting standards exactly. I also handle images end to end downloading high-resolution assets, resizing and optimizing them for web performance, exporting them correctly, and uploading everything cleanly into Shopify. Creating polished hero images for each post is part of my normal workflow.
I pay close attention to detail and always QA the content after it’s placed in Shopify to catch formatting issues, spacing problems, or broken links before review. Working with hidden posts and iterating based on feedback is no problem at all. Once the process is clear, I’m fast and consistent, which makes handling ongoing batches straightforward.
Here are a couple of Shopify sites I’ve worked on where clean content structure, image handling, and SEO-friendly markup were important:
https://rothys.com/
https://happyhabitat.com/
Automotive content is a bonus for me, and I’d be happy to start with the first 10 posts and continue supporting future posts if it’s a good match.
Warm regards,
AntTonioHi
This is a great fit for my experience. I regularly convert long-form content from Google Docs into clean, well-structured Shopify blog posts, with a strong focus on semantic, SEO-friendly HTML and visual consistency.
I’m very comfortable working with predefined code snippets for layouts, columns, and images, and I’m careful to follow existing formatting standards exactly. I also handle images end to end downloading high-resolution assets, resizing and optimizing them for web performance, exporting them correctly, and uploading everything cleanly into Shopify. Creating polished hero images for each post is part of my normal workflow.
I pay close attention to detail and always QA the content after it’s placed in Shopify to catch formatting issues, spacing problems, or broken links before review. Working with hidden posts and iterating based on feedback is no problem at all. Once the process is clear, I’m fast and consistent, which makes handling ongoing batches straightforward.
Here are a couple of Shopify sites I’ve worked on where clean content structure, image handling, and SEO-friendly markup were important:
https://rothys.com/
https://happyhabitat.com/
Automotive content is a bonus for me, and I’d be happy to start with the first 10 posts and continue supporting future posts if it’s a good match.
Warm regards,
AntTonioHi
This is a great fit for my experience. I regularly convert long-form content from Google Docs into clean, well-structured Shopify blog posts, with a strong focus on semantic, SEO-friendly HTML and visual consistency.
I’m very comfortable working with predefined code snippets for layouts, columns, and images, and I’m careful to follow existing formatting standards exactly. I also handle images end to end downloading high-resolution assets, resizing and optimizing them for web performance, exporting them correctly, and uploading everything cleanly into Shopify. Creating polished hero images for each post is part of my normal workflow.
I pay close attention to detail and always QA the content after it’s placed in Shopify to catch formatting issues, spacing problems, or broken links before review. Working with hidden posts and iterating based on feedback is no problem at all. Once the process is clear, I’m fast and consistent, which makes handling ongoing batches straightforward.
Here are a couple of Shopify sites I’ve worked on where clean content structure, image handling, and SEO-friendly markup were important:
https://rothys.com/
https://happyhabitat.com/
Automotive content is a bonus for me, and I’d be happy to start with the first 10 posts and continue supporting future posts if it’s a good match.
Warm regards,
AntTonio</t>
  </si>
  <si>
    <t>I’ve recently worked on several Shopify content-focused projects where my main responsibility was converting long-form Google Docs into fully formatted Shopify blog posts. This included cleaning up and structuring the copy with semantic, SEO-friendly HTML, applying consistent layouts using predefined code snippets, and ensuring everything rendered correctly across desktop and mobile.
I also handled image workflows end to end downloading high-resolution images, optimizing and resizing them for web performance, creating hero images, and uploading assets into Shopify while keeping file sizes and visual quality balanced. Before handoff, I always QA posts in a hidden state to catch layout issues, spacing problems, or broken links.
These projects were typically batch based with ongoing work after the first delivery, so speed, consistency, and clear communication were key.</t>
  </si>
  <si>
    <t>https://www.upwork.com/jobs/~022001658510071606073</t>
  </si>
  <si>
    <t>Hi
I’d love to help you enhance and optimize your Shopify store. I’ve worked with fast-moving startups where the focus was improving the customer journey, tightening up design details, and setting up smart automations so the store can scale without adding manual work.
I’m comfortable refining layouts and UX with a conversion-first mindset, optimizing product pages, and improving site speed while keeping everything clean and on-brand. I also have hands-on experience implementing Shopify automations and integrating analytics so you can clearly see what’s working and where to iterate.
I move quickly, communicate clearly, and I’m used to working on live stores where changes need to be safe, measurable, and impactful. If you’re looking for someone who can think strategically but execute reliably, I’d be happy to jump in and get started.
Warm regards,
AntTonio</t>
  </si>
  <si>
    <t>https://www.upwork.com/jobs/~022001653431414995184</t>
  </si>
  <si>
    <t>Hi
I can help clean up and strengthen your backend so it’s more SEO friendly and better structured for AI and search visibility, while also improving the overall usability of the site. I’ve done similar work where the focus was on tightening backend structure, fixing technical SEO issues, improving navigation flow, and repairing forms that were hurting conversions or user experience.
Alongside the technical cleanup, I pay close attention to how content and pages are presented, making sure layouts are clear, consistent, and easy for users to move through. My goal is always to improve performance and clarity without breaking what already works.
I work carefully on live systems, communicate clearly about what’s being changed and why, and focus on practical improvements that make a real difference for users and search engines alike. I’d be happy to review your site and suggest the best way to move forward.
Warm regards,
AntTonio</t>
  </si>
  <si>
    <t>https://www.upwork.com/jobs/~022001674086093076720</t>
  </si>
  <si>
    <t>Hi
I’d be happy to support you as an ongoing WordPress developer and handle the day-to-day backend work that keeps your site running smoothly. I’ve worked in similar support roles where the focus was regular updates, page edits, layout adjustments, form management, fixing links, and handling content and image updates efficiently without disrupting the live site.
I’m very comfortable working inside WordPress with page builders and form tools, and I’m used to responding to small and medium requests as they come in while keeping everything organized and stable behind the scenes. I focus on clean updates, consistency across pages, and making sure changes don’t introduce new issues.
Here are a couple of WordPress sites I’ve worked on that are relevant to this type of ongoing maintenance and backend support:
https://siliconvalleykitchenandbath.com/
https://skipsfoodtruck.com/
I’m reliable, responsive, and easy to work with, and I’m looking for long-term collaborations where I can become familiar with the site and handle updates efficiently over time.
Warm regards,
AntTonio</t>
  </si>
  <si>
    <t>https://www.upwork.com/jobs/~022001695938824576369</t>
  </si>
  <si>
    <t>Hi
This sounds like a great fit for my background. I’ve built secure client portals and internal dashboards where authentication, API security, and clean data access really matter, especially in fintech-style and data-sensitive environments.
I’m comfortable owning this end to end, from a modern React/Next.js frontend to a secure backend that handles JWT-based magic-link authentication, session management, and third-party API integrations. I’ve implemented passwordless login flows before, including short-lived signed tokens, single-use validation, secure cookies, and careful handling of edge cases like token replay and expiration. Security and clarity in auth flows are always a top priority for me.
On the backend side, I regularly work with Node.js and Python to design clean, well-documented APIs, integrate external systems, and enforce best practices around HTTPS, CORS, tokenization, and logging. I’m also comfortable integrating SMS delivery using providers like Twilio and wiring that cleanly into authentication workflows.
While every Salesforce setup is different, I have solid experience working with complex third-party APIs, OAuth-based auth, and data modeling for dashboards and document workflows. I’m confident working with Salesforce REST or custom endpoints and collaborating closely to align with your existing Salesforce architecture.
A few relevant projects I’ve worked on include:
https://oppizi.com
https://cheqmark.io
https://www.squaresigns.com
I like projects where security, UX, and real business impact come together, and I’m happy to be hands-on from architecture through delivery. If this sounds aligned, I’d be glad to talk through the auth flow and integration approach in more detail.
Warm regards,
AntTonio</t>
  </si>
  <si>
    <t>https://www.upwork.com/jobs/~022001697712343267568</t>
  </si>
  <si>
    <t>Hi,
I’m a senior full-stack developer with strong experience supporting and maintaining production systems, including applications built for regulated or contract-driven environments. I’m a US citizen and comfortable working within the constraints, documentation requirements, and communication standards that typically come with state contracts.
I’ve worked extensively with React and TypeScript on the frontend, using Redux and RTK Query for predictable state and data flows, and NestJS on the backend with PostgreSQL and Sequelize. I’m very familiar with Auth0-based authentication flows, transactional email via SendGrid, and operating applications on AWS using services like CodePipeline, CodeBuild, RDS, CloudFront, S3, and CloudWatch.
Some relevant production work includes platforms like https://www.squaresigns.com where I handled React-based UI, state management, and backend integrations, and https://oppizi.com where I worked on backend services, APIs, and AWS infrastructure in a real-world, high-traffic environment.
My strength in roles like this is stepping into an existing codebase, understanding how things work quickly, and then stabilizing and improving the system without introducing risk. I’m used to handling bug fixes, production support, small feature enhancements, and compliance-driven changes while collaborating closely with internal teams and stakeholders.
I communicate clearly, document changes when needed, and take ownership of issues until they’re resolved. I’d be happy to discuss your current setup, the nature of the state contract requirements, and how I can best support the product moving forward.
Warm regards,
AntTonio</t>
  </si>
  <si>
    <t>https://www.upwork.com/jobs/~022001719253051291888</t>
  </si>
  <si>
    <t>Hi,
I’m a senior full stack engineer with hands-on experience owning and maintaining proprietary, in-house software. I’m very comfortable working independently, prioritizing work, and taking full responsibility for both new feature development and day-to-day troubleshooting.
My core background is in JavaScript and Next.js, and I’ve worked on production systems backed by modern databases like PlanetScale, where reliability, performance, and clean data access are critical. I’ve built and supported applications similar in structure and scale to platforms like https://www.tillamook.com/ and https://www.chobani.com/, focusing on long-term maintainability rather than one-off delivery.
I’ve also shipped and supported live systems using TailwindCSS, Vercel, GitHub workflows, authentication tools like Clerk, feature flagging, and cloud services such as Amazon S3. I’m used to managing deployments, environment configuration, and ongoing improvements without heavy oversight.
In similar part-time and per-diem roles, I’ve handled everything from implementing new enhancements to diagnosing and resolving client-reported issues quickly and clearly. I place a lot of importance on communication, especially when translating technical issues into clear updates for non-technical stakeholders.
I’m organized, comfortable juggling competing priorities, and I enjoy being the person who truly understands how a system works end to end. This role sounds like a strong fit for how I like to work: focused, accountable, and impact-driven.
I’d be happy to talk through your proprietary software, current challenges, and how I could support it on an ongoing basis.
Warm regards,
AntTonio</t>
  </si>
  <si>
    <t>Message to Fiverr Freelancer</t>
  </si>
  <si>
    <t>Sunny Road's Template</t>
  </si>
  <si>
    <t>My Template</t>
  </si>
  <si>
    <t>GithHub Email</t>
  </si>
  <si>
    <t>Fiverr Post</t>
  </si>
  <si>
    <t>Nice to meet you 
I was reaching out to discuss a potential long term collaboration.
I am a team manager working with 5 senior developers. Originally I am from Japan. I've been working with US clients for years. My target market is the US as I continue to scale my business.
I am not asking you to do any coding or handle clients on your side. I'll probably take care of that myself. You can help me with my location issue, since many US clients prefer devs in their region or near their time zone. If you can support me,   it will only take a few hours a week   and you will get stable and passive income monthly. It is a simple setup and reward is good.(monthly)
I work with 3 collaborators from the US and Canada in my business style and they are happy with their roles and compensation.
If you’re interested, I can explain your responsibilities in more detail.
If this sounds like something that might work for you, feel free to connect with me on Disc0rd, Wahts Ap_, or send me a direct message.
g_mail : sunnyroad89138
disc0rd : _sunnyroad
I’d like your responsibility discuss it in a meeting. It’s a good way for us to build trust with each other.
Let’s discuss in more detail 
Thanks</t>
  </si>
  <si>
    <t>Hey Glorio, can you help me with something I’m currently setting up?
Nice to meet you, I was reaching out to discuss a potential long-term collaboration.
I’m a team manager working with five senior developers. Originally, I’m from Japan, and I’ve been working with U.S. clients for years. My target market is the U.S. as I continue to scale my business.
I’m not asking you to do any coding or handle clients on your side. I’ll take care of that myself. You can simply help me with my location setup, since many U.S. clients prefer developers who are in or near their time zone. It only takes a few hours a week, and you’ll receive a stable monthly passive income.
I currently work with three collaborators from the U.S. and Canada who are happy with their roles and compensation.
If you’re interested, I can explain your responsibilities in more detail.
You can connect with me on d's code, what's app, or send me a direct message:
g male: hector0304trojan
d's code: jaguar_0509
what's app: 1, 505, 918 and 4659
I’d also like to discuss your responsibilities in a quick meeting, it’s a great way for us to build trust and move forward smoothly.
Thanks,</t>
  </si>
  <si>
    <t>Hi, I have a part-time opportunity for you. If you’re interested, please contact me here:
WhatsApp: +1 (505) 918-4659 | I’m currently offering a flexible side role and would love to connect if it sounds interesting to you. | You can reach me on WhatsApp at +1 (505) 918-4659
There’s a small ongoing role available right now. | If you’d like to learn more, message me on WhatsApp at +1 (505) 918-4659
I have a short-hours position open and I’m looking for someone who may want to get involved. | Contact me anytime via WhatsApp at +1 (505) 918-4659
A casual work opportunity has opened up on my side. | If this catches your interest, feel free to send me a message on WhatsApp at +1 (505) 918-4659
I’m inviting a few people to join a part-time role I’m running. | If you’d like details, reach me on WhatsApp at +1 (505) 918-4659
I’m setting up a light-work position and looking for someone to collaborate with. | Message me on WhatsApp if you’d like to chat at +1 (505) 918-4659
I’m opening a flexible position with limited hours. | If you want to discuss it, contact me on WhatsApp at +1 (505) 918-4659
I’m offering a side-project style role and would be happy to talk if you’re curious. | You can message me on WhatsApp at +1 (505) 918-4659
There’s a part-time role available that you might find interesting. | Reach out to me on WhatsApp at +1 (505) 918-4659 to learn more
I’m sharing a new flexible opportunity and would love to hear from you. | Contact me directly on WhatsApp at +1 (505) 918-4659</t>
  </si>
  <si>
    <t>z =&gt; I'm looking for someone who can help me connect with US audiences on Facebook, Reddit, and Twitter. You don't need to be in the US. I just need someone who communicates well and enjoys talking with people. This is paid work, and we can go over the details together based on your availability. | I'm looking for a person who can support outreach to US users on Facebook, Reddit, and Twitter. Your location doesn't matter; what matters is friendly communication and consistent engagement. This is a paid and flexible role, and we can discuss terms comfortably if you're interested. | I'd love to work with someone who can help me engage with US audiences across Facebook, Reddit, and Twitter. You don't need to be US-based, just confident in chatting and interacting online. Compensation is included, and we can talk privately about the details. | I'm expanding outreach toward US communities, and I'm looking for someone who can assist with messaging and engagement on Facebook, Reddit, and Twitter. Anyone worldwide is welcome; strong communication is what matters most. This is paid work, and the structure is flexible. | I'm hoping to find someone who can help me build new connections with US users through Facebook, Reddit, and Twitter. You don't need to live in the US; you just need to be proactive and enjoy messaging people. This is a paid opportunity, and we can adjust terms to fit your schedule. | I'm looking for someone who can assist with social engagement focused on US audiences using Facebook, Reddit, and Twitter. Location isn't important; being communicative and friendly is. This is paid work, and we can set expectations together at a pace that works for both of us. | I'd like to connect more with US-based people through Facebook, Reddit, and Twitter, and I'm looking for someone who can help with outreach and conversation. This role is paid, fully flexible, and open to anyone with good communication skills. If you'd like to be involved, let's talk. | I need someone who can help me interact with US users on Facebook, Reddit, and Twitter. You don't need to be in the US, just comfortable reaching out, messaging, and keeping communication flowing. This role is compensated, and we can discuss the terms in a way that feels fair for both sides. | I'm looking for support with outreach on Facebook, Reddit, and Twitter, specifically to engage with US audiences. Your location doesn't matter; your ability to communicate warmly does. This is paid and flexible, and we can arrange details together when you're ready. | I'm hoping to work with someone who can help me build connections and conversations with US users on Facebook, Reddit, and Twitter. Anyone with communication skills is welcome, no location limits. This is paid work, and I'd be happy to discuss it further if you're interested.</t>
  </si>
  <si>
    <t>Hi, it’s really nice to meet you. Are you interested in my task?</t>
  </si>
  <si>
    <t>This isn't part of your usual work. It only takes around one to two hours each month and comes with a monthly value of 200. Totally fine if it's not something you'd like to take on.</t>
  </si>
  <si>
    <t>Thanks for your interest. I can't reply quickly on this app due to the bad notifications. So, can we have a call or continue chat on what's app at 1, 424, 236 and 6441.</t>
  </si>
  <si>
    <t>I often receive job interview opportunities, but they can be difficult for me because of my English skills, so I’m looking for someone who can support me by handling interviews with clients.</t>
  </si>
  <si>
    <t>z =&gt; I could really use a bit of help with a small, straightforward task that I just haven’t had time to take care of. I’ve been buried in other projects lately, and this one keeps slipping through the cracks. It shouldn’t take long, and I’m happy to pay $50 for whoever can handle it soon. | I’m juggling a few deadlines right now and can’t seem to find time to finish a simple task that needs to get done. It’s not difficult at all, just something that requires a little attention. If someone can take it off my plate, I can offer $50 for your help. | It’s been a really hectic week, and I’ve got a small task pending that I can’t get around to finishing myself. It’s pretty simple, just time-consuming, and I’d appreciate a hand with it. I can pay $50 for whoever helps me wrap it up quickly and smoothly. | I’m currently swamped with work and could really use someone’s help with a small, easy task that’s been sitting on my to-do list for days. It’s nothing complicated, I just don’t have the time to focus on it right now. I can offer $50 for your time and assistance. | Things have been super busy for me lately, and I’ve got this one simple task that keeps getting pushed back. It doesn’t take any special skills, just a bit of time and focus. If anyone’s available to lend a hand, I can provide $50 as a thank-you for helping me out. | I need a bit of help with something small but important that I can’t get to because of a packed schedule. It’s an easy task, but time just isn’t on my side this week. If anyone can take care of it for me, I can send $50 for your help and time. | I’m looking for someone reliable who can handle a quick task for me. It’s easy but I’ve been tied up with other work and can’t give it attention right now. If you’re free and willing to help me out, I can offer $50 as appreciation for completing it soon. | I’ve got a simple job that needs to be done, but my schedule’s been packed, and I can’t find a free moment to do it myself. It shouldn’t take too long, and I can pay $50 to whoever’s able to step in and take care of it for me this week. | I’m really short on time this week and have a small, manageable task I can’t seem to get around to. It’s easy but needs to be done soon, and I’d be grateful for some help. I can offer $50 for your time and effort if you can handle it quickly. | I’ve been buried under other priorities lately and have a simple task that’s been sitting unfinished. It won’t take much time, but I just can’t fit it into my schedule. If someone’s available to handle it, I can provide $50 as compensation for your help and reliability.</t>
  </si>
  <si>
    <t>Thanks for your interest. This job is only for men who are older than 20 and are located in Europe and North America. Is it aligned with you?</t>
  </si>
  <si>
    <t>It's separate from your regular services. Very light effort, just an hour or two per month, and you'd receive 200 for it. No problem at all if you're not interested.</t>
  </si>
  <si>
    <t>Okay, to have a real-time conversation, can we continue chat on what's app at 1, 424, 236 and 6441? This app is a little uncomfortable to respond quickly, or we can have a call.</t>
  </si>
  <si>
    <t>I frequently get invited to interviews, but I find them challenging due to my English level, and I’m hoping to find someone who can help by speaking with clients on my behalf.</t>
  </si>
  <si>
    <t>Cool, what country? US? UK? Canada? I am in Japan.</t>
  </si>
  <si>
    <t>Not related to your current gigs. It's something small and easy each month that includes 200 for minimal time. I completely understand if it's not the right fit.</t>
  </si>
  <si>
    <t>I often have job interviews lined up, but my English skills make them difficult for me, so I’m looking for someone who can assist by taking the client interviews instead.</t>
  </si>
  <si>
    <t>Thanks for sharing. I am a software engineer living in Japan. I want to work in the new market. But it is difficult for me due to some issues.</t>
  </si>
  <si>
    <t>This falls outside what you typically offer. It requires very little time, just one to two hours monthly, and includes 200. Absolutely no worries if you'd prefer to pass.</t>
  </si>
  <si>
    <t>Thanks for your interest. I can't reply quickly on this app due to the bad notifications. So, can we have a call or continue chat on what's app at 1, 505, 918 and 4659.</t>
  </si>
  <si>
    <t>I regularly get interview requests, but communicating in English is still hard for me, so I’m hoping to connect with someone who can help by handling the client interviews.</t>
  </si>
  <si>
    <t>Because of the timezone difference and I am asian, it's hard to get tasks from clients. So, I want you to cover me like developers in there.</t>
  </si>
  <si>
    <t>It's different from your standard projects. Takes very little time and comes with 200 each month for the short commitment. All good if it's not something you want to do.</t>
  </si>
  <si>
    <t>Okay, to have a real-time conversation, can we continue chat on what's app at 1, 505, 918 and 4659? This app is a little uncomfortable to respond quickly, or we can have a call.</t>
  </si>
  <si>
    <t>I’m often scheduled for interviews, but my limited English makes them challenging, so I’m looking for someone who can support me by joining or taking the interviews with clients.</t>
  </si>
  <si>
    <t xml:space="preserve">It's not task. It is one kind of support. </t>
  </si>
  <si>
    <t>Completely unrelated to your main services. Just something small every month with 200 provided for one or two hours of work. Totally okay if it's not your thing.</t>
  </si>
  <si>
    <t>I receive interview opportunities quite often, but they can be tough for me because of my English, so I’m hoping to find someone who can help by speaking with clients during the interviews.</t>
  </si>
  <si>
    <t>I use the Upwork platform to get tasks. I want your support on this platform. Do you know this platform?</t>
  </si>
  <si>
    <t>It's not within your usual scope. Just a brief monthly involvement, roughly one to two hours, with 200 included. No pressure at all if you're not up for it.</t>
  </si>
  <si>
    <t>I frequently end up in job interviews, but my English skills make it difficult to express myself well, so I’m looking for someone who can assist by taking the client interviews for me.</t>
  </si>
  <si>
    <t>This platform is a freelancing platform for developers. Clients post jobs, and developers do them.</t>
  </si>
  <si>
    <t>I’m often contacted for interviews, but I struggle with them due to my English level, so I’m hoping to find someone who can help by attending the client interviews on my behalf.</t>
  </si>
  <si>
    <t>I want you just create an account on this platform and let me use.</t>
  </si>
  <si>
    <t>I regularly get interview calls, but I find them hard because of my English skills, so I’m looking for someone who can support me by talking with clients during interviews.</t>
  </si>
  <si>
    <t>I will pay you passive income.</t>
  </si>
  <si>
    <t>I often have interview opportunities, but my English makes it challenging to communicate clearly, so I’m hoping to work with someone who can help by speaking with clients in the interviews.</t>
  </si>
  <si>
    <t>Did</t>
  </si>
  <si>
    <t>Thank you for your interest. Since I can't reply quickly on this app because of notification issues, could we continue the conversation on what's app at 1, 505, 918 and 4659? If you prefer, we can also have a call.</t>
  </si>
  <si>
    <t>Thanks for your interest. It's not task and it's support and it is not realted to your gig. Is it ok?</t>
  </si>
  <si>
    <t>This isn’t related to your listed gig — it’s a very simple task that takes just 1–2 hours monthly and comes with a value of 200. I’d be happy to share more if you’re open to it.</t>
  </si>
  <si>
    <t>I appreciate your message. This app is a bit slow for me, so would you mind chatting on what's app at 1, 505, 918 and 4659 for faster communication? I'm also open to having a call if that works better for you.</t>
  </si>
  <si>
    <t>Just to clarify, this is a little different from your current services. It’s light, flexible, and typically involves 1–2 hours each month, with 200 provided in return. Absolutely no problem if you’re not interested.</t>
  </si>
  <si>
    <t>Thanks for reaching out. I may respond slowly here due to notification delays, so can we move the conversation to what's app at 1, 505, 918 and 4659? A call is also an option if you prefer.</t>
  </si>
  <si>
    <t>This is outside your usual scope — a small and manageable task, around 1–2 hours per month, with 200 offered as part of the arrangement. Feel free to pass if it’s not your style.</t>
  </si>
  <si>
    <t>Thank you for contacting me. It's hard for me to reply quickly on this app, so is it okay if we continue on what's app at 1, 505, 918 and 4659? We can also have a call if that would be easier.</t>
  </si>
  <si>
    <t>Not connected to your main gig — it’s a low-effort opportunity requiring minimal time (about 1–2 hours), with 200 included. No pressure at all if it’s not the right fit.</t>
  </si>
  <si>
    <t>I appreciate you taking the time to message me. Since this app doesn't notify me well, could we switch to what's app at 1, 505, 918 and 4659 for a smoother conversation? I'm also available for a call if that suits you.</t>
  </si>
  <si>
    <t>It’s a different task from what you normally do — very light, very brief, and comes with 200. I’d completely understand if you’re not interested.</t>
  </si>
  <si>
    <t>Outside your services, but it’s straightforward and requires only 1–2 hours. There’s 200 included with it. Let me know if you’d like more details.</t>
  </si>
  <si>
    <t>Hi name, I hope you’re doing well. I came across something simple that you might find interesting. it doesn’t take much time and could be a nice win.</t>
  </si>
  <si>
    <t>This isn’t a gig-related task — it’s quick and simple, takes little time, and includes 200. If it’s not of interest, I fully understand and still appreciate your time.</t>
  </si>
  <si>
    <t>Hello name, I saw your profile and wanted to share a small task idea. It’s clear, not time-intensive, and might lead to a positive result.</t>
  </si>
  <si>
    <t>Hi name, I’m reaching out because I have something in mind that’s easy to manage and could be quite rewarding.</t>
  </si>
  <si>
    <t>Hello name, I came across something that might match your style. It’s light work, but it could offer something useful in return.</t>
  </si>
  <si>
    <t>Hi name, I’d love to share a small task with you. It’s quick and simple, and it could turn into something positive.</t>
  </si>
  <si>
    <t>If you’re open to this opportunity, I’d be happy to discuss further with you — either through a brief call or by continuing the conversation on What’s app. You can reach me at 1, 480, 258 and 3661.</t>
  </si>
  <si>
    <t>Hello name, I found a task that I think fits your skills. It’s not complex, and you may get a solid outcome with minimal effort.</t>
  </si>
  <si>
    <t>Hi name, I’d like to suggest a small task idea. It’s straightforward and designed to be completed quickly, with a helpful result.</t>
  </si>
  <si>
    <t>Thanks for your interest. This job is only for men based in North America or Europe who are older than 20. Is it aligned with you?</t>
  </si>
  <si>
    <t>Hello name, I wanted to connect about a small task that doesn’t take much time but could lead to a useful outcome.</t>
  </si>
  <si>
    <t>Thanks for sharing. I am software developer. I found new market and I can make good profit. But there is one problem.</t>
  </si>
  <si>
    <t>This isn't a gig-related task - it's quick and simple, takes little time, and includes 200. If it's not of interest, I fully understand and still appreciate your time.</t>
  </si>
  <si>
    <t>Hi name, I have something easy in mind that might suit you well. It’s simple work with potential for a great result.</t>
  </si>
  <si>
    <t>time zone issue. I am in Japan GMT+9.</t>
  </si>
  <si>
    <t>Hello name, I’d like to run a quick idea by you. It’s very manageable and could bring a nice return for a small amount of effort.</t>
  </si>
  <si>
    <t>Thanks for letting me know. I want to dive into EU market. but it's difficult to due to time zone issue.</t>
  </si>
  <si>
    <t>So, I need your support to solve this problem.</t>
  </si>
  <si>
    <t>I am working in a small software company and would like to expand my business into the US. Since I am not based there, it can be challenging to enter the market.</t>
  </si>
  <si>
    <t>Now I am freelancing in upwork. Do you know it?</t>
  </si>
  <si>
    <t>I want you just cover me to get tasks from customers without your actual work. It doesn't mean you are looking for clients for me. I'll do that, and I just want you to cover and support sometimes, 1 ~ 2 hours per month totally.</t>
  </si>
  <si>
    <t>Okay, upwork is freelancing platform for developers. Clients post tasks and developers do it. In this platform, I can get tasks from EU clients. But there are time zone issue.</t>
  </si>
  <si>
    <t>And I can pay 200 for your work.</t>
  </si>
  <si>
    <t>You are EU person, so you can have EU freelancer account on upwork. But you are not developers so it's difficult to get tasks and do it. So, lend me this account. I won't have time zone issue and I can get and do the tasks and make more profit and share it with you.</t>
  </si>
  <si>
    <t>I used to get tasks from a freelancing platform. I want you to cover me like you so I can get more tasks from US clients, and I will do the work, and we can share earnings.</t>
  </si>
  <si>
    <t>You can EU person, so you can create an EU upwork account. And share it with me. I can get make profit without timezone issue and I can share profit with you.</t>
  </si>
  <si>
    <t>I want to you create an account and share it with me. The platform is upwork.com. If you create an account and if it looks good, i will pay you.</t>
  </si>
  <si>
    <t>Cuz pls create an EU account and let me use? I will provide 200$ per month.</t>
  </si>
  <si>
    <t>It doesn't take much time about 30 mins. Just fill the gap while registration.</t>
  </si>
  <si>
    <t>Thanks for your interest. I can't reply quickly on this app due to the bad notifications. So, can we have a call or continue chat on Te,I'egrarn at incredible1016.</t>
  </si>
  <si>
    <t>Okay, to have a real-time conversation, can we continue chat on Te,I'egrarn at hector3621? This app is a little uncomfortable to respond quickly, or we can have a call.</t>
  </si>
  <si>
    <t>Hi, I am looking for Iranian developers for our business. It is a long-term job and I can provide a good income hourly.</t>
  </si>
  <si>
    <t>1 (989) 523-0715</t>
  </si>
  <si>
    <t>If you’re open to this opportunity, I’d be happy to discuss further with you — either through a brief call or by continuing the conversation on What’s app. You can reach me at 1, 989, 523 and 0715.</t>
  </si>
  <si>
    <t>In case you’re interested, please feel free to message me on what’s app at 1, 480, 258 and 3661, or let me know if you’d prefer a short call to go over the details.</t>
  </si>
  <si>
    <t>If you are interested, let's have a quick call for further discussion!</t>
  </si>
  <si>
    <t>Should this opportunity be of interest, I’d be glad to share more information either in a quick call or via what’s app. My number is 1, 480, 258 and 3661.</t>
  </si>
  <si>
    <t>For further discussion, let's have a quick call!</t>
  </si>
  <si>
    <t>I am working in a small software company and would like to expand my business into the US. Since I am not based there, it can be challenging to enter the market. That’s why I am looking for the support of a US citizen in this part.</t>
  </si>
  <si>
    <t>I’d really appreciate your help with getting tasks from US clients. I’ll take care of the work, complete everything, and then share the results with you. The tasks are simple, don’t require any special skills, and won’t involve hard work.</t>
  </si>
  <si>
    <t>I am a software engineer with over 10+ yrs of exp in engineering. Now I am freelancing on Upwork. But I am Japanese, and my rate is low. But the European / American account hourly rate is high, so I would like to use those kind of account. But I have no way to create it myself and use it. Would you create a Upwork account and let me use? We can make a pretty good amount of money in the long term. Initially you will get paid $200 per month but it will be increased as soon much as I can get jobs.</t>
  </si>
  <si>
    <t>I’d truly appreciate your help with getting tasks from US clients. I’ll handle all the work myself, make sure everything is completed properly, and share the results with you. The tasks are quite simple, don’t require any special skills, and won’t take much effort.</t>
  </si>
  <si>
    <t>I am a software engineer with over 10+ years of experience in engineering. Now I am freelancing on Upwork. But I am Japanese, and my rate is low. But the European / American account hourly rate is high, so I would like to use those kinds of accounts. But I have no way to create it myself and use it. Would you create an Upwork account and let me use it? We can make a pretty good amount of money in the long term. Initially, you will get paid $200 per month, but it will be increased as soon as I can get jobs.</t>
  </si>
  <si>
    <t>I want you to help me to get tasks from US clients. I’ll handle all the work myself, make sure everything is completed properly, and share the results with you. The tasks are quite simple, don’t require any special skills, and won’t take much effort.</t>
  </si>
  <si>
    <t>Upwork will require id verification, that's why i can't create an account myself.</t>
  </si>
  <si>
    <t>Let me explain a bit more. I already have a method to get tasks, but since I am not based in the US, it can be difficult. I’d like you to act as the face of my company so we can more easily get tasks. For this role, I can pay you 200 at first, and the amount will increase over time.</t>
  </si>
  <si>
    <t>You can create account under your name and let me use it.</t>
  </si>
  <si>
    <t>so that I can get some jobs there and share earning.</t>
  </si>
  <si>
    <t>is it good?</t>
  </si>
  <si>
    <t>That’s why I am looking for the support of a US citizen in this part.</t>
  </si>
  <si>
    <t>Let me explain a bit more. I already have a method to get tasks, but since I am not based in the US, it can be difficult. I’d like you to act as the face of my company so we can more easily get tasks. For this role, I can start by sending you $200, and the amount will increase over time.</t>
  </si>
  <si>
    <t>I am working in a small software company and would like to expand my business into the US. Since I am not based there, it can be challenging to enter the market. I want you just cover me to get tasks from customers without your actual work. It doesn't mean you are looking for clients for me. I'll do that, and I just want you to cover and support sometimes, 1 ~ 2 hours per month totally. And I can pay 200 for your work.</t>
  </si>
  <si>
    <t>Joy</t>
  </si>
  <si>
    <t>joy2845</t>
  </si>
  <si>
    <t>Sadness</t>
  </si>
  <si>
    <t>sadness7391</t>
  </si>
  <si>
    <t>Anger</t>
  </si>
  <si>
    <t>anger6254</t>
  </si>
  <si>
    <t>Fear</t>
  </si>
  <si>
    <t>fear9183</t>
  </si>
  <si>
    <t>Disgust</t>
  </si>
  <si>
    <t>disgust4712</t>
  </si>
  <si>
    <t>Anxiety</t>
  </si>
  <si>
    <t>anxiety5369</t>
  </si>
  <si>
    <t>Envy</t>
  </si>
  <si>
    <t>envy8042</t>
  </si>
  <si>
    <t>Calm</t>
  </si>
  <si>
    <t>calm1527</t>
  </si>
  <si>
    <t>Curiosity</t>
  </si>
  <si>
    <t>curiosity4896</t>
  </si>
  <si>
    <t>Peace</t>
  </si>
  <si>
    <t>peace3078</t>
  </si>
  <si>
    <t>Ennui</t>
  </si>
  <si>
    <t>ennui6148</t>
  </si>
  <si>
    <t>Embarrassment</t>
  </si>
  <si>
    <t>embarrassment9725</t>
  </si>
  <si>
    <t>Nostalgia</t>
  </si>
  <si>
    <t>nostalgia3581</t>
  </si>
  <si>
    <t>Fiverr</t>
  </si>
  <si>
    <t>I'm a freelancer expanding into new markets and building profitable opportunities. I have a suggestion that could be very beneficial for both of us.</t>
  </si>
  <si>
    <t>I’ve already identified a potential market, but I need a bit of assistance from someone in North America.</t>
  </si>
  <si>
    <t>The issue is the time zone.</t>
  </si>
  <si>
    <t>Since you’re a student and may not have much time, I have a part-time job that could suit you well.</t>
  </si>
  <si>
    <t>Before we get started, I’d like to get to know you.</t>
  </si>
  <si>
    <t>Sorry, I have to go now. Can we stay in touch on Whats-app?</t>
  </si>
  <si>
    <t>are you familiar with software or freelance?</t>
  </si>
  <si>
    <t>I run a small software company and looking for an assistant</t>
  </si>
  <si>
    <t>Recently, the U.S. software market has become the dominant force in the global software industry, and U.S. clients are generally considered high value.</t>
  </si>
  <si>
    <t>However, there’s one challenge, many U.S. clients prefer to work only with local developers or software companies.</t>
  </si>
  <si>
    <t>If we collaborate, though, we could overcome that barrier and succeed together in the U.S. software market.</t>
  </si>
  <si>
    <t>Recently, I found new software market and enter in.</t>
  </si>
  <si>
    <t>At first, it looks good, but I realized that US clients are high rating than other clients. Time Zone is problem.</t>
  </si>
  <si>
    <t>On that software market, we can only work 24/7.</t>
  </si>
  <si>
    <t>I'd like to work with US clients for high rating.</t>
  </si>
  <si>
    <t>So I need your support.</t>
  </si>
  <si>
    <t>Can you help me?</t>
  </si>
  <si>
    <t>I'm looking for an assistance with my work.</t>
  </si>
  <si>
    <t>I’m looking for someone motivated to team up and build a solid passive income stream in a simple, smart way.</t>
  </si>
  <si>
    <t>................................................</t>
  </si>
  <si>
    <t>I’m hoping to find a partner to work with on an easy, rewarding way to earn steady income together.</t>
  </si>
  <si>
    <t>I’d love to team up with someone to start something that brings in good income without a ton of hassle.</t>
  </si>
  <si>
    <t>Are you interested in partner with me to tap into an opportunity that delivers impressive returns while keeping things smooth and uncomplicated?</t>
  </si>
  <si>
    <t>If you are interested, let's have a quick call for further discussion! For further discussion, let's have a quick call!</t>
  </si>
  <si>
    <t>Let's discuss more details.</t>
  </si>
  <si>
    <t>My whatsap p number is 1 2 0 6 8 6 7 1 6 8 4.</t>
  </si>
  <si>
    <t>Discrd is unicorns_33,   T.G is tommygone1</t>
  </si>
  <si>
    <t>I recently discovered a new software market.</t>
  </si>
  <si>
    <t>If you support me there, I’m confident that as a senior software engineer, I’ll succeed and earn a substantial income.</t>
  </si>
  <si>
    <t>Your role is not hard, you just need to cover me on your profile.</t>
  </si>
  <si>
    <t>I’ll share 10 percent of my earnings with you.</t>
  </si>
  <si>
    <t>I run a small but growing software business, and I’m looking for a reliable partner to help me explore new opportunities in the freelancing world.</t>
  </si>
  <si>
    <t>You don’t need any professional background, just consistency and good communication.</t>
  </si>
  <si>
    <t>It’s a flexible, part time setup that only takes a few hours a week, and you’ll earn a steady passive income for your support.</t>
  </si>
  <si>
    <t>If this sounds like something you’d enjoy, let’s discuss more details.</t>
  </si>
  <si>
    <t>You will just cover me to get projects from customers without your actual work.</t>
  </si>
  <si>
    <t>It doesn't mean you are looking for clients for me.</t>
  </si>
  <si>
    <t>I'll do that, and just I want you to cover and support sometimes - it's important for me.</t>
  </si>
  <si>
    <t>And almost time you can do your work completely free.</t>
  </si>
  <si>
    <t>For further discussion, let's have a quick call for detail.</t>
  </si>
  <si>
    <t>you can reach out to me at logistow on T.G or what's app on 605, 671, and 8607 Hope to keep in touch As I said I'm looking for a partner who will help me getting more chances to get projects from clients in software freelancing world.</t>
  </si>
  <si>
    <t>Account</t>
  </si>
  <si>
    <t>URL</t>
  </si>
  <si>
    <t>Stacks</t>
  </si>
  <si>
    <t>Country</t>
  </si>
  <si>
    <t>Founded</t>
  </si>
  <si>
    <t>Type</t>
  </si>
  <si>
    <t>Dachi</t>
  </si>
  <si>
    <t>AntTonio</t>
  </si>
  <si>
    <t>https://seaislandcoffee.com/</t>
  </si>
  <si>
    <t>Shopify</t>
  </si>
  <si>
    <t>React</t>
  </si>
  <si>
    <t>UK</t>
  </si>
  <si>
    <t>Coffee</t>
  </si>
  <si>
    <t>WordPress</t>
  </si>
  <si>
    <t>https://neuralsourcing.com/</t>
  </si>
  <si>
    <t>https://siliconvalleykitchenandbath.com/</t>
  </si>
  <si>
    <t>https://90seconds.com</t>
  </si>
  <si>
    <t>Nest.js</t>
  </si>
  <si>
    <t>Singapore</t>
  </si>
  <si>
    <t>Video</t>
  </si>
  <si>
    <t>https://aspiring.leaders.f5capitaldebtfund.com/</t>
  </si>
  <si>
    <t>https://skipsfoodtruck.com/</t>
  </si>
  <si>
    <t>https://pockittv.com</t>
  </si>
  <si>
    <t>Svelte</t>
  </si>
  <si>
    <t>Echo</t>
  </si>
  <si>
    <t>South Africa</t>
  </si>
  <si>
    <t>https://66hopelofts.com/</t>
  </si>
  <si>
    <t>https://www.thinkinggifts.com/</t>
  </si>
  <si>
    <t>Gif</t>
  </si>
  <si>
    <t>Python</t>
  </si>
  <si>
    <t>https://oppizi.com/</t>
  </si>
  <si>
    <t>https://oppizi.com</t>
  </si>
  <si>
    <t>Wordpress</t>
  </si>
  <si>
    <t>PHP</t>
  </si>
  <si>
    <t>Woocommerce</t>
  </si>
  <si>
    <t>https://fortycreekwhisky.com/</t>
  </si>
  <si>
    <t>Kevin</t>
  </si>
  <si>
    <t>https://us.foursigmatic.com/</t>
  </si>
  <si>
    <t>US</t>
  </si>
  <si>
    <t>https://wsalamoon.com/</t>
  </si>
  <si>
    <t>https://rothys.com/</t>
  </si>
  <si>
    <t>https://sazy.com/</t>
  </si>
  <si>
    <t>https://lebonnet.com/</t>
  </si>
  <si>
    <t>https://happyhabitat.com/</t>
  </si>
  <si>
    <t>https://sentimental.bike/</t>
  </si>
  <si>
    <t>Bicycle</t>
  </si>
  <si>
    <t>https://www.thirsty.com.sg/</t>
  </si>
  <si>
    <t>Beer</t>
  </si>
  <si>
    <t>www.squaresigns.com</t>
  </si>
  <si>
    <t>https://peavey.com/</t>
  </si>
  <si>
    <t>https://londonundercover.co.uk/</t>
  </si>
  <si>
    <t>Vue</t>
  </si>
  <si>
    <t>https://cheqmark.io/</t>
  </si>
  <si>
    <t>https://esprovisions.com/</t>
  </si>
  <si>
    <t>https://nyrahbeauty.com/</t>
  </si>
  <si>
    <t>https://www.maxbone.com/</t>
  </si>
  <si>
    <t>https://pratesi.com/</t>
  </si>
  <si>
    <t>Next.js</t>
  </si>
  <si>
    <t>https://www.tillamook.com/</t>
  </si>
  <si>
    <t>https://oqium.com/</t>
  </si>
  <si>
    <t>https://www.chobani.com/</t>
  </si>
  <si>
    <t>https://www.giftshire.com/</t>
  </si>
  <si>
    <t>https://90seconds.com/</t>
  </si>
  <si>
    <t>https://oakandeden.com/</t>
  </si>
  <si>
    <t>https://anna.money/</t>
  </si>
  <si>
    <t>Angular</t>
  </si>
  <si>
    <t>https://www.rabobank.com/</t>
  </si>
  <si>
    <t>https://www.calpaktravel.com/</t>
  </si>
  <si>
    <t>Travel Goods</t>
  </si>
  <si>
    <t>https://e-liquids.com/</t>
  </si>
  <si>
    <t>Golang</t>
  </si>
  <si>
    <t>https://pockittv.com/</t>
  </si>
  <si>
    <t>Umbrella</t>
  </si>
  <si>
    <t>https://www.carolinerandell.co.uk/</t>
  </si>
  <si>
    <t>Night Wear</t>
  </si>
  <si>
    <t>Funnelish</t>
  </si>
  <si>
    <t>https://cruxprime.com/</t>
  </si>
  <si>
    <t>Ireland</t>
  </si>
  <si>
    <t>Cosmetic</t>
  </si>
  <si>
    <t>GHL</t>
  </si>
  <si>
    <t>https://trumotionma.com/</t>
  </si>
  <si>
    <t>Italy</t>
  </si>
  <si>
    <t>Luxury Bedding</t>
  </si>
  <si>
    <t>AI</t>
  </si>
  <si>
    <t>https://morphe.coaching.f5capitaldebtfund.com/</t>
  </si>
  <si>
    <t>https://www.resolvedtech.com/</t>
  </si>
  <si>
    <t>https://growthrepublic.com.au/</t>
  </si>
  <si>
    <t>Australia</t>
  </si>
  <si>
    <t>https://fantasycompanion.f5capitaldebtfund.com/</t>
  </si>
  <si>
    <t>https://evacaod.buddingsol.com/</t>
  </si>
  <si>
    <t>Paek</t>
  </si>
  <si>
    <t>https://be.one.apparel.f5capitaldebtfund.com/</t>
  </si>
  <si>
    <t>Ecommerce</t>
  </si>
  <si>
    <t>https://sagesandcitrine.com/</t>
  </si>
  <si>
    <t>https://unmatchedconsulting.net/</t>
  </si>
  <si>
    <t>Elementer</t>
  </si>
  <si>
    <t>Healthcare</t>
  </si>
  <si>
    <t>https://accodelades.com/</t>
  </si>
  <si>
    <t>https://wordpress-689730-3608979.cloudwaysapps.com/</t>
  </si>
  <si>
    <t>https://orthopedicsurgeries.com/</t>
  </si>
  <si>
    <t>Wordpresss</t>
  </si>
  <si>
    <t>Exercise</t>
  </si>
  <si>
    <t>Kitchen, Bath</t>
  </si>
  <si>
    <t>AWS</t>
  </si>
  <si>
    <t>Junk Food</t>
  </si>
  <si>
    <t>https://thrivewithrebecca.com/</t>
  </si>
  <si>
    <t>Kajabi</t>
  </si>
  <si>
    <t>Coaching</t>
  </si>
  <si>
    <t>https://masterartsgraphicsinc.com/</t>
  </si>
  <si>
    <t>https://augusta-paintball.com/</t>
  </si>
  <si>
    <t>Tinybird</t>
  </si>
  <si>
    <t>PaintBall</t>
  </si>
  <si>
    <t>https://somerset.supremeproductionz.com/</t>
  </si>
  <si>
    <t>https://sunsetpediatrics.net/</t>
  </si>
  <si>
    <t>https://catrinatequila.com/</t>
  </si>
  <si>
    <t>Tequila Liquor</t>
  </si>
  <si>
    <t>https://stayatgalaxy.com/</t>
  </si>
  <si>
    <t>https://newrhodesconstruction.com</t>
  </si>
  <si>
    <t>Canada</t>
  </si>
  <si>
    <t>https://morningwatchphoto.com/</t>
  </si>
  <si>
    <t>https://privacyverified.nl/</t>
  </si>
  <si>
    <t>Netherland</t>
  </si>
  <si>
    <t>https://proto-seal.com/</t>
  </si>
  <si>
    <t>http://garagedoorinstalls.com/</t>
  </si>
  <si>
    <t>https://www.reels-agentur.ch/</t>
  </si>
  <si>
    <t>Germany</t>
  </si>
  <si>
    <t>https://drloisfrankel.com/</t>
  </si>
  <si>
    <t>https://juicemediallc.com/</t>
  </si>
  <si>
    <t>House</t>
  </si>
  <si>
    <t>https://nisquallynests.com/</t>
  </si>
  <si>
    <t>https://senioxford.co.uk/</t>
  </si>
  <si>
    <t>Uk</t>
  </si>
  <si>
    <t>https://paymentfinancial.net/</t>
  </si>
  <si>
    <t>http://mbalinwoko.com/</t>
  </si>
  <si>
    <t>https://englishtoexcel.net/</t>
  </si>
  <si>
    <t>https://sprinklerrepairpros.com/</t>
  </si>
  <si>
    <t>http://webuyfobs.com/</t>
  </si>
  <si>
    <t>https://homesmart-usa.com/</t>
  </si>
  <si>
    <t>Roof</t>
  </si>
  <si>
    <t>http://campcompass.com/</t>
  </si>
  <si>
    <t>https://www.falcon-llc.com/</t>
  </si>
  <si>
    <t>https://firetheboss.com/</t>
  </si>
  <si>
    <t>https://journal.faraboutique.com/</t>
  </si>
  <si>
    <t>Go High Level</t>
  </si>
  <si>
    <t>https://letters.app/</t>
  </si>
  <si>
    <t>Framer</t>
  </si>
  <si>
    <t>https://bloomscroll.com/</t>
  </si>
  <si>
    <t>Sean</t>
  </si>
  <si>
    <t>https://nyetimber.com/</t>
  </si>
  <si>
    <t>Wine</t>
  </si>
  <si>
    <t>https://www.blok-knives.co.uk/</t>
  </si>
  <si>
    <t>Duda</t>
  </si>
  <si>
    <t>Elfsight</t>
  </si>
  <si>
    <t>Styled Componets</t>
  </si>
  <si>
    <t>https://www.bob-snail.com/</t>
  </si>
  <si>
    <t>https://hotboxcookies.com/</t>
  </si>
  <si>
    <t>Cookie</t>
  </si>
  <si>
    <t>https://matelibre.com/</t>
  </si>
  <si>
    <t>Juice</t>
  </si>
  <si>
    <t>Gift</t>
  </si>
  <si>
    <t>https://frederikbagger.com/</t>
  </si>
  <si>
    <t>Denmark</t>
  </si>
  <si>
    <t>Cup</t>
  </si>
  <si>
    <t>Whisky</t>
  </si>
  <si>
    <t>https://gameofcups.tilda.ws/</t>
  </si>
  <si>
    <t>Tilda</t>
  </si>
  <si>
    <t>Goblet</t>
  </si>
  <si>
    <t>https://www.guerlain.com/</t>
  </si>
  <si>
    <r>
      <rPr>
        <color rgb="FF1155CC"/>
        <u/>
      </rPr>
      <t>Salesforce Commerce Cloud</t>
    </r>
  </si>
  <si>
    <t>Perfume</t>
  </si>
  <si>
    <t>https://www.louxibiza.com/</t>
  </si>
  <si>
    <t>Rent</t>
  </si>
  <si>
    <t>https://www.paperandtea.com/</t>
  </si>
  <si>
    <t>Tea</t>
  </si>
  <si>
    <t>https://watchhouse.com/</t>
  </si>
  <si>
    <t>https://www.rascalsbaby.com</t>
  </si>
  <si>
    <t>Hong Kong</t>
  </si>
  <si>
    <t>Baby Cloth</t>
  </si>
  <si>
    <t>https://visualalloy.com/</t>
  </si>
  <si>
    <t>Decoration</t>
  </si>
  <si>
    <t>Bag, Shoes</t>
  </si>
  <si>
    <t>Scarf</t>
  </si>
  <si>
    <t>https://ouraring.com/</t>
  </si>
  <si>
    <t>Finland, US, UK</t>
  </si>
  <si>
    <t>Ring</t>
  </si>
  <si>
    <t>React Router</t>
  </si>
  <si>
    <t>Square Sign</t>
  </si>
  <si>
    <t>https://shop.qcterme.com/</t>
  </si>
  <si>
    <t>Massage</t>
  </si>
  <si>
    <t>https://www.gardnermuseum.org</t>
  </si>
  <si>
    <t>Drupal</t>
  </si>
  <si>
    <t>Museum</t>
  </si>
  <si>
    <t>https://ravecoffee.co.uk/</t>
  </si>
  <si>
    <t>https://www.smart-propylaia.com</t>
  </si>
  <si>
    <t>Sweden</t>
  </si>
  <si>
    <t>Real Estate</t>
  </si>
  <si>
    <t>https://silveroak.com/</t>
  </si>
  <si>
    <t>Elementor</t>
  </si>
  <si>
    <t>Necklace, Ring</t>
  </si>
  <si>
    <t>https://www.dominos.is/</t>
  </si>
  <si>
    <t>Pizza</t>
  </si>
  <si>
    <t>https://www.snoozeeatery.com/</t>
  </si>
  <si>
    <t>Food, Order</t>
  </si>
  <si>
    <t>Destini</t>
  </si>
  <si>
    <t>Food</t>
  </si>
  <si>
    <t>Glove</t>
  </si>
  <si>
    <t>https://www.pomwonderful.com/</t>
  </si>
  <si>
    <t>Pear Commerce</t>
  </si>
  <si>
    <t>Yugurt</t>
  </si>
  <si>
    <t>https://www.discoveredfoods.com/</t>
  </si>
  <si>
    <t>Node.js</t>
  </si>
  <si>
    <t>Express.js</t>
  </si>
  <si>
    <t>Meat, Pie</t>
  </si>
  <si>
    <t>https://littlesunshinesdubai.com/</t>
  </si>
  <si>
    <t>Dubai</t>
  </si>
  <si>
    <t>Clothes</t>
  </si>
  <si>
    <t>https://www.expresshomebuyers.com/</t>
  </si>
  <si>
    <t>https://www.housebuyersofamerica.com/</t>
  </si>
  <si>
    <t>https://cavabuys.com/</t>
  </si>
  <si>
    <t>https://www.reddoorguys.com/</t>
  </si>
  <si>
    <t>https://www.casaoffers.com/</t>
  </si>
  <si>
    <t>https://sell.opendoor.com/</t>
  </si>
  <si>
    <t>https://cleveroffers.com/</t>
  </si>
  <si>
    <t>https://www.careeraddict.com/</t>
  </si>
  <si>
    <t>Ruby</t>
  </si>
  <si>
    <t>Ruby on Rail</t>
  </si>
  <si>
    <t>Career</t>
  </si>
  <si>
    <t>Financial</t>
  </si>
  <si>
    <t>https://thesocialcat.com/</t>
  </si>
  <si>
    <t>Social</t>
  </si>
  <si>
    <t>Vue.js</t>
  </si>
  <si>
    <t>Nuxt.js</t>
  </si>
  <si>
    <t>https://opsmatters.com/</t>
  </si>
  <si>
    <t>https://www.seocalling.com/</t>
  </si>
  <si>
    <t>AMP</t>
  </si>
  <si>
    <t>https://soho.com.au/</t>
  </si>
  <si>
    <t>Emotion</t>
  </si>
  <si>
    <t>https://www.digitalmarketingagency.com/</t>
  </si>
  <si>
    <t>\</t>
  </si>
  <si>
    <t>https://www.eivindholum.com/</t>
  </si>
  <si>
    <t>Squarespace</t>
  </si>
  <si>
    <t>https://www.mimecast.com/</t>
  </si>
  <si>
    <t>https://sunyday.net/</t>
  </si>
  <si>
    <t>Consulting</t>
  </si>
  <si>
    <t>https://healthy.kaiserpermanente.org/</t>
  </si>
  <si>
    <t>HealthCare</t>
  </si>
  <si>
    <t>https://www.jeffcopublicschools.org/</t>
  </si>
  <si>
    <t>Learning</t>
  </si>
  <si>
    <t>https://osnap.com/</t>
  </si>
  <si>
    <t>Medicien</t>
  </si>
  <si>
    <r>
      <rPr>
        <color rgb="FF1155CC"/>
        <u/>
      </rPr>
      <t>diseasefix.com</t>
    </r>
  </si>
  <si>
    <r>
      <rPr>
        <rFont val="Slack-Lato, Slack-Fractions, appleLogo, sans-serif"/>
        <color rgb="FF1155CC"/>
        <sz val="11.0"/>
        <u/>
      </rPr>
      <t>lovetechai.com</t>
    </r>
  </si>
  <si>
    <r>
      <rPr>
        <rFont val="Slack-Lato, Slack-Fractions, appleLogo, sans-serif"/>
        <color rgb="FF1155CC"/>
        <sz val="11.0"/>
        <u/>
      </rPr>
      <t>itsreleased.co.uk</t>
    </r>
  </si>
  <si>
    <r>
      <rPr>
        <rFont val="Slack-Lato, Slack-Fractions, appleLogo, sans-serif"/>
        <color rgb="FF1155CC"/>
        <sz val="11.0"/>
        <u/>
      </rPr>
      <t>pitchero.com</t>
    </r>
  </si>
  <si>
    <r>
      <rPr>
        <rFont val="Slack-Lato, Slack-Fractions, appleLogo, sans-serif"/>
        <color rgb="FF1155CC"/>
        <sz val="11.0"/>
        <u/>
      </rPr>
      <t>dutable.com</t>
    </r>
  </si>
  <si>
    <r>
      <rPr>
        <rFont val="Slack-Lato, Slack-Fractions, appleLogo, sans-serif"/>
        <color rgb="FF1155CC"/>
        <sz val="11.0"/>
        <u/>
      </rPr>
      <t>siit.co</t>
    </r>
  </si>
  <si>
    <r>
      <rPr>
        <rFont val="Slack-Lato, Slack-Fractions, appleLogo, sans-serif"/>
        <color rgb="FF1155CC"/>
        <sz val="11.0"/>
        <u/>
      </rPr>
      <t>dsnews.co.uk</t>
    </r>
  </si>
  <si>
    <r>
      <rPr>
        <rFont val="Slack-Lato, Slack-Fractions, appleLogo, sans-serif"/>
        <color rgb="FF1155CC"/>
        <sz val="11.0"/>
        <u/>
      </rPr>
      <t>sfm-compile.com</t>
    </r>
  </si>
  <si>
    <r>
      <rPr>
        <rFont val="Slack-Lato, Slack-Fractions, appleLogo, sans-serif"/>
        <color rgb="FF1155CC"/>
        <sz val="11.0"/>
        <u/>
      </rPr>
      <t>timebusinessnews.com</t>
    </r>
  </si>
  <si>
    <r>
      <rPr>
        <rFont val="Slack-Lato, Slack-Fractions, appleLogo, sans-serif"/>
        <color rgb="FF1155CC"/>
        <sz val="11.0"/>
        <u/>
      </rPr>
      <t>techinfobusiness.com</t>
    </r>
  </si>
  <si>
    <r>
      <rPr>
        <rFont val="Slack-Lato, Slack-Fractions, appleLogo, sans-serif"/>
        <color rgb="FF1155CC"/>
        <sz val="11.0"/>
        <u/>
      </rPr>
      <t>omgflix.co.uk</t>
    </r>
  </si>
  <si>
    <r>
      <rPr>
        <rFont val="Slack-Lato, Slack-Fractions, appleLogo, sans-serif"/>
        <color rgb="FF1155CC"/>
        <sz val="11.0"/>
        <u/>
      </rPr>
      <t>ukpostcode.org</t>
    </r>
  </si>
  <si>
    <r>
      <rPr>
        <rFont val="Slack-Lato, Slack-Fractions, appleLogo, sans-serif"/>
        <color rgb="FF1155CC"/>
        <sz val="11.0"/>
        <u/>
      </rPr>
      <t>thenewordermagazine.com</t>
    </r>
  </si>
  <si>
    <r>
      <rPr>
        <rFont val="Slack-Lato, Slack-Fractions, appleLogo, sans-serif"/>
        <color rgb="FF1155CC"/>
        <sz val="11.0"/>
        <u/>
      </rPr>
      <t>kingcomix.us</t>
    </r>
  </si>
  <si>
    <r>
      <rPr>
        <rFont val="Slack-Lato, Slack-Fractions, appleLogo, sans-serif"/>
        <color rgb="FF1155CC"/>
        <sz val="11.0"/>
        <u/>
      </rPr>
      <t>kingcomix.us</t>
    </r>
  </si>
  <si>
    <r>
      <rPr>
        <rFont val="Slack-Lato, Slack-Fractions, appleLogo, sans-serif"/>
        <color rgb="FF1155CC"/>
        <sz val="11.0"/>
        <u/>
      </rPr>
      <t>advertisingavengers.co.uk</t>
    </r>
  </si>
  <si>
    <t>sunyday.net</t>
  </si>
  <si>
    <r>
      <rPr>
        <rFont val="Slack-Lato, Slack-Fractions, appleLogo, sans-serif"/>
        <color rgb="FF1155CC"/>
        <sz val="11.0"/>
        <u/>
      </rPr>
      <t>designsvalley.com</t>
    </r>
  </si>
  <si>
    <r>
      <rPr>
        <rFont val="Slack-Lato, Slack-Fractions, appleLogo, sans-serif"/>
        <color rgb="FF1155CC"/>
        <sz val="11.0"/>
        <u/>
      </rPr>
      <t>bellengineering.net</t>
    </r>
  </si>
  <si>
    <r>
      <rPr>
        <rFont val="Slack-Lato, Slack-Fractions, appleLogo, sans-serif"/>
        <color rgb="FF1155CC"/>
        <sz val="11.0"/>
        <u/>
      </rPr>
      <t>ginnastic.pk</t>
    </r>
  </si>
  <si>
    <r>
      <rPr>
        <rFont val="Slack-Lato, Slack-Fractions, appleLogo, sans-serif"/>
        <color rgb="FF1155CC"/>
        <sz val="11.0"/>
        <u/>
      </rPr>
      <t>yourhealthmagazine.net</t>
    </r>
  </si>
  <si>
    <r>
      <rPr>
        <rFont val="Slack-Lato, Slack-Fractions, appleLogo, sans-serif"/>
        <color rgb="FF1155CC"/>
        <sz val="11.0"/>
        <u/>
      </rPr>
      <t>diseasefix.com</t>
    </r>
  </si>
  <si>
    <r>
      <rPr>
        <rFont val="Slack-Lato, Slack-Fractions, appleLogo, sans-serif"/>
        <color rgb="FF1155CC"/>
        <sz val="11.0"/>
        <u/>
      </rPr>
      <t>store.outrightcrm.com</t>
    </r>
  </si>
  <si>
    <r>
      <rPr>
        <rFont val="Slack-Lato, Slack-Fractions, appleLogo, sans-serif"/>
        <color rgb="FF1155CC"/>
        <sz val="11.0"/>
        <u/>
      </rPr>
      <t>kayawell.com</t>
    </r>
    <r>
      <t/>
    </r>
    <r>
      <rPr>
        <rFont val="Slack-Lato, Slack-Fractions, appleLogo, sans-serif"/>
        <color rgb="FF1155CC"/>
        <sz val="11.0"/>
        <u/>
      </rPr>
      <t>accessnewswire.com</t>
    </r>
  </si>
  <si>
    <r>
      <rPr>
        <rFont val="Slack-Lato, Slack-Fractions, appleLogo, sans-serif"/>
        <color rgb="FF1155CC"/>
        <sz val="11.0"/>
        <u/>
      </rPr>
      <t>bellengineering.net</t>
    </r>
  </si>
  <si>
    <r>
      <rPr>
        <rFont val="Slack-Lato, Slack-Fractions, appleLogo, sans-serif"/>
        <color rgb="FF1155CC"/>
        <sz val="11.0"/>
        <u/>
      </rPr>
      <t>iicandm.org</t>
    </r>
  </si>
  <si>
    <r>
      <rPr>
        <rFont val="Slack-Lato, Slack-Fractions, appleLogo, sans-serif"/>
        <color rgb="FF1155CC"/>
        <sz val="11.0"/>
        <u/>
      </rPr>
      <t>lawbhoomi.com</t>
    </r>
  </si>
  <si>
    <r>
      <rPr>
        <rFont val="Slack-Lato, Slack-Fractions, appleLogo, sans-serif"/>
        <color rgb="FF1155CC"/>
        <sz val="11.0"/>
        <u/>
      </rPr>
      <t>hackslifestyle.com</t>
    </r>
  </si>
  <si>
    <r>
      <rPr>
        <rFont val="Slack-Lato, Slack-Fractions, appleLogo, sans-serif"/>
        <color rgb="FF1155CC"/>
        <sz val="11.0"/>
        <u/>
      </rPr>
      <t>kea-home.com</t>
    </r>
  </si>
  <si>
    <r>
      <rPr>
        <rFont val="Slack-Lato, Slack-Fractions, appleLogo, sans-serif"/>
        <color rgb="FF1155CC"/>
        <sz val="11.0"/>
        <u/>
      </rPr>
      <t>kea-home.com</t>
    </r>
  </si>
  <si>
    <r>
      <rPr>
        <rFont val="Slack-Lato, Slack-Fractions, appleLogo, sans-serif"/>
        <color rgb="FF1155CC"/>
        <sz val="11.0"/>
        <u/>
      </rPr>
      <t>greenecodream.com</t>
    </r>
  </si>
  <si>
    <r>
      <rPr>
        <rFont val="Slack-Lato, Slack-Fractions, appleLogo, sans-serif"/>
        <color rgb="FF1155CC"/>
        <sz val="11.0"/>
        <u/>
      </rPr>
      <t>rsisinternational.org</t>
    </r>
  </si>
  <si>
    <r>
      <rPr>
        <rFont val="Slack-Lato, Slack-Fractions, appleLogo, sans-serif"/>
        <color rgb="FF1155CC"/>
        <sz val="11.0"/>
        <u/>
      </rPr>
      <t>shineyourlightblog.com</t>
    </r>
  </si>
  <si>
    <r>
      <rPr>
        <rFont val="Slack-Lato, Slack-Fractions, appleLogo, sans-serif"/>
        <color rgb="FF1155CC"/>
        <sz val="11.0"/>
        <u/>
      </rPr>
      <t>prothotss.com</t>
    </r>
  </si>
  <si>
    <r>
      <rPr>
        <rFont val="Slack-Lato, Slack-Fractions, appleLogo, sans-serif"/>
        <color rgb="FF1155CC"/>
        <sz val="11.0"/>
        <u/>
      </rPr>
      <t>dailynewshungary.com</t>
    </r>
  </si>
  <si>
    <r>
      <rPr>
        <rFont val="Slack-Lato, Slack-Fractions, appleLogo, sans-serif"/>
        <color rgb="FF1155CC"/>
        <sz val="11.0"/>
        <u/>
      </rPr>
      <t>webweq.com</t>
    </r>
  </si>
  <si>
    <r>
      <rPr>
        <rFont val="Slack-Lato, Slack-Fractions, appleLogo, sans-serif"/>
        <color rgb="FF1155CC"/>
        <sz val="11.0"/>
        <u/>
      </rPr>
      <t>martal.ca</t>
    </r>
  </si>
  <si>
    <r>
      <rPr>
        <rFont val="Slack-Lato, Slack-Fractions, appleLogo, sans-serif"/>
        <color rgb="FF1155CC"/>
        <sz val="11.0"/>
        <u/>
      </rPr>
      <t>analyticsinsight.net</t>
    </r>
  </si>
  <si>
    <r>
      <rPr>
        <rFont val="Slack-Lato, Slack-Fractions, appleLogo, sans-serif"/>
        <color rgb="FF1155CC"/>
        <sz val="11.0"/>
        <u/>
      </rPr>
      <t>newskysecurity.com</t>
    </r>
  </si>
  <si>
    <r>
      <rPr>
        <rFont val="Slack-Lato, Slack-Fractions, appleLogo, sans-serif"/>
        <color rgb="FF1155CC"/>
        <sz val="11.0"/>
        <u/>
      </rPr>
      <t>techzeel.net</t>
    </r>
  </si>
  <si>
    <r>
      <rPr>
        <rFont val="Slack-Lato, Slack-Fractions, appleLogo, sans-serif"/>
        <color rgb="FF1155CC"/>
        <sz val="11.0"/>
        <u/>
      </rPr>
      <t>forcreators.com</t>
    </r>
  </si>
  <si>
    <r>
      <rPr>
        <rFont val="Slack-Lato, Slack-Fractions, appleLogo, sans-serif"/>
        <color rgb="FF1155CC"/>
        <sz val="11.0"/>
        <u/>
      </rPr>
      <t>traffictail.com</t>
    </r>
  </si>
  <si>
    <r>
      <rPr>
        <rFont val="Slack-Lato, Slack-Fractions, appleLogo, sans-serif"/>
        <color rgb="FF1155CC"/>
        <sz val="11.0"/>
        <u/>
      </rPr>
      <t>gracethemes.com</t>
    </r>
  </si>
  <si>
    <r>
      <rPr>
        <rFont val="Slack-Lato, Slack-Fractions, appleLogo, sans-serif"/>
        <color rgb="FF1155CC"/>
        <sz val="11.0"/>
        <u/>
      </rPr>
      <t>chartexpo.com</t>
    </r>
  </si>
  <si>
    <r>
      <rPr>
        <rFont val="Slack-Lato, Slack-Fractions, appleLogo, sans-serif"/>
        <color rgb="FF1155CC"/>
        <sz val="11.0"/>
        <u/>
      </rPr>
      <t>socialchamp.com</t>
    </r>
  </si>
  <si>
    <r>
      <rPr>
        <rFont val="Slack-Lato, Slack-Fractions, appleLogo, sans-serif"/>
        <color rgb="FF1155CC"/>
        <sz val="11.0"/>
        <u/>
      </rPr>
      <t>fieldpromax.com</t>
    </r>
  </si>
  <si>
    <r>
      <rPr>
        <rFont val="Slack-Lato, Slack-Fractions, appleLogo, sans-serif"/>
        <color rgb="FF1155CC"/>
        <sz val="11.0"/>
        <u/>
      </rPr>
      <t>portotheme.com</t>
    </r>
  </si>
  <si>
    <r>
      <rPr>
        <rFont val="Slack-Lato, Slack-Fractions, appleLogo, sans-serif"/>
        <color rgb="FF1155CC"/>
        <sz val="11.0"/>
        <u/>
      </rPr>
      <t>ppcexpo.com</t>
    </r>
  </si>
  <si>
    <r>
      <rPr>
        <rFont val="Slack-Lato, Slack-Fractions, appleLogo, sans-serif"/>
        <color rgb="FF1155CC"/>
        <sz val="11.0"/>
        <u/>
      </rPr>
      <t>www.computertechreviews.com</t>
    </r>
  </si>
  <si>
    <r>
      <rPr>
        <rFont val="Slack-Lato, Slack-Fractions, appleLogo, sans-serif"/>
        <color rgb="FF1155CC"/>
        <sz val="11.0"/>
        <u/>
      </rPr>
      <t>animasmarketing.com</t>
    </r>
  </si>
  <si>
    <r>
      <rPr>
        <rFont val="Slack-Lato, Slack-Fractions, appleLogo, sans-serif"/>
        <color rgb="FF1155CC"/>
        <sz val="11.0"/>
        <u/>
      </rPr>
      <t>troopmessenger.com</t>
    </r>
  </si>
  <si>
    <r>
      <rPr>
        <rFont val="Slack-Lato, Slack-Fractions, appleLogo, sans-serif"/>
        <color rgb="FF1155CC"/>
        <sz val="11.0"/>
        <u/>
      </rPr>
      <t>sunnylast.com</t>
    </r>
  </si>
  <si>
    <r>
      <rPr>
        <rFont val="Slack-Lato, Slack-Fractions, appleLogo, sans-serif"/>
        <color rgb="FF1155CC"/>
        <sz val="11.0"/>
        <u/>
      </rPr>
      <t>businessinsiderrs.com</t>
    </r>
  </si>
  <si>
    <r>
      <rPr>
        <rFont val="Slack-Lato, Slack-Fractions, appleLogo, sans-serif"/>
        <color rgb="FF1155CC"/>
        <sz val="11.0"/>
        <u/>
      </rPr>
      <t>rapidhomedirect.com</t>
    </r>
  </si>
  <si>
    <r>
      <rPr>
        <rFont val="Slack-Lato, Slack-Fractions, appleLogo, sans-serif"/>
        <color rgb="FF1155CC"/>
        <sz val="11.0"/>
        <u/>
      </rPr>
      <t>middleclasshomes.net</t>
    </r>
  </si>
  <si>
    <r>
      <rPr>
        <rFont val="Slack-Lato, Slack-Fractions, appleLogo, sans-serif"/>
        <color rgb="FF1155CC"/>
        <sz val="11.0"/>
        <u/>
      </rPr>
      <t>exploratoryglory.com</t>
    </r>
  </si>
  <si>
    <t>Question</t>
  </si>
  <si>
    <t>Answer</t>
  </si>
  <si>
    <t>What is VAT?</t>
  </si>
  <si>
    <t>Value Added Tax</t>
  </si>
  <si>
    <t>consumption tax applied to goods and services across the European Union</t>
  </si>
  <si>
    <t>17% Luxemburg</t>
  </si>
  <si>
    <t>27% Hungary</t>
  </si>
  <si>
    <t>22% Italy</t>
  </si>
  <si>
    <t>20% UK</t>
  </si>
  <si>
    <t>20% France</t>
  </si>
  <si>
    <t>18% Georgia</t>
  </si>
  <si>
    <t>Tax in Italy</t>
  </si>
  <si>
    <t>you have to report earning when you earn more than 5000</t>
  </si>
  <si>
    <t>VAT in Upwork</t>
  </si>
  <si>
    <t>Doesn't require</t>
  </si>
  <si>
    <t>Upwork assumes you are an individual consumer, not a registered business</t>
  </si>
  <si>
    <t>Upwork add VAT fee</t>
  </si>
  <si>
    <t>Upwork doesn't report tax to Italian authorities even enter VAT number</t>
  </si>
  <si>
    <t>With VAT</t>
  </si>
  <si>
    <t>Upwork reports your income to the Italian tax authorities</t>
  </si>
  <si>
    <t>Bank Statement</t>
  </si>
  <si>
    <t>Verify Address</t>
  </si>
  <si>
    <t>3 month in Wise and 6 month in Payoneer.</t>
  </si>
  <si>
    <t>Must contain address</t>
  </si>
  <si>
    <t>all in one software for marketing and business automation</t>
  </si>
  <si>
    <t>collect leads</t>
  </si>
  <si>
    <t>from landing page</t>
  </si>
  <si>
    <t>send meail</t>
  </si>
  <si>
    <t>book, remind</t>
  </si>
  <si>
    <t>Lead</t>
  </si>
  <si>
    <t>Contact Information</t>
  </si>
  <si>
    <t>demographic information of a customer who is interested in a specific product or service</t>
  </si>
  <si>
    <t>revamp</t>
  </si>
  <si>
    <t>improve</t>
  </si>
  <si>
    <t>give new and improved form, structure, or appearance to.</t>
  </si>
  <si>
    <t>Ecwid</t>
  </si>
  <si>
    <t>e-commerce platform</t>
  </si>
  <si>
    <t>allows users to integrate online stores into existing websites</t>
  </si>
  <si>
    <t>integrate with</t>
  </si>
  <si>
    <t>WordPress and Wix</t>
  </si>
  <si>
    <t>lightspeed</t>
  </si>
  <si>
    <t>Reservaton</t>
  </si>
  <si>
    <t>booking</t>
  </si>
  <si>
    <t>Bookeo</t>
  </si>
  <si>
    <t>reservation system</t>
  </si>
  <si>
    <t>Zapier</t>
  </si>
  <si>
    <t>automated ai workflow</t>
  </si>
  <si>
    <t>is a tool that helps you automate repetitive tasks between two or more apps, no code necessary. Our customers use Zapier to move information from one app to another automatically rather than manually.</t>
  </si>
  <si>
    <t>Swift</t>
  </si>
  <si>
    <t>language for Apple device</t>
  </si>
  <si>
    <t>VAPI</t>
  </si>
  <si>
    <t>ai voice agent</t>
  </si>
  <si>
    <t>IDX Broker</t>
  </si>
  <si>
    <t>provides a robust WordPress plugin system to help manage your listings and search capabilities on your website</t>
  </si>
  <si>
    <t>Whatsmeow</t>
  </si>
  <si>
    <t>go whatsapp library</t>
  </si>
  <si>
    <t>DTC</t>
  </si>
  <si>
    <t>direct to customer</t>
  </si>
  <si>
    <t>sell product to direct to customer</t>
  </si>
  <si>
    <t xml:space="preserve"> </t>
  </si>
  <si>
    <t>GoPro MAX 2</t>
  </si>
  <si>
    <t>8K camera</t>
  </si>
  <si>
    <t>HIPAA-compliant</t>
  </si>
  <si>
    <t>Microsoft Azure</t>
  </si>
  <si>
    <t>a cloud computing platform</t>
  </si>
  <si>
    <t>offers a range of cloud services, including computing, analytics, storage, networking, and AI. Customers choose from these services to develop and scale new applications, or run their existing applications, in the cloud.</t>
  </si>
  <si>
    <t>Hubspot</t>
  </si>
  <si>
    <t>CRM</t>
  </si>
  <si>
    <t>all-in-one platform for managing marketing, sales, customer service, and CRM to help businesses attract, engage, and retain customers.</t>
  </si>
  <si>
    <t>Customer relationship mgmt</t>
  </si>
  <si>
    <t>Quick Books</t>
  </si>
  <si>
    <t>accounnting system</t>
  </si>
  <si>
    <t>accounting software that helps businesses manage finances, invoices, payroll, and expenses.</t>
  </si>
  <si>
    <t>Funnel builder</t>
  </si>
  <si>
    <t>drag and drop funnel builder and checkout-optimization platform that helps e-commerce brands design high-converting sales funnels, manage upsells/downsells, integrate payment gateways,</t>
  </si>
  <si>
    <t>CodeIgniter</t>
  </si>
  <si>
    <t>PHP framework</t>
  </si>
  <si>
    <t xml:space="preserve"> It is an open-source framework that helps you build dynamic and interactive websites. Furthermore, CodeIgniter is known for its ability to simplify and quicken the web development process</t>
  </si>
  <si>
    <t>ERP</t>
  </si>
  <si>
    <t>enterprise resource planning</t>
  </si>
  <si>
    <t>It's a software system that includes all the tools and processes required to run a successful company, including HR, manufacturing, supply chain, finance, accounting, and more.</t>
  </si>
  <si>
    <t>GIS</t>
  </si>
  <si>
    <t>Geographic Information System</t>
  </si>
  <si>
    <t>computer system that analyzes and displays geographically referenced information</t>
  </si>
  <si>
    <t>CRO</t>
  </si>
  <si>
    <t xml:space="preserve">Conversion rate optimization </t>
  </si>
  <si>
    <t>is the process of increasing the percentage of conversions from a website or mobile app through desired action. It involves: Generating ideas for improving site/app elements. Validating hypotheses through A/B testing and multivariate testing.</t>
  </si>
  <si>
    <t>ETL</t>
  </si>
  <si>
    <t>Extract, transform, and load</t>
  </si>
  <si>
    <t>the process of combining data from multiple sources into a large, central repository called a data warehouse. ETL uses a set of business rules to clean and organize raw data and prepare it for storage, data analytics, and machine learning (ML).</t>
  </si>
  <si>
    <t>WooCommerce</t>
  </si>
  <si>
    <t>Wordpress plugin</t>
  </si>
  <si>
    <t>Netsuite</t>
  </si>
  <si>
    <t>Website Builder</t>
  </si>
  <si>
    <t>SpurIT</t>
  </si>
  <si>
    <t>Ecommerce Dev Company</t>
  </si>
  <si>
    <t>RunPod.io</t>
  </si>
  <si>
    <t>a GPU cloud platform</t>
  </si>
  <si>
    <t>offering serverless, on-demand, and spot GPU pods in 30+ regions. It enables fast spinning of multi-node clusters, autoscaling inference, and model training without infrastructure management. Best for AI/ML teams needing flexible, cost-effective compute.</t>
  </si>
  <si>
    <t>keycloak</t>
  </si>
  <si>
    <t>the open source identity and access management solutio</t>
  </si>
  <si>
    <t>an open-source software product to allow single sign-on with identity and access management aimed at modern applications and services. Until April 2023, this WildFly community project was under the stewardship of Red Hat, who use it as the upstream project for their Red Hat build of Keycloak.</t>
  </si>
  <si>
    <t xml:space="preserve">Affiliate </t>
  </si>
  <si>
    <t>an organization that is connected with or controlled by another, usually larger, organization</t>
  </si>
  <si>
    <t>a business that is related to another business by being connected in a way such as being a subsidiary or a partner for performing services.</t>
  </si>
  <si>
    <t>EMR</t>
  </si>
  <si>
    <t xml:space="preserve">Electronic medical record (EMR) systems, defined as "an electronic record of health-related information on an individual that can be created, gathered, managed, and consulted by authorized clinicians and staff within one health care organization," [1] have the potential to provide substantial benefits to physicians, ...
</t>
  </si>
  <si>
    <t>Headless App</t>
  </si>
  <si>
    <t>a design pattern in React where a component - normally inplemented as React hooks - is responsible solely for logic and state management without prescribing any specific UI (User Interface). It provides the “brains” of the operation but leaves the “looks” to the developer implementing it.</t>
  </si>
  <si>
    <t>JSS</t>
  </si>
  <si>
    <t>an authoring tool for CSS which allows you to use JavaScript to describe styles in a declarative, conflict-free and reusable way</t>
  </si>
  <si>
    <t>Hugo</t>
  </si>
  <si>
    <t>a static site generator written in Go,</t>
  </si>
  <si>
    <t xml:space="preserve"> optimized for speed and designed for flexibility. With its advanced templating system and fast asset pipelines, Hugo renders a complete site in seconds, often less.</t>
  </si>
  <si>
    <t>Vibe Coding</t>
  </si>
  <si>
    <t>ai to code</t>
  </si>
  <si>
    <t>an emerging software development practice that uses artificial intelligence (AI) to generate functional code from natural language prompts</t>
  </si>
  <si>
    <t>replica</t>
  </si>
  <si>
    <t>exact copy</t>
  </si>
  <si>
    <t>Inovative</t>
  </si>
  <si>
    <t>Featuring new methods.</t>
  </si>
  <si>
    <t>Capability</t>
  </si>
  <si>
    <t>Power or ability to do something.</t>
  </si>
  <si>
    <t>leverage</t>
  </si>
  <si>
    <t>use something to maximum advantage</t>
  </si>
  <si>
    <t>clinic</t>
  </si>
  <si>
    <t>place before hospital</t>
  </si>
  <si>
    <t>POC</t>
  </si>
  <si>
    <t>A Proof of concept</t>
  </si>
  <si>
    <t>the process of gathering evidence to support the feasibility of a project</t>
  </si>
  <si>
    <t xml:space="preserve">Blazorise </t>
  </si>
  <si>
    <t>is the only Blazor UI library that works seamlessly across multiple CSS frameworks, all in pure C#. We intelligently render the exact HTML and CSS</t>
  </si>
  <si>
    <t xml:space="preserve">Nexcess </t>
  </si>
  <si>
    <t>is a top-tier WordPress hosting provider that offers a comprehensive solution for businesses and individuals looking to establish a fast, secure, and reliable online presence.</t>
  </si>
  <si>
    <t>CDN</t>
  </si>
  <si>
    <t>content delivery network</t>
  </si>
  <si>
    <t>a network of interconnected servers that speeds up webpage loading for data-heavy applications. CDN can stand for content delivery network or content distribution network.</t>
  </si>
  <si>
    <t xml:space="preserve">Magento </t>
  </si>
  <si>
    <t>is an ecommerce platform built on open source technology which provides online merchants with a flexible shopping cart system, as well as control over the look, content and functionality of their online store. Magento offers powerful marketing, search engine optimization, and catalog-management tools.</t>
  </si>
  <si>
    <t>Cloudflare</t>
  </si>
  <si>
    <t>is an American company that provides content delivery network services, cybersecurity, DDoS mitigation, wide area network services, reverse proxies, Domain Name Service, ICANN-accredited domain registration, and other services.</t>
  </si>
  <si>
    <t>Pre-seed</t>
  </si>
  <si>
    <t>Hierachy</t>
  </si>
  <si>
    <t xml:space="preserve">a system or organization in which people or groups are ranked one above the other according to status or authority.
</t>
  </si>
  <si>
    <t>Steward</t>
  </si>
  <si>
    <t xml:space="preserve">Zoho </t>
  </si>
  <si>
    <t xml:space="preserve">is a cloud-based software suite like Microsoft Office or Google Workspace. </t>
  </si>
  <si>
    <t>It offers business and productivity tools that run the gamut from sales and marketing to finance and legal to IT and analytics. With more than 80 apps on offer, Zoho has been likened to a Swiss army knife due to its wide range of uses.</t>
  </si>
  <si>
    <t>Flutter</t>
  </si>
  <si>
    <t>Flutter is a cross platform framework that uses Dart as its programming language.</t>
  </si>
  <si>
    <t xml:space="preserve">Flutter is an open source framework developed and supported by Google. Frontend and full-stack developers use Flutter to build an application's user interface (UI) for multiple platforms with a single codebase.
</t>
  </si>
  <si>
    <t>Wix</t>
  </si>
  <si>
    <t>an intuitive HTML website builder</t>
  </si>
  <si>
    <t>that makes it possible to create a high-quality website without knowing how to code. In the Wix Editor, you can drag and drop any feature you want and customize it to match the look and feel of your site.</t>
  </si>
  <si>
    <t>content management software</t>
  </si>
  <si>
    <t>It's used to make many of the websites and applications you use every day. Drupal has great standard features, like easy content authoring, reliable performance, and excellent security. But what sets it apart is its flexibility; modularity is one of its core principles.</t>
  </si>
  <si>
    <t>Craft CMS</t>
  </si>
  <si>
    <t>the software behind a website that lets you edit pages, upload images, and manage content without touching code. First launched in 2013, Craft CMS has steadily grown into a flexible, developer-friendly platform loved by editors and businesses alike.</t>
  </si>
  <si>
    <t xml:space="preserve">Ruby </t>
  </si>
  <si>
    <t>highly popular programming language</t>
  </si>
  <si>
    <t>that's used for lots of things, from web app development to data analysis. It's also very user-friendly compared to other programming languages, and it's fairly easy to learn if you're willing to put in the work.</t>
  </si>
  <si>
    <t>Ruby on Rails</t>
  </si>
  <si>
    <t xml:space="preserve"> a server-side web application framework written in Ruby</t>
  </si>
  <si>
    <t>Rails is a model–view–controller (MVC) framework, providing default structures for a database, a web service, and web pages.</t>
  </si>
  <si>
    <t>JS runtime</t>
  </si>
  <si>
    <t>Runtime</t>
  </si>
  <si>
    <t>excute a piece of software</t>
  </si>
  <si>
    <t>It is an abstraction of the underlying operating system that translates the program's commands into respective actions for the operating system</t>
  </si>
  <si>
    <t>V8 engine</t>
  </si>
  <si>
    <t>open source javascript</t>
  </si>
  <si>
    <t>Webflow</t>
  </si>
  <si>
    <t>Doordash</t>
  </si>
  <si>
    <t>an American company operating online food ordering and food delivery</t>
  </si>
  <si>
    <t xml:space="preserve"> It trades under the symbol DASH. With a 56% market share, DoorDash is the largest food delivery platform in the United States. It also has a 60% market share in the convenience delivery category.</t>
  </si>
  <si>
    <t>Carrd</t>
  </si>
  <si>
    <t>no code website builder</t>
  </si>
  <si>
    <t>Dachi Khelashvili</t>
  </si>
  <si>
    <t>Address</t>
  </si>
  <si>
    <t>Tbilisi, Georgia</t>
  </si>
  <si>
    <t>Time</t>
  </si>
  <si>
    <t>8:30 PM, 12:30 PM EST</t>
  </si>
  <si>
    <t>Weather</t>
  </si>
  <si>
    <t>Clear</t>
  </si>
  <si>
    <t>What can we expect your services to do for our company or marketing plan?</t>
  </si>
  <si>
    <t>2022 ~ present</t>
  </si>
  <si>
    <r>
      <rPr>
        <sz val="10.0"/>
      </rPr>
      <t xml:space="preserve">What I do in </t>
    </r>
    <r>
      <rPr>
        <color rgb="FF1155CC"/>
        <sz val="10.0"/>
        <u/>
      </rPr>
      <t>pockittv.com?</t>
    </r>
  </si>
  <si>
    <t>I built a backend api endpoints. APIs mainly uploaded a video and converted it to mp4 video format, and saved it S3 bucket. Video uploading process worked in background, users didn't have to wait to them. I used websocket alert frontend when uploading was finished.</t>
  </si>
  <si>
    <t>Hi,
I’m very interested in helping you build your 360° video uploading and streaming platform. I have solid experience working with video processing and streaming systems, and I recently developed pockittv.com a video streaming platform built with a focus on performance, scalability, and smooth playback across devices.
For your project, I can design a reliable system where users can easily upload large 360° GoPro MAX 2 videos, process them efficiently, and stream them seamlessly on the web. I’ll implement optimized video compression using FFmpeg and modern codecs like H.264 or HEVC, ensuring the best balance between quality and file size. The platform will support adaptive streaming (HLS or DASH), so videos play smoothly even on slower connections.
I can also set up cloud-based storage and CDN delivery to handle large files, and integrate a responsive web player that supports full 360° viewing on both desktop and mobile.
I’d love to discuss your goals in more detail and help create a clean, high-performance platform that provides an excellent viewing experience for users.
Best regards,
Dachi</t>
  </si>
  <si>
    <r>
      <rPr>
        <sz val="10.0"/>
      </rPr>
      <t xml:space="preserve">What does </t>
    </r>
    <r>
      <rPr>
        <color rgb="FF1155CC"/>
        <sz val="10.0"/>
      </rPr>
      <t>pockittv.com</t>
    </r>
    <r>
      <rPr>
        <sz val="10.0"/>
      </rPr>
      <t xml:space="preserve"> do?</t>
    </r>
  </si>
  <si>
    <t>I contributed to the development of PockitTV, a next-generation content creation platform built to empower creators with ownership, innovative tools, and global reach. The platform provides a modern digital space for podcasters, streamers, and storytellers to connect with their audiences and grow their communities.</t>
  </si>
  <si>
    <t>Can you tell me about your experience with video streaming projects like pockittv.com?</t>
  </si>
  <si>
    <t>Yes, I built pockittv.com, a video streaming platform focused on performance, scalability, and smooth playback.
It handles large uploads, processes videos using FFmpeg, and delivers them through HLS streaming for adaptive quality. I integrated cloud storage (AWS S3) and CDN delivery to ensure fast playback globally.
Through this project, I learned how to design efficient pipelines — from upload, compression, and encoding to playback.</t>
  </si>
  <si>
    <t>How would you handle uploading large 360° GoPro MAX 2 videos efficiently?</t>
  </si>
  <si>
    <t>For large 360° files, I’d use chunked uploads and resumable uploads (for example, with tus.js or a custom multipart S3 upload).
This way, if a connection drops, users can resume without restarting.
I’d also implement background processing so uploads don’t block users — once the file is uploaded, the backend triggers a job for encoding and compression.</t>
  </si>
  <si>
    <t>What’s your approach to video compression for large files?</t>
  </si>
  <si>
    <t>I’d use FFmpeg to convert videos into modern codecs like H.264 for compatibility or HEVC (H.265) for better compression and smaller file sizes.
For 360° videos, I’d ensure proper spherical metadata is preserved so playback remains smooth in 360° players.
I also usually apply two-pass encoding for better quality and use bitrate control (CRF) to maintain consistent visual quality.</t>
  </si>
  <si>
    <t>What is adaptive bitrate streaming, and why is it important?</t>
  </si>
  <si>
    <t>Adaptive bitrate streaming means the video is split into different quality levels (e.g., 1080p, 720p, 480p).
The player automatically switches quality based on the user’s internet speed.
I use HLS (HTTP Live Streaming) or MPEG-DASH for this.
It’s important because it guarantees smooth playback — even if the user’s connection drops, the video keeps playing instead of buffering.</t>
  </si>
  <si>
    <t>How would you make sure playback works on all devices?</t>
  </si>
  <si>
    <t>I’d use a responsive HTML5 player like video.js or Google’s Shaka Player, with 360° support through videojs-panorama or A-Frame.
The encoding process would produce multiple resolutions (240p–4K) for adaptive playback.
I’d also test on both mobile browsers and desktop to ensure smooth gyro-based 360° navigation.</t>
  </si>
  <si>
    <t>How do you test and ensure video quality after encoding?</t>
  </si>
  <si>
    <t>I use FFmpeg’s SSIM or PSNR metrics to measure visual quality loss after compression.
Then, I manually review sample outputs to verify smooth 360° navigation and no artifacting.
Also, I test playback on both high-end and low-end devices to confirm stability.</t>
  </si>
  <si>
    <t>How do you monitor and manage video processing jobs?</t>
  </si>
  <si>
    <t>I use background queues (like BullMQ or Celery) to manage FFmpeg jobs.
Each upload triggers a background task, and I track progress through status updates in the database.
If any job fails, it automatically retries, and I log everything using CloudWatch or PM2 logs.</t>
  </si>
  <si>
    <t>Senior Shopify Developer for Backend and Frontend Tasks</t>
  </si>
  <si>
    <t>Summary
We are seeking an experienced Shopify developer to handle complex backend and frontend tasks, including custom app development and integration. The ideal candidate will work within the NY time zone and be available for frequent Zoom calls.
Deliverables
Develop and integrate custom Shopify apps
Implement complex backend settings
Enhance frontend design and functionality
Collaborate via Zoom calls
Ensure seamless integration with existing systems</t>
  </si>
  <si>
    <t>1) Sea Island Coffee
For the custom-apps requirement: Their product catalogue is large (many origins, weights, packaging variants). Ask: “How often do new origins/variants get added, and do you need a backend admin UI for non-technical staff to add them?”
Integration: “Do you have a single source of truth for inventory (warehouse vs Shopify) or is it possible for oversells to happen now? Would you like a sync queue + retry/failure dashboard?”
Frontend/UX: They offer many filters (“By Origin”, “By Type”, “By Taste Profile”). Challenge: “What is the performance like when filtering 100s of SKUs? Have you measured Core Web Vitals on these filter pages?”
App extension: “If you offered subscriptions, loyalty, or custom bundles (e.g., select 3 origins, pick 125g each, gift box) — is that supported? Would you like to build a custom bundle builder?”</t>
  </si>
  <si>
    <t>2) London Undercover
Backend complexity: “Personalisation is offered in umbrellas (“Personalisation” category). Is this managed via a Shopify App or custom endpoint? What happens if one personalised umbrella fails engraving — is there an order state flow?”
Integration: “Since you have physical stores (Bloomsbury &amp; Spitalfields) and online, do you sync inventory between POS and Shopify? How are in-store vs online inventory handled in checkout logic?”
Frontend: “On mobile the category filters look long — have you audited for mobile performance and accessibility? Are all images lazy-loaded with proper alt tags?”
Custom app challenge: “If you wanted to allow customers to design their umbrella (choose fabric + handle + add initals) in a visual builder, would the current theme support that or would you need a new custom app and backend job queue for print/engraving files?”</t>
  </si>
  <si>
    <t>3) Nyrah Beauty
Integration: “Cosmetic/skincare brands often have lots of content (ingredients, batch tracking, regulatory disclaimers). Is the product data coming from a PIM or is it manually entered? Would you like an app to integrate with your PIM/ERP?”
Frontend/UX: “Have you done A/B tests on your hero banner + product collection layout to see which drives higher add-to-cart on first visit?”
Backend/custom app: “If you wanted to support a ‘skin quiz’ (user answers 5 questions → recommended products → add to cart) would you build that as a custom Shopify app or embed a headless React widget?”
Seamless integration: “How is customer data shared between Shopify and your CRM/email system? Are post-purchase flows (e.g., replenishment reminder) automated or manually triggered?”</t>
  </si>
  <si>
    <t>Backend: “Luxury linens imply many variants (sizes, fabrics, colours). Is your variant structure efficient in Shopify (or do you have many duplicate SKUs)? Would you like a custom admin for bulk variant creation?”
Integration: “International luxury brand: Do you support multi-currency, duty/tax rules, and localised shipping/inventory? Do you need an app to handle region-specific flows (EU VAT, UK duties, etc)?”
Frontend/design: “Luxury brand storytelling is vital — are there custom rich-media components (lookbooks, fabric swatches) and are they optimized for speed? Have you measured LCP on desktop vs mobile for these high-res images?”
Custom app: “Suppose you want to allow customers to customise monogramming (choose thread, location) at checkout — is that in place or would that require a custom build (upload-preview, choice logic, backend fulfilment integration)?”</t>
  </si>
  <si>
    <t>1) Develop and integrate custom Shopify apps</t>
  </si>
  <si>
    <t>I build custom apps when native features or off-the-shelf apps can’t meet the logic, performance, or security needs. I typically use Node/TypeScript with Shopify App Bridge, Admin API/GraphQL, Storefront API, and Webhooks (Orders/Create, Checkout/Update, Inventory/Update). Where possible, I move logic into Shopify Functions for reliability and speed—e.g., dynamic discounts or shipping rules at checkout.
Recent example: I built a returns/exchanges app that synced RMA statuses with the warehouse (3PL) and updated order tags and customer notifications automatically. That reduced manual tickets by ~40% and cut refund cycle time from 5 days to 2. I follow Shopify’s OAuth flow, store secrets in AWS Parameter Store, and ship with CI/CD to avoid downtime.</t>
  </si>
  <si>
    <t>2) Implement complex backend settings</t>
  </si>
  <si>
    <t>For complex backend logic, I rely on Shopify Functions + Flow for native automations, and a small service layer (Node/Go) when we need external data or heavy computation. I model configuration in a secure admin UI—feature flags, per-market rules, and channel overrides.
Example: multi-market pricing with inventory routing. I used Functions for real-time pricing at checkout, Flow for back-office tag workflows, and a Cron/Queue to reconcile inventory from the ERP every 15 minutes. Result: fewer oversells (-70%) and consistent pricing across channels.</t>
  </si>
  <si>
    <t>3) Enhance frontend design and functionality</t>
  </si>
  <si>
    <t>I improve UX while keeping storefront performance high. I work in Online Store 2.0 with JSON templates, Blocks, and Liquid, and when we need app-like experiences I use Hydrogen + Storefront API or a headless Next.js front end. I implement accessibility (WCAG), lazy-load media, and optimize critical CSS/JS.
Recent win: rebuilt PDP sections as modular blocks with variant-aware media, badges, and dynamic bundles. CLS dropped by ~35%, LCP improved to &lt;2.5s, and add-to-cart rate increased ~8%. I measure with Lighthouse, Web Vitals, and Shopify’s Online Store Speed.</t>
  </si>
  <si>
    <t>4) Ensure seamless integration with existing systems</t>
  </si>
  <si>
    <t>I map your current stack—ERP/OMS, 3PL, ESP, payments, subscriptions—and define a single source of truth. Integrations use webhooks + idempotent handlers, queues/retries for resilience, and clear DLQs for visibility. Data is normalized before it hits Shopify to avoid messy metafields and conflicting tags.
Example: integrated Shopify with NetSuite and Klaviyo. Built a small sync service that deduped customers, aligned order states, and enriched events for lifecycle flows. That cut data mismatches to near zero and improved campaign attribution by ~12%.</t>
  </si>
  <si>
    <t>Github</t>
  </si>
  <si>
    <t>mike-teiler</t>
  </si>
  <si>
    <t>anttonio-dent</t>
  </si>
  <si>
    <t>dachi-khelashvili</t>
  </si>
  <si>
    <t>seean-stevenson</t>
  </si>
  <si>
    <t>hector-monsegur</t>
  </si>
  <si>
    <t>mark-ab-veron</t>
  </si>
  <si>
    <t>reid-al-harrison</t>
  </si>
  <si>
    <t>vianney-morain</t>
  </si>
  <si>
    <t>jake-jorgovan</t>
  </si>
  <si>
    <t>thomas-celek</t>
  </si>
  <si>
    <t>erik-fr-andersson</t>
  </si>
  <si>
    <t>Email</t>
  </si>
  <si>
    <t>miketaylor036outlook.com</t>
  </si>
  <si>
    <t>anttoniodent@outlook.com</t>
  </si>
  <si>
    <t>khelashvilidachi2@gmail.com</t>
  </si>
  <si>
    <t>seanstevenson03@outlook.com</t>
  </si>
  <si>
    <t>hector0304trojan@gmail.com</t>
  </si>
  <si>
    <t>mark.ab.veron@gmail.com</t>
  </si>
  <si>
    <r>
      <rPr>
        <color rgb="FF1155CC"/>
        <u/>
      </rPr>
      <t>reid.al</t>
    </r>
    <r>
      <rPr/>
      <t>.harrisson@gmail.com</t>
    </r>
  </si>
  <si>
    <t>vianney.morain.freelance@gmail.com</t>
  </si>
  <si>
    <t>jake3452634@gmail.com</t>
  </si>
  <si>
    <t>celekthomas@gmail.com</t>
  </si>
  <si>
    <t>erik0304andersson@gmail.com</t>
  </si>
  <si>
    <t>Passowrd</t>
  </si>
  <si>
    <t>U2FsdGVkX1/4wNkO6i8n12LrfoLq7NgUc6vKq33UaYs=</t>
  </si>
  <si>
    <t>https://github.com/mike-teiler</t>
  </si>
  <si>
    <t>https://github.com/anttonio-dent</t>
  </si>
  <si>
    <t>https://github.com/dachi-khelashvili</t>
  </si>
  <si>
    <t>https://github.com/seean-stevenson</t>
  </si>
  <si>
    <t>https://github.com/hector-monsegur</t>
  </si>
  <si>
    <t>https://github.com/mark-ab-veron</t>
  </si>
  <si>
    <t>https://github.com/reid-al-harrison</t>
  </si>
  <si>
    <t>https://github.com/vianney-morain</t>
  </si>
  <si>
    <t>https://github.com/jake-jorgovan</t>
  </si>
  <si>
    <t>https://github.com/thomas-celek</t>
  </si>
  <si>
    <t>https://github.com/erik-fr-andersson</t>
  </si>
  <si>
    <t>Badge</t>
  </si>
  <si>
    <t>Quickdraw, Pull Shark</t>
  </si>
  <si>
    <t>Galaxy Brain, Quick Draw, Pull Shark, Pair Extraordinaire, YOLO</t>
  </si>
  <si>
    <t>Starstruck, Pull Shark x3,Quickdraw, Pair Extraordinaire, YOLO, Galaxy Brain</t>
  </si>
  <si>
    <t>Quickdraw</t>
  </si>
  <si>
    <t>Pull Shark</t>
  </si>
  <si>
    <t>Creation Date</t>
  </si>
  <si>
    <t>Nov 3th 2025</t>
  </si>
  <si>
    <t>Dec 14th 2023</t>
  </si>
  <si>
    <t>Oct 13th 2023</t>
  </si>
  <si>
    <t>Feb 11th 2025</t>
  </si>
  <si>
    <t>Oct 7th 2024</t>
  </si>
  <si>
    <t>Aug 14th 2024</t>
  </si>
  <si>
    <t>https://outlook.live.com/mail/0/deeplink/compose?popoutv2=1&amp;to=amyrauphoto@gmail.com</t>
  </si>
  <si>
    <t>Discord Emails</t>
  </si>
  <si>
    <t>yuukinishida58493027@outlook.com</t>
  </si>
  <si>
    <t>yoshikitani59382047@outlook.com</t>
  </si>
  <si>
    <t>tomoyashirai39485721@outlook.com</t>
  </si>
  <si>
    <t>reninoue47380529@outlook.com</t>
  </si>
  <si>
    <t>ryuseiyoshida93072516@outlook.com</t>
  </si>
  <si>
    <t>Yuuki Nishida</t>
  </si>
  <si>
    <t>Yoshiki Tani</t>
  </si>
  <si>
    <t>Tomoya Shirai</t>
  </si>
  <si>
    <t>Ren Inoue</t>
  </si>
  <si>
    <t>Ryusei Yoshida</t>
  </si>
  <si>
    <t>Password</t>
  </si>
  <si>
    <t>uF!7zQ^tB#5jXrLpM</t>
  </si>
  <si>
    <t>jN!1vB^rK#w7XhLtQ</t>
  </si>
  <si>
    <t>fH!4xZ^uK#w3TrJnV</t>
  </si>
  <si>
    <t>bA%qM5k)u^p[XL1y</t>
  </si>
  <si>
    <t>VxO0h#3kT@tW2Z+R</t>
  </si>
  <si>
    <t>shinjikimura15982347@outlook.com</t>
  </si>
  <si>
    <t>tanaka.brandon000@outlook.com</t>
  </si>
  <si>
    <t>itsukisuzuki57290385@outlook.com</t>
  </si>
  <si>
    <t>yutoyamaguchi74038219@outlook.com</t>
  </si>
  <si>
    <t>Shinji Kimura</t>
  </si>
  <si>
    <t>Tanaka Brandon</t>
  </si>
  <si>
    <t>Itsuki Suzuki</t>
  </si>
  <si>
    <t>Yuto Yamaguchi</t>
  </si>
  <si>
    <t>a7D)%X4+FGdb@rRC</t>
  </si>
  <si>
    <t>tanaka2025*34</t>
  </si>
  <si>
    <t>zHcA%t3L+1Nh)M@9</t>
  </si>
  <si>
    <t>cN$VrP2k3!uzvFY#</t>
  </si>
  <si>
    <t>frantic_pounce589@simplelogin.com</t>
  </si>
  <si>
    <t>sulfate_commode542@simplelogin.com</t>
  </si>
  <si>
    <t>simplelogin-newsletter.unframed114@simplelogin.com</t>
  </si>
  <si>
    <t>resilient_national605@simplelogin.com</t>
  </si>
  <si>
    <t>simplelogin-newsletter.taco816@simplelogin.com</t>
  </si>
  <si>
    <t>grandkid_scroll513@simplelogin.com</t>
  </si>
  <si>
    <t>simplelogin-newsletter.delighted912@simplelogin.com</t>
  </si>
  <si>
    <t>wish_botanical293@simplelogin.com</t>
  </si>
  <si>
    <t>cassette_trend039@simplelogin.com</t>
  </si>
  <si>
    <r>
      <rPr>
        <color rgb="FF1155CC"/>
        <u/>
      </rPr>
      <t>reid.al</t>
    </r>
    <r>
      <rPr/>
      <t>.harrisson@gmail.com</t>
    </r>
  </si>
  <si>
    <t>bakery_shortness373@simplelogin.com</t>
  </si>
  <si>
    <t>WhatsApp</t>
  </si>
  <si>
    <t>Real Man</t>
  </si>
  <si>
    <t>Local Man</t>
  </si>
  <si>
    <t>Number</t>
  </si>
  <si>
    <t>1 (505) 918-4659</t>
  </si>
  <si>
    <t>Hushed</t>
  </si>
  <si>
    <t>1 606 220 5994</t>
  </si>
  <si>
    <t>Profile</t>
  </si>
  <si>
    <t>Ternoso</t>
  </si>
  <si>
    <t>sotafujita19582037@outlook.com</t>
  </si>
  <si>
    <t>vianneymorain@outlook.com</t>
  </si>
  <si>
    <t>jegrwgtfe7504@outlook.com</t>
  </si>
  <si>
    <t>Sota Fujita</t>
  </si>
  <si>
    <t>Vianney Morain</t>
  </si>
  <si>
    <t>Tawnee Sweitzer</t>
  </si>
  <si>
    <t>1Cu^dP72=EYHRma#</t>
  </si>
  <si>
    <t>Normal Password</t>
  </si>
  <si>
    <t>G7#kQ9$hR1@pL4!xW</t>
  </si>
  <si>
    <t>matthewward771122@hectro.aleeas.com</t>
  </si>
  <si>
    <t>sebastianreid883300@dackhe.aleeas.com</t>
  </si>
  <si>
    <t>loganeliot889966@dackhe.aleeas.com</t>
  </si>
  <si>
    <t>christianross443399@dackhe.aleeas.com</t>
  </si>
  <si>
    <t>henryperry664499@dackhe.aleeas.com</t>
  </si>
  <si>
    <t>christopherclark664488@dackhe.aleeas.com</t>
  </si>
  <si>
    <t>elijahrussell442233@dackhe.aleeas.com</t>
  </si>
  <si>
    <t>nicholasfoster993344@hectro.aleeas.com</t>
  </si>
  <si>
    <t>Matthew Ward</t>
  </si>
  <si>
    <t>Sebastian Reid</t>
  </si>
  <si>
    <t>Logan Eliot</t>
  </si>
  <si>
    <t>Christian Ross</t>
  </si>
  <si>
    <t>Henry Perry</t>
  </si>
  <si>
    <t>Christopher Clark</t>
  </si>
  <si>
    <t>Elijah Russell</t>
  </si>
  <si>
    <t>Nicholas Foster</t>
  </si>
  <si>
    <t>matthew5391w</t>
  </si>
  <si>
    <t>sebasti2034r</t>
  </si>
  <si>
    <t>logan83102e</t>
  </si>
  <si>
    <t>christia5839r</t>
  </si>
  <si>
    <t>henry24958p</t>
  </si>
  <si>
    <t>christo4716c</t>
  </si>
  <si>
    <t>elijah92735r</t>
  </si>
  <si>
    <t>nicholas2840f</t>
  </si>
  <si>
    <t>Y9^qJ4!nV3@tF7</t>
  </si>
  <si>
    <t>B2#cD7!kN9^pG4</t>
  </si>
  <si>
    <t>W8^nM3!sJ9@bT5</t>
  </si>
  <si>
    <t>C8^mT2!nK5@pW6</t>
  </si>
  <si>
    <t>S8#nB5!rD7^vM2</t>
  </si>
  <si>
    <t>N4^pS8!tH5@rG9</t>
  </si>
  <si>
    <t>P7#xL3!nC5@fT9</t>
  </si>
  <si>
    <t>W7@tQ5#yK1!rD3</t>
  </si>
  <si>
    <t>jackhughes445500@hectro.aleeas.com</t>
  </si>
  <si>
    <t>charlesmorris559900@viamor.aleeas.com</t>
  </si>
  <si>
    <t>lucasmorgan552299@viamor.aleeas.com</t>
  </si>
  <si>
    <t>connorward776600@viamor.aleeas.com</t>
  </si>
  <si>
    <t>danielwright223388@viamor.aleeas.com</t>
  </si>
  <si>
    <t>andrewgreen777311@viamor.aleeas.com</t>
  </si>
  <si>
    <t>asherbaker998877@viamor.aleeas.com</t>
  </si>
  <si>
    <t>anthonyparker229911@viamor.aleeas.com</t>
  </si>
  <si>
    <t>Jack Hughes</t>
  </si>
  <si>
    <t>Charles Morris</t>
  </si>
  <si>
    <t>Lucas Morgan</t>
  </si>
  <si>
    <t>Connor Ward</t>
  </si>
  <si>
    <t>Daniel Wright</t>
  </si>
  <si>
    <t>Andrew Green</t>
  </si>
  <si>
    <t>Asher Baker</t>
  </si>
  <si>
    <t>Anthony Parker</t>
  </si>
  <si>
    <t>jack9175h</t>
  </si>
  <si>
    <t>charles9703m</t>
  </si>
  <si>
    <t>lucas5927m</t>
  </si>
  <si>
    <t>connor1845w</t>
  </si>
  <si>
    <t>daniel7302w</t>
  </si>
  <si>
    <t>andrew6591g</t>
  </si>
  <si>
    <t>asher2184b</t>
  </si>
  <si>
    <t>anthony9073p</t>
  </si>
  <si>
    <t>P6!rT2^kC9#yM5</t>
  </si>
  <si>
    <t>H9@cJ3!vL5^rT8</t>
  </si>
  <si>
    <t>E3#yD7!vP4^qH9</t>
  </si>
  <si>
    <t>B1!yN7@hJ3^rQ9</t>
  </si>
  <si>
    <t>T3!gL8@fK6^wC9</t>
  </si>
  <si>
    <t>H3!mJ9@fN2^bL8</t>
  </si>
  <si>
    <t>L3@tF9!vP1^rS5</t>
  </si>
  <si>
    <t>D7!gV5^xQ2#mL4</t>
  </si>
  <si>
    <t>Usable Outlook</t>
  </si>
  <si>
    <t>jaydenbell338877</t>
  </si>
  <si>
    <t>josephanderson778822</t>
  </si>
  <si>
    <t>dylanprice551188</t>
  </si>
  <si>
    <t>jonathanharris223311</t>
  </si>
  <si>
    <t>samuelbrown882244</t>
  </si>
  <si>
    <t>nathaneliot228800</t>
  </si>
  <si>
    <t>Jayden Bell</t>
  </si>
  <si>
    <t>Joseph Anderson</t>
  </si>
  <si>
    <t>Dylan Price</t>
  </si>
  <si>
    <t>Jonathan Harris</t>
  </si>
  <si>
    <t>Samuel Brown</t>
  </si>
  <si>
    <t>Nathan Eliot</t>
  </si>
  <si>
    <t>jayden3062b</t>
  </si>
  <si>
    <t>joseph8719a</t>
  </si>
  <si>
    <t>dylan4527p</t>
  </si>
  <si>
    <t>jonathan6384h</t>
  </si>
  <si>
    <t>samuel2109b</t>
  </si>
  <si>
    <t>nathan4930e</t>
  </si>
  <si>
    <t>R4@hK9%gF3!tW6</t>
  </si>
  <si>
    <t>L2@pD6!tN4^rM8</t>
  </si>
  <si>
    <t>E2#bM8!zN6^xT9</t>
  </si>
  <si>
    <t>E1^mK8!sL3@hN6</t>
  </si>
  <si>
    <t>N7^rM4!kP9@qL2</t>
  </si>
  <si>
    <t>Z4!dH3@rC7^vM1</t>
  </si>
  <si>
    <t>noahbailey337722</t>
  </si>
  <si>
    <t>Noah Bailey</t>
  </si>
  <si>
    <t>noah8754b</t>
  </si>
  <si>
    <t>R2@hF5%tK1#mD8</t>
  </si>
  <si>
    <t>Used Outlook</t>
  </si>
  <si>
    <t>arc</t>
  </si>
  <si>
    <t>iJjPeq+ptpt4V2ChHZTzJe8Zdqu1TRy7YbfknJY4ijk=</t>
  </si>
  <si>
    <t>daichiyamada92851148@outlook.com</t>
  </si>
  <si>
    <t>daisukekawaguchi28493075@outlook.com</t>
  </si>
  <si>
    <t>yutoono89317420@outlook.com</t>
  </si>
  <si>
    <t>takumisuzuki27360194@outlook.com</t>
  </si>
  <si>
    <t>kaitomatsuda45871029@outlook.com</t>
  </si>
  <si>
    <t>kensuketakahashi58109234@outlook.com</t>
  </si>
  <si>
    <t>koutaromatsumoto18045923@outlook.com</t>
  </si>
  <si>
    <t>shunharada18537092@outlook.com</t>
  </si>
  <si>
    <t>01 - Daichi Yamada</t>
  </si>
  <si>
    <t>02 - Daisuke Kawaguchi</t>
  </si>
  <si>
    <t>03 - Yuto Ono</t>
  </si>
  <si>
    <t>04 - Takumi Suzuki</t>
  </si>
  <si>
    <t>04 - Kaito Matsuda</t>
  </si>
  <si>
    <t>05 - Kensuke Takahashi</t>
  </si>
  <si>
    <t>06 - Koutaro Matsumoto</t>
  </si>
  <si>
    <t>07 - Shun Harada</t>
  </si>
  <si>
    <t>AUFO)z7cjmb2u89s</t>
  </si>
  <si>
    <t>Xn9@Tr!3hK#qW^7vF</t>
  </si>
  <si>
    <t>hB2kP9@4mF8$U(t+</t>
  </si>
  <si>
    <t>@6bWKV}QyLj(zdf0</t>
  </si>
  <si>
    <t>U5H(8#xG2V@Ej0!L</t>
  </si>
  <si>
    <t>{A)wcnPO&amp;QfEU9iY</t>
  </si>
  <si>
    <t>5Yb&amp;2Vm0!CnQ9P#T</t>
  </si>
  <si>
    <t>f6d3$8jOq7*]e@A0</t>
  </si>
  <si>
    <t>masakisuzuki34058917@outlook.com</t>
  </si>
  <si>
    <t>ryokato89312047@outlook.com</t>
  </si>
  <si>
    <t>ayumutanaka37451098@outlook.com</t>
  </si>
  <si>
    <t>akiranoguchi28493057@outlook.com</t>
  </si>
  <si>
    <t>shoishikawa68291345@outlook.com</t>
  </si>
  <si>
    <t>takumimurakami50389271@outlook.com</t>
  </si>
  <si>
    <t>yumaokada91475820@outlook.com</t>
  </si>
  <si>
    <t>renhayashi75049312@outlook.com</t>
  </si>
  <si>
    <t>09 - Masaki Suzuki</t>
  </si>
  <si>
    <t>10 - Ryo Kato</t>
  </si>
  <si>
    <t>11 - Ayumu Tanaka</t>
  </si>
  <si>
    <t>Akira Noguchi</t>
  </si>
  <si>
    <t>14 - Sho Ishikawa</t>
  </si>
  <si>
    <t>16 - Takumi Murakami</t>
  </si>
  <si>
    <t>17 - Yuma Okada</t>
  </si>
  <si>
    <t>18 - Ren Hayashi</t>
  </si>
  <si>
    <t>@jpwH7&amp;[q6{*sBLi</t>
  </si>
  <si>
    <t>E43)poaDbsLh+1e$</t>
  </si>
  <si>
    <t>f)T2ELXb!J3Kh%7c</t>
  </si>
  <si>
    <t>tQ8!wX@bL^rH3fZpK</t>
  </si>
  <si>
    <t>0bD9Q!(fehS#q]r7</t>
  </si>
  <si>
    <t>}9Y)0@beT&amp;H!isnZ</t>
  </si>
  <si>
    <t>%hEGR7R!(D2w49n*</t>
  </si>
  <si>
    <t>4cU7tv]nD%3HbO(+</t>
  </si>
  <si>
    <t>shunshimizu58204931@outlook.com</t>
  </si>
  <si>
    <t>noahhall771200@outlook.com</t>
  </si>
  <si>
    <t>kazukisakai29417583@outlook.com</t>
  </si>
  <si>
    <t>adamjones482913@outlook.com</t>
  </si>
  <si>
    <t>liamkelly554422@outlook.com</t>
  </si>
  <si>
    <t>christopherhill556677@outlook.com</t>
  </si>
  <si>
    <t>nicholaswhite334788@outlook.com</t>
  </si>
  <si>
    <t>20 - Shun Shimizu</t>
  </si>
  <si>
    <t>Noah Hall</t>
  </si>
  <si>
    <t>13 - Kazuki Sakai</t>
  </si>
  <si>
    <t>Sean Stevenson</t>
  </si>
  <si>
    <t>Adam Jones</t>
  </si>
  <si>
    <t>Liam Kelly</t>
  </si>
  <si>
    <t>Christopher Hill</t>
  </si>
  <si>
    <t>Nicholas White</t>
  </si>
  <si>
    <t>u0Hv4[Yb(PM^9hE#</t>
  </si>
  <si>
    <t>H8@rK2%yJ7vNf4</t>
  </si>
  <si>
    <t>e#L%GUn8Q)Jc[x9B</t>
  </si>
  <si>
    <t>G7!rXq2#bV9pLw</t>
  </si>
  <si>
    <t>B7!pR2#qM9vXs4</t>
  </si>
  <si>
    <t>Z4@tH7%pN3vXk1</t>
  </si>
  <si>
    <t>qZ6!tV3#cH9mPx</t>
  </si>
  <si>
    <t>ryanmurphy112233@outlook.com</t>
  </si>
  <si>
    <t>jackthompson887766@outlook.com</t>
  </si>
  <si>
    <t>josephanderson119900@outlook.com</t>
  </si>
  <si>
    <t>williamadams998800@outlook.com</t>
  </si>
  <si>
    <t>lukeroberts221199@outlook.com</t>
  </si>
  <si>
    <t>thomashall228899@outlook.com</t>
  </si>
  <si>
    <t>marklewis447799@outlook.com</t>
  </si>
  <si>
    <t>carterbennett112277@outlook.com</t>
  </si>
  <si>
    <t>Ryan Murphy</t>
  </si>
  <si>
    <t>Jack Thompson</t>
  </si>
  <si>
    <t>William Adams</t>
  </si>
  <si>
    <t>Luke Roberts</t>
  </si>
  <si>
    <t>Thomas Hall</t>
  </si>
  <si>
    <t>Mark Lewis</t>
  </si>
  <si>
    <t>Carter Bennett</t>
  </si>
  <si>
    <t>C9#qB2!rF5zLm8</t>
  </si>
  <si>
    <t>L1!nM7#cQ4vRp9</t>
  </si>
  <si>
    <t>N1&amp;bWq7$Tz5LpR</t>
  </si>
  <si>
    <t>Y3^tG8&amp;nQ1zLm6</t>
  </si>
  <si>
    <t>D7!rH3#sL9pXv6</t>
  </si>
  <si>
    <t>M3!hS7^vJ9dB5nC</t>
  </si>
  <si>
    <t>E4^wH2!zJ8nR3mT</t>
  </si>
  <si>
    <t>E4@zJ8!rT5^hL1</t>
  </si>
  <si>
    <t>roberthughes223311@outlook.com</t>
  </si>
  <si>
    <t>joshuaclark559900@outlook.com</t>
  </si>
  <si>
    <t>renokada47851230@outlook.com</t>
  </si>
  <si>
    <t>minatokobayashi26918357@outlook.com</t>
  </si>
  <si>
    <t>benjaminwilson667911@outlook.com</t>
  </si>
  <si>
    <t>alexanderward775588@outlook.com</t>
  </si>
  <si>
    <t>Robert Hughes</t>
  </si>
  <si>
    <t>Joshua Clark</t>
  </si>
  <si>
    <t>08 - Ren Okada</t>
  </si>
  <si>
    <t>19 - Minato Kobayashi</t>
  </si>
  <si>
    <t>Benjamin Wilson</t>
  </si>
  <si>
    <t>Alexander Ward</t>
  </si>
  <si>
    <t>H6!eC3#uR9kT2mW</t>
  </si>
  <si>
    <t>R3!vK6%yD8qT4nB</t>
  </si>
  <si>
    <t>!vHZF0p3&amp;Ux5j2Rq</t>
  </si>
  <si>
    <t>dY6Tn)^S!9$F+8M@</t>
  </si>
  <si>
    <t>M3#xG9!pL6qVs2</t>
  </si>
  <si>
    <t>N1@tQ6%rL8!yF5</t>
  </si>
  <si>
    <t>Shopify recovery codes</t>
  </si>
  <si>
    <t>Account email: anttoniodent550@gmail.com</t>
  </si>
  <si>
    <t>Generated: 2025-11-13 14:36:26 UTC</t>
  </si>
  <si>
    <t>92D8-2509-BFC9</t>
  </si>
  <si>
    <t>8544-CAEA-7AA4</t>
  </si>
  <si>
    <t>98DD-7398-37E0</t>
  </si>
  <si>
    <t>4F1F-CC33-AF1B</t>
  </si>
  <si>
    <t>6A1E-ADE2-1BEC</t>
  </si>
  <si>
    <t>6B8F-911F-DD23</t>
  </si>
  <si>
    <t>B829-5E98-A36F</t>
  </si>
  <si>
    <t>FB03-A384-AA8A</t>
  </si>
  <si>
    <t>950C-38A9-D70B</t>
  </si>
  <si>
    <t>338A-565D-2554</t>
  </si>
  <si>
    <t>yuutoharada27819405@outlook.com</t>
  </si>
  <si>
    <t>Yuuto Harada</t>
  </si>
  <si>
    <t>Yk8%R1b@J6M)Wv#2</t>
  </si>
  <si>
    <t>kazukimurakami47258039@outlook.com</t>
  </si>
  <si>
    <t>Kazuki Murakami</t>
  </si>
  <si>
    <t>mH2!Jw9@Yz$K7&amp;0x</t>
  </si>
  <si>
    <t>sotahasegawa94837201@outlook.com</t>
  </si>
  <si>
    <t>Sota Hasegawa</t>
  </si>
  <si>
    <t>Q!T2w@e7yX9$K8fH</t>
  </si>
  <si>
    <t>shokimura65209483@outlook.com</t>
  </si>
  <si>
    <t>Sho Kimura</t>
  </si>
  <si>
    <t>r7Z!3pN6Q^@8bD2y</t>
  </si>
  <si>
    <t>renishikawa30928475@outlook.com</t>
  </si>
  <si>
    <t>Ren Ishikawa</t>
  </si>
  <si>
    <t>t4cW8@Jq!VzX7h)R</t>
  </si>
  <si>
    <t>http://signup.live.com/signup</t>
  </si>
  <si>
    <t>https://outlook.live.com/mail/0/</t>
  </si>
  <si>
    <t>AntTonio Dent</t>
  </si>
  <si>
    <t>Locaiton</t>
  </si>
  <si>
    <t>Youngstown, OH, USA</t>
  </si>
  <si>
    <t>Bearden, Glasgow, UK</t>
  </si>
  <si>
    <t>Timezone</t>
  </si>
  <si>
    <t>Georgian Standard Time(GMT+4)</t>
  </si>
  <si>
    <t>EST(UTC-5) &amp; EDT(UTC-4)</t>
  </si>
  <si>
    <t>Greenwich Mean Time (UTC+0)</t>
  </si>
  <si>
    <t>Title</t>
  </si>
  <si>
    <t>Senior Software Engineer | React | Node.js | Golang | Shopify</t>
  </si>
  <si>
    <t>Senior Full Stack Engineer | React, Angular, Vue, Shopify, Automation</t>
  </si>
  <si>
    <t>Senior Software Engineer | Ecommerce, Web, Automation</t>
  </si>
  <si>
    <t>Overview</t>
  </si>
  <si>
    <t>Senior Web Engineer with 7+ years of experience building fast, scalable, and secure web solutions for businesses worldwide. I specialize in WordPress and Shopify development, modern full-stack applications, and high-performance systems that deliver measurable business results.
What I bring to the table:
- CMS &amp; E-Commerce: Advanced WordPress development (custom themes, plugins, and WooCommerce), Shopify theme/app development, store optimization, and integrations that scale with business growth.
- Frontend Development: React, Next.js, responsive design, reusable component libraries (Storybook), performance optimizations (lazy loading, client-side rendering).
- Backend Development: Python (Django/Flask), Go (Echo), Node.js (Nest.js), REST APIs, event-driven systems, and microservices architecture.
- Cloud &amp; DevOps: AWS (Lambda, Pub/Sub, serverless architecture), Serverless Framework, CI/CD pipelines, deployment automation, and scalable infrastructure design.
- Database &amp; API Optimization: MySQL, PostgreSQL, database schema design, API performance tuning, and third-party service integrations.
- Quality &amp; Reliability: Comprehensive testing (unit, integration, e2e with Jest, Playwright, Cypress), clean and maintainable code, and robust security practices.
- Performance &amp; User Experience: Fast-loading applications, SEO-friendly development, and engaging, mobile-friendly user interfaces.</t>
  </si>
  <si>
    <t>I’m a Senior E-Commerce Developer with 10+ years of experience building high-performing online stores, custom themes, and production-ready solutions for brands that need scalability, reliability, and clean user experiences. I specialize in Shopify and WordPress development, helping clients launch powerful storefronts that convert and grow.
I’ve solved complex, high-impact problems — from fixing critical WordPress performance and plugin issues to fully cloning an existing website into Shopify using GemPages while keeping the design consistent and improving overall structure. My work focuses on speed, UX, and long-term maintainability.
What I do best:
 - Shopify Development: Custom themes, GemPages builds, store migrations, advanced filtering, app integrations, performance tuning, and converting full designs into pixel-perfect storefronts.
 - WordPress &amp; WooCommerce: Fixing critical site issues, resolving plugin conflicts, Elementor/Divi optimization, theme customization, and full site rebuilds.
 - Front-to-Back Ownership: From UX-focused frontend development to backend logic, APIs, database setup, and cloud deployment.
 - E-Commerce Optimization: Speed improvements, SEO-friendly structures, checkout refinement, and scalable product architecture.
I bring a problem-solving mindset, clean implementation, and a commitment to delivering polished results—whether it’s building a new store from scratch or rescuing an existing one. If you need a reliable Shopify/WordPress engineer who can elevate your store and handle everything from development to deployment, I’d be glad to help.</t>
  </si>
  <si>
    <t>I’m a Senior Software Engineer who helps startups and growing businesses turn ideas into real, working products. Over the years, I’ve built everything from fast, investor-ready MVPs to scalable SaaS platforms and e-commerce systems that handle thousands of transactions a day.
I like to keep things simple and reliable, writing clean, maintainable code and designing systems that are fast, secure, and easy to scale. My focus is always on building products that deliver real value for both the business and the people who use them.
What I specialize in:
- Frontend Development: Build responsive, high-performing interfaces with React and Next.js, crafting dashboards, admin panels, and e-commerce frontends optimized for speed and SEO.
- Backend Engineering: Develop scalable, modular APIs and services using Python (FastAPI), Go, and Node.js, integrating Stripe, SendGrid, and other APIs to power solid business logic.
- E-Commerce Development: Customize and optimize Shopify and WordPress stores to handle high traffic, complex filtering, and real-time ERP or inventory integrations.
- Automation &amp; Cloud: Automate workflows with n8n and Zapier, and deploy secure, scalable infrastructure on AWS (EC2, S3, CloudFront, RDS).
- Performance &amp; Optimization: Deliver SSR-optimized, SEO-friendly solutions that improve Core Web Vitals, page speed, and overall user engagement.
I enjoy working closely with clients to understand their vision and translate it into reliable, scalable systems. Every project is a partnership. I focus on building products that not only meet requirements but also help the business grow and evolve.</t>
  </si>
  <si>
    <t>Senior Web Engineer who builds scalable, high-performing web platforms, SaaS applications, and MVP products, combining modern full-stack development with dependable, well-crafted WordPress and Shopify solutions tailored to each project.
What I bring to the table:
- CMS &amp; E-Commerce: WordPress (custom themes, plugins, WooCommerce), Shopify theme/app development, store optimization, and integrations built for long-term scalability.
- Frontend Development: React, Next.js, Vue.js, Angular, reusable component systems, responsive UI design, and performance-focused implementations.
- Backend Development: Python (Django/Flask), Go (Echo), Node.js (Nest.js), REST APIs, event-driven systems, and microservices architecture.
- Cloud &amp; DevOps: AWS (Lambda, serverless workflows, messaging services), Serverless Framework, CI/CD pipelines, automated deployments, and scalable infrastructure planning.
- Database &amp; API Optimization: MySQL, PostgreSQL, MongoDB, schema design, GraphQL, performance tuning, and third-party service integrations.
- Quality &amp; Reliability: Unit, integration, and end-to-end testing (Jest, Playwright, Cypress), secure coding practices, and clean, maintainable architecture.
- Performance &amp; User Experience: Fast-loading applications, SEO-focused development, intuitive interfaces, and mobile-friendly user flows.</t>
  </si>
  <si>
    <t>I’m a Senior Full Stack Engineer with 10+ years of experience, who builds scalable SaaS applications, production-ready MVPs, and high-quality e-commerce platforms. I focus on turning complex ideas into reliable, high-performing products, from modern web apps to custom online stores that deliver real business impact.
I design and develop full systems end-to-end, combining modern frontend engineering, solid backend architecture, and clean infrastructure. My goal is always the same: create fast, maintainable, and intuitive digital experiences that align with each client’s vision.
Here’s what I do best:
- Frontend: Building fast, responsive interfaces with React, Next.js, Vue.js, and Angular.
- Web &amp; E-Commerce: Developing and customizing Shopify and WordPress with tailored themes, plugins, and integrations.
- Backend: Creating scalable APIs and microservices using Node.js, Nest.js, Go, and Python.
- Databases: Strong experience with MySQL, PostgreSQL, MongoDB, and GraphQL API development.
- Automation &amp; Cloud: Designing workflows with n8n and deploying systems on AWS for performance and reliability.
I take pride in writing clean, maintainable code and collaborating smoothly from planning to launch. If you’re looking for someone who can handle your project from architecture to deployment, I’d be glad to help bring your vision to life.</t>
  </si>
  <si>
    <t>Hourly Rate</t>
  </si>
  <si>
    <t>Language</t>
  </si>
  <si>
    <t>English</t>
  </si>
  <si>
    <t>University</t>
  </si>
  <si>
    <t>Ivane Javakhishvili Tbilisi State University</t>
  </si>
  <si>
    <t>Kent State University</t>
  </si>
  <si>
    <t>University of Glasgow</t>
  </si>
  <si>
    <t>Period</t>
  </si>
  <si>
    <t>4 years</t>
  </si>
  <si>
    <t>Degree</t>
  </si>
  <si>
    <t>Bachelor's Degree</t>
  </si>
  <si>
    <t>Area</t>
  </si>
  <si>
    <t>Computer Science</t>
  </si>
  <si>
    <t>Company 1</t>
  </si>
  <si>
    <t>PockitTV</t>
  </si>
  <si>
    <t>Oppizi</t>
  </si>
  <si>
    <t>Scorchsoft</t>
  </si>
  <si>
    <t>Senior Full Stack Developer</t>
  </si>
  <si>
    <t>Software Developer</t>
  </si>
  <si>
    <t>Full Stack Developer</t>
  </si>
  <si>
    <t>Location</t>
  </si>
  <si>
    <t>Steinhausen, Switzerland</t>
  </si>
  <si>
    <t>New York City, New York, US</t>
  </si>
  <si>
    <t>Birmingham, UK</t>
  </si>
  <si>
    <t>Jul 2022 -  Present</t>
  </si>
  <si>
    <t>Apr 2015 - May 2019</t>
  </si>
  <si>
    <t>Sep 2018 - Aug 2020</t>
  </si>
  <si>
    <t>Website URL</t>
  </si>
  <si>
    <t>https://www.scorchsoft.com/</t>
  </si>
  <si>
    <t>Experience</t>
  </si>
  <si>
    <t>- Worked closely with product managers to translate business requirements into detailed technical specifications for an e-commerce platform, ensuring alignment between business goals and technical execution.
- Enhanced the performance of the e-commerce platform by optimizing the database architecture and API structure, leading to reduced load times and improved user experience.
- Implemented a high-performance frontend utilizing client-side rendering in Next.js, achieving greater responsiveness and interactivity for users.
- Designed and implemented microservice architectures using the Go Echo framework, enabling the platform to scale efficiently and handle increasing user demands.
- Used adapter patterns to seamlessly integrate with third-party ecommerce services, enhancing the platform’s functionality and service offerings.</t>
  </si>
  <si>
    <t>- Built a backend system in Python that provides an API to recommend advertising plans based on weather data and past campaign performance.
- Deployed it on AWS Lambda to make the system faster, scalable, and cost-efficient.
- Worked with an AI engineer to integrate Apache Airflow, helping solve development-side issues like API connections, task timing, and data handling.
- Improved scheduling and monitoring by fine-tuning Airflow tasks and setting up CloudWatch alerts, so processes ran smoothly without delays.
- Took responsibility for backend structure and deployment, keeping the code clean, efficient, and easy to maintain.</t>
  </si>
  <si>
    <t>- Built and customized high-traffic Shopify and WordPress stores using Liquid, PHP, and React, solving challenges around load balancing and API limits during peak sales periods.
- Implemented personalized product recommendations, variant filtering, and localized checkout flows that increased user engagement and conversion.
- Integrated Node.js and RESTful APIs to sync real-time product data and order tracking between the store and ERP systems.
- Created React-based dashboards for internal analytics, helping marketing teams visualize sales performance and user behavior.
- Optimized themes for SEO and Core Web Vitals using Lighthouse audits, lazy loading, and CDN caching.</t>
  </si>
  <si>
    <t>Company 2</t>
  </si>
  <si>
    <t>Opizzi</t>
  </si>
  <si>
    <t>BuildLab</t>
  </si>
  <si>
    <t>Element Software</t>
  </si>
  <si>
    <t>Backend Developer</t>
  </si>
  <si>
    <t>Senior Web Developer</t>
  </si>
  <si>
    <t>Senor Web Engineer</t>
  </si>
  <si>
    <t>New York, US</t>
  </si>
  <si>
    <t>Arlington, Virginia, US</t>
  </si>
  <si>
    <t>Leicester, UK</t>
  </si>
  <si>
    <t>Mar 2020 - May 2022</t>
  </si>
  <si>
    <t>Jul 2019 - Jan 2022</t>
  </si>
  <si>
    <t>Dec 2020 - May 2022</t>
  </si>
  <si>
    <t>https://buildlab.co/</t>
  </si>
  <si>
    <t>https://element-software.co.uk/</t>
  </si>
  <si>
    <t>- Led the development of a scalable Django API to analyze historical data, optimizing advertising timing to improve marketing effectiveness and boost client engagement.
- Implemented an event-driven architecture using Google Pub/Sub, enabling real-time data processing and enhancing the API’s responsiveness.
- Deployed the API on AWS Lambda using a serverless architecture, ensuring high availability, scalability, and cost optimization.
- Utilized the Serverless Framework to automate the deployment of Lambda functions, significantly increasing deployment speed and efficiency.</t>
  </si>
  <si>
    <t>- Built and customized WordPress websites, including themes, plugins, and responsive layouts.
- Developed full-stack web applications using React, and Node.js.
- Created clean, user-friendly frontends and connected them to secure, fast backends.
- Deployed and maintained projects on cloud servers, ensuring good performance and reliability.
- Worked closely with clients to turn their ideas into functional, easy-to-use web solutions.</t>
  </si>
  <si>
    <t>- Designed and delivered scalable MVPs and SaaS dashboards for early-stage startups built with React, Next.js, and FastAPI, focusing on fast iteration and clean architecture.
- Built admin panels and analytics portals supporting high concurrency, using WebSockets and PostgreSQL for real-time updates.
- Integrated Stripe, SendGrid, and Google Analytics APIs to automate payments, email notifications, and product metrics.
- Collaborated directly with founders to define product roadmaps, balancing rapid prototyping with long-term scalability.
- Tackled the challenge of turning minimal specs into investor-ready products under tight deadlines using agile sprints and CI/CD pipelines.</t>
  </si>
  <si>
    <t>Company 3</t>
  </si>
  <si>
    <t>90seconds</t>
  </si>
  <si>
    <t>Thinknimble</t>
  </si>
  <si>
    <t>iQlance</t>
  </si>
  <si>
    <t>Web Developer</t>
  </si>
  <si>
    <t>Senior Software Engineer</t>
  </si>
  <si>
    <t>London, UK</t>
  </si>
  <si>
    <t>Washington, D.C, US</t>
  </si>
  <si>
    <t>Sep 2018 - Feb 2020</t>
  </si>
  <si>
    <t>Feb 2022 - Aug 2025</t>
  </si>
  <si>
    <t>Jul 2022 - Mar 2025</t>
  </si>
  <si>
    <t>https://www.thinknimble.com/</t>
  </si>
  <si>
    <r>
      <rPr>
        <color rgb="FF1155CC"/>
        <u/>
      </rPr>
      <t>https://www.iqlance.com/</t>
    </r>
    <r>
      <rPr/>
      <t>/</t>
    </r>
  </si>
  <si>
    <t>- Designed mobile-friendly interfaces by applying responsive design principles, significantly enhancing accessibility for users.
- Developed the frontend using React, which improved the overall user experience through dynamic and interactive elements.
- Created a reusable component library with Storybook, ensuring visual consistency across the application.
- Implemented lazy loading techniques to optimize performance, effectively reducing load times and improving user engagement.
- Migrated the backend from PHP to Nest.js, resulting in improved scalability and maintainability of the application.
- Conducted comprehensive testing, including unit, integration, and end-to_x0002_end testing with Jest, Playwright, and Cypress, to guarantee robust performance and reliability</t>
  </si>
  <si>
    <t>- Built and customized Shopify stores by developing custom themes, apps, and scripts to handle large catalogs and improve search relevance under strict API rate limits.
- Developed Next.js frontends optimized for speed and SEO using SSR and dynamic imports, cutting initial load times and boosting Core Web Vitals scores.
- Created backend services in Python and Go to process real-time data streams with message queues, ensuring high performance, reliability, and horizontal scalability.
- Designed automation workflows in n8n to orchestrate multi-platform integrations (Shopify, Google Ads), adding error-handling and retry logic to keep processes stable and auditable.
- Managed deployments on AWS (Lambda, S3, CloudFront) for resilient infrastructure, integrating automated testing and monitoring to maintain uptime and performance.</t>
  </si>
  <si>
    <t>- Architected microservice-based systems with Go and Node.js, enabling rapid feature rollout and fault isolation.
- Engineered complex e-commerce platforms on Shopify and WooCommerce, integrating subscription billing, multi-vendor flows, and automated Stripe payments.
- Developed Next.js frontends optimized with SSR and advanced caching, achieving top Lighthouse scores and smooth user experiences.
- Automated CRM and marketing workflows using n8n and Zapier, connecting analytics, email, and payment systems to reduce manual effort.
- Managed full cloud deployments on AWS (EC2, S3, CloudFront, RDS), ensuring 99.9% uptime and seamless scalability.
- Mentored junior developers and led code reviews to maintain clean, modular, and production-ready codebases.</t>
  </si>
  <si>
    <t>Portfolio 1</t>
  </si>
  <si>
    <t>Global Video Production Platform (React + Nest.js)</t>
  </si>
  <si>
    <t>Sustainable Fashion E-Commerce Website - Shopify</t>
  </si>
  <si>
    <t>Luxury Wellness &amp; Spa E-Commerce Platform – React &amp; Next.js</t>
  </si>
  <si>
    <t>I worked at a global video creation platform that enables companies to produce video content at scale, connecting 14,000+ Creator Partners across 110+ countries. The platform streamlines every stage of video production — from planning and shooting to editing and asset management — all in one place.
My role focused on building and improving the platform using React (frontend) and Nest.js (backend), delivering scalable, user-friendly solutions that empower collaboration between brands, creators, and producers worldwide.</t>
  </si>
  <si>
    <t>Optimized and enhanced a Shopify-based e-commerce platform to improve performance and user experience. I fixed product search and variant display issues by refining Liquid templates and improving search indexing, making it easier for customers to find what they’re looking for. Also enhanced collection filters and boosted site speed through image optimization and theme cleanup, creating a smoother shopping experience and better showcasing the brand’s sustainable fashion collections.</t>
  </si>
  <si>
    <t>Built a modern e-commerce platform for a leading Italian wellness brand using React and Next.js. Implemented server-side rendering (SSR) for better SEO and faster page loads, and created dynamic product pages with reusable components for scalability. Optimized rendering and API calls to achieve consistently high performance across devices.</t>
  </si>
  <si>
    <t>Portfolio 2</t>
  </si>
  <si>
    <t>Next-Gen Media Platform (Svelte + Golang)</t>
  </si>
  <si>
    <t>Online Custom Sign &amp; Printing Platform – React</t>
  </si>
  <si>
    <t>Luxury Sparkling Wine Store - WordPress &amp; WooCommerce</t>
  </si>
  <si>
    <t>https://www.squaresigns.com</t>
  </si>
  <si>
    <t>Helped build a modern eCommerce platform where customers can easily design and order custom signs and prints online. One of the main challenges was keeping the design tool fast and responsive while handling complex, real-time product customization. I solved this by using React to create a smooth, interactive interface that updates instantly as users design their products. This improved both the performance and overall shopping experience, helping customers move seamlessly from design to checkout.</t>
  </si>
  <si>
    <t>Developed a high-performance online store for a luxury wine producer using WordPress and WooCommerce. Focused on custom theme architecture, efficient PHP templating, and AJAX-based product interactions to improve load times and user experience. Enhanced SEO, caching, and responsive layout performance for better conversion and accessibility.</t>
  </si>
  <si>
    <t>Portfolio 3</t>
  </si>
  <si>
    <t>Luxury Coffee E-Commerce (Shopify + React)</t>
  </si>
  <si>
    <t>Marketing Platform - Python &amp; AWS</t>
  </si>
  <si>
    <t>Premium Tea &amp; Lifestyle Store - Shopify</t>
  </si>
  <si>
    <t>Sea Island Coffee, a luxury coffee retailer, sources and sells some of the world’s rarest coffees. I enhanced their Shopify frontend with React and Liquid, added faceted filtering via GraphQL for faster browsing, and optimized media with lazy loading, cutting load times by 30%. I also refined the mobile UX, increasing conversions for on-the-go customers.</t>
  </si>
  <si>
    <t>Contributed to connecting offline marketing campaigns with digital performance tracking. The main challenge was processing large amounts of real-time campaign data from multiple sources while keeping the system fast and reliable. I solved this by developing backend services in Python using message queues for smooth data streaming and horizontal scalability. On the frontend, I implemented a Next.js interface optimized for speed and SEO. I also managed AWS infrastructure to ensure secure, high-performance deployment.</t>
  </si>
  <si>
    <t>Customized and optimized a premium Shopify storefront using Liquid, JavaScript, and Online Store 2.0. Improved rendering speed, product filtering, and checkout performance through advanced theme refactoring, structured data, and CDN-based image delivery. Delivered a lightweight, SEO-optimized frontend aligned with the brand’s refined identity.</t>
  </si>
  <si>
    <t>Portfolio 4</t>
  </si>
  <si>
    <t>Early Childhood Education Website (WordPress + PHP)</t>
  </si>
  <si>
    <t>Ecommerce Page Clone - Shopify &amp; Gempages</t>
  </si>
  <si>
    <t>https://mimibelt.com</t>
  </si>
  <si>
    <t xml:space="preserve">I built a clean, responsive website for an early-education program, focusing on clear structure, fast performance and an intuitive user experience. The goal was to present different age-based learning programs in a way that felt friendly, trustworthy and easy for parents to navigate. I designed the layouts, built interactive sections, added dynamic galleries and optimized everything for mobile. The end result is a smooth, modern site that communicates the program’s values while staying lightweight and easy to maintain.
</t>
  </si>
  <si>
    <t>Cloned a custom Shopify page into Gempages with pixel-perfect accuracy, matching the original design, layout, and responsive behavior. I rebuilt all sections using Gempages’ tools, optimized styling, and ensured the page was mobile-friendly and easy for the client to edit later. This project strengthened my experience with Shopify theme structure, Gempages components, and clean front-end styling.</t>
  </si>
  <si>
    <t>Portfolio 5</t>
  </si>
  <si>
    <t>Fintech Business Banking Dashboard (Next.js)</t>
  </si>
  <si>
    <t>SaaS Website Frontend - Vue.js &amp; Nuxt.js</t>
  </si>
  <si>
    <t>I helped build a clean, real-time fintech dashboard that lets small businesses manage payments, invoices and cashflow with ease. Using Next.js, I focused on creating a fast, smooth interface, adding interactive insights and improving overall performance. I also integrated the frontend with various APIs to keep data fresh and the experience effortless from onboarding to everyday use. This project strengthened my ability to build reliable, user-friendly financial tools.</t>
  </si>
  <si>
    <t>Built a modern, high-performance SaaS website using Vue.js and Nuxt.js, focusing on smooth transitions, clean layouts, and a fast, responsive user experience. I implemented reusable components, optimized page loading, and integrated API-driven content to keep everything dynamic and easy to scale. This project strengthened my ability to build polished, production-ready frontend experiences for SaaS products.</t>
  </si>
  <si>
    <t>Skills</t>
  </si>
  <si>
    <t>Web Application</t>
  </si>
  <si>
    <t>Web Development</t>
  </si>
  <si>
    <t>JavaScript</t>
  </si>
  <si>
    <t>CSS</t>
  </si>
  <si>
    <t>n8n</t>
  </si>
  <si>
    <t>HTML</t>
  </si>
  <si>
    <t>Full-Stack Development</t>
  </si>
  <si>
    <t>Front-End Development</t>
  </si>
  <si>
    <t>Automation</t>
  </si>
  <si>
    <t>TypeScript</t>
  </si>
  <si>
    <t>GraphQL</t>
  </si>
  <si>
    <t>GitHub</t>
  </si>
  <si>
    <t>Url</t>
  </si>
  <si>
    <t>anttniodent@outlook.com</t>
  </si>
  <si>
    <t>dachikhelashvili@outlook.com</t>
  </si>
  <si>
    <t>anttoniodent550@gmail.com</t>
  </si>
  <si>
    <t>upworksean74@gmail.com</t>
  </si>
  <si>
    <t>U2FsdGVkX1/7Bd8MiZzkiHMnPT0XC47YF+ZSgjFluYk=</t>
  </si>
  <si>
    <t>U2FsdGVkX19Wotal/K28BAsolYgzHxn1XK2PT5Q9MjU=</t>
  </si>
  <si>
    <t>Telegram</t>
  </si>
  <si>
    <t>Phone</t>
  </si>
  <si>
    <t>City</t>
  </si>
  <si>
    <t>kulastyemali</t>
  </si>
  <si>
    <t>Xelashvili</t>
  </si>
  <si>
    <t>995 599142061</t>
  </si>
  <si>
    <t>Georgia</t>
  </si>
  <si>
    <t>Tbilisi</t>
  </si>
  <si>
    <t>Georgia, Tbilisi, Georgia, Tbilisi City, Gldani Massif, VIII Micro/District, Building 34, Apartment 75</t>
  </si>
  <si>
    <t>Anttonio Dent</t>
  </si>
  <si>
    <t>1 (330) 540-7311</t>
  </si>
  <si>
    <t>Yongstown</t>
  </si>
  <si>
    <t>Bearden</t>
  </si>
  <si>
    <t>41 Manse Rd, Bearsden, Glasgow G61 3PN, UK</t>
  </si>
  <si>
    <t>Khanh Truong Duong</t>
  </si>
  <si>
    <t>Vietnam, US</t>
  </si>
  <si>
    <t>Kevin Chathapha Vong</t>
  </si>
  <si>
    <t>Maxim Golovkine</t>
  </si>
  <si>
    <t>Thomas Celek</t>
  </si>
  <si>
    <t>Jame F Crow</t>
  </si>
  <si>
    <t>Michele W</t>
  </si>
  <si>
    <t>Venezia</t>
  </si>
  <si>
    <t>Whyatte S</t>
  </si>
  <si>
    <t>Bolton upon Dearne</t>
  </si>
  <si>
    <t>Hamza Jodeh</t>
  </si>
  <si>
    <t>The devil</t>
  </si>
  <si>
    <t>Cincinnati</t>
  </si>
  <si>
    <t>Cincinnati, OH, USA</t>
  </si>
  <si>
    <t>Password Key</t>
  </si>
  <si>
    <t>hector</t>
  </si>
  <si>
    <t>Method</t>
  </si>
  <si>
    <t>AES</t>
  </si>
  <si>
    <t>Connect with VAT</t>
  </si>
  <si>
    <t>Hungary</t>
  </si>
  <si>
    <t>Luxemburg</t>
  </si>
  <si>
    <t>dachi-khelashvili: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</t>
  </si>
  <si>
    <t>anttonio-dent: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@</t>
  </si>
  <si>
    <t>git log --pretty=format:"%an &lt;%ae&gt;" | nl</t>
  </si>
  <si>
    <t>git filter-branch -f --env-filter '
OLD_EMAIL="reid.al.harrisson@gmail.com"
CORRECT_NAME="Dachi Khelashvili"
CORRECT_EMAIL="khelashvilidachi2@gmail.com"
if [ "$GIT_COMMITTER_EMAIL" = "$OLD_EMAIL" ]
then
    export GIT_COMMITTER_NAME="$CORRECT_NAME"
    export GIT_COMMITTER_EMAIL="$CORRECT_EMAIL"
fi
if [ "$GIT_AUTHOR_EMAIL" = "$OLD_EMAIL" ]
then
    export GIT_AUTHOR_NAME="$CORRECT_NAME"
    export GIT_AUTHOR_EMAIL="$CORRECT_EMAIL"
fi
' --tag-name-filter cat -- --branches --tags</t>
  </si>
  <si>
    <t>Hey Emmanuel C, can you help me with hearing out a business idea? I work as a freelancer as well and see strong potential for us to earn together, starting around 150 per month and growing over time if you’re open to partnering. You can contact me on what's app at 1, 505, 918 and 4659, on d's code as jaguar_0509, or hector0304trojan at g, male.</t>
  </si>
  <si>
    <t>git branch</t>
  </si>
  <si>
    <t>git push -f --set-upstream origin main</t>
  </si>
  <si>
    <t>Hungary Tax</t>
  </si>
  <si>
    <t>Total Income</t>
  </si>
  <si>
    <t>No VAT</t>
  </si>
  <si>
    <t>Lambda</t>
  </si>
  <si>
    <t>Upwork Fee</t>
  </si>
  <si>
    <t>Added VAT Fee</t>
  </si>
  <si>
    <t>Trigger</t>
  </si>
  <si>
    <t>Taxable Income</t>
  </si>
  <si>
    <t>Personal Income Tax</t>
  </si>
  <si>
    <t>API Getway</t>
  </si>
  <si>
    <t>Social Security Contribution</t>
  </si>
  <si>
    <t>Authentication</t>
  </si>
  <si>
    <t>Total Tax</t>
  </si>
  <si>
    <t>Social Contribution Tax</t>
  </si>
  <si>
    <t>Shopify H Map</t>
  </si>
  <si>
    <t>Inital Income</t>
  </si>
  <si>
    <t>Why use aws for deployment?</t>
  </si>
  <si>
    <t>Local Person Pay</t>
  </si>
  <si>
    <t>Developer</t>
  </si>
  <si>
    <t>What databese?</t>
  </si>
  <si>
    <t>PostgresSQL</t>
  </si>
  <si>
    <t>Income</t>
  </si>
  <si>
    <t>Without Tax</t>
  </si>
  <si>
    <t>Have you work with serveless function?</t>
  </si>
  <si>
    <t>whitch crm platform?</t>
  </si>
  <si>
    <t>US Ohio Tax</t>
  </si>
  <si>
    <t>how to send date from hubspot to backend?</t>
  </si>
  <si>
    <t>wallet</t>
  </si>
  <si>
    <t>USA - Los Angeles 10G</t>
  </si>
  <si>
    <t>x</t>
  </si>
  <si>
    <t>USA - Los Angeles 10GB</t>
  </si>
  <si>
    <t>USA - Los Angeles A</t>
  </si>
  <si>
    <t>Seattle Supercharged 2</t>
  </si>
  <si>
    <t>Octo Browser</t>
  </si>
  <si>
    <t>2FA</t>
  </si>
  <si>
    <t>b6bc6305 2c111d75 ce83f07f a46c2497 aca3acfa 3d42c5fc f304a501 01ed895e</t>
  </si>
  <si>
    <t>USA - Los Angeles</t>
  </si>
  <si>
    <t>USA - Los Angeles CG1</t>
  </si>
  <si>
    <t>USA - Denver 10G</t>
  </si>
  <si>
    <t>USA - Denver 1</t>
  </si>
  <si>
    <t>USA - Denver 2</t>
  </si>
  <si>
    <t>USA - Dallas 1</t>
  </si>
  <si>
    <t>USA - Dallas 2</t>
  </si>
  <si>
    <t>USA - Dallas 3</t>
  </si>
  <si>
    <t>USA - Dallas 4</t>
  </si>
  <si>
    <t>USA - Fremont 1</t>
  </si>
  <si>
    <t>Shanghai</t>
  </si>
  <si>
    <t>USA - Fremont 2</t>
  </si>
  <si>
    <t>USA - Santa Clara</t>
  </si>
  <si>
    <t>USA - San Jose 1</t>
  </si>
  <si>
    <t>USA - San Jose 2</t>
  </si>
  <si>
    <t>[China] Supercharged 4</t>
  </si>
  <si>
    <t>[China] Supercharged 5</t>
  </si>
  <si>
    <t>USA - Los Angeles 1</t>
  </si>
  <si>
    <t>USA - Los Angeles 2</t>
  </si>
  <si>
    <t>USA - Los Angeles 3</t>
  </si>
  <si>
    <t>USA - Los Angeles 4</t>
  </si>
  <si>
    <t>Los Angeles Supercharged 2</t>
  </si>
  <si>
    <t>Los Angeles Supercharged 3</t>
  </si>
  <si>
    <t>USA - Las Vegas</t>
  </si>
  <si>
    <t>USA - Seattle 1</t>
  </si>
  <si>
    <t>USA - Seattle 2</t>
  </si>
  <si>
    <t>USA - San Francisco</t>
  </si>
  <si>
    <t>USA - Portland</t>
  </si>
  <si>
    <t>USA - Portland 2</t>
  </si>
  <si>
    <t>USA - Bend</t>
  </si>
  <si>
    <t>USA - Salt Lake 1</t>
  </si>
  <si>
    <t>USA - Salt Lake 2</t>
  </si>
  <si>
    <t>USA - Ogden</t>
  </si>
  <si>
    <t>USA - Phoenix 10G</t>
  </si>
  <si>
    <t>USA - Phoenix 2</t>
  </si>
  <si>
    <t>USA - Phoenix 3</t>
  </si>
  <si>
    <t>USA - Kansas</t>
  </si>
  <si>
    <t>USA - Ashburn 10G</t>
  </si>
  <si>
    <t>USA - Ashburn 10G-2</t>
  </si>
  <si>
    <t>USA - Washington</t>
  </si>
  <si>
    <t>Suzhou</t>
  </si>
  <si>
    <t>USA - New York 10G-1</t>
  </si>
  <si>
    <t>USA - New York 10G-2</t>
  </si>
  <si>
    <t>USA - New York WL1</t>
  </si>
  <si>
    <t>USA - New York 1</t>
  </si>
  <si>
    <t>USA - New York 2</t>
  </si>
  <si>
    <t>USA - New York 3</t>
  </si>
  <si>
    <t>Beijing</t>
  </si>
  <si>
    <t>USA - New York 4</t>
  </si>
  <si>
    <t>USA - New York HK1</t>
  </si>
  <si>
    <t>USA - Boston</t>
  </si>
  <si>
    <t>USA - Ottoville</t>
  </si>
  <si>
    <t>USA - Philadelphia</t>
  </si>
  <si>
    <t>Buffalo</t>
  </si>
  <si>
    <t>USA - Detroit</t>
  </si>
  <si>
    <t>USA - Chicago 10G</t>
  </si>
  <si>
    <t>USA - Chicago 10GB</t>
  </si>
  <si>
    <t>USA - Chicago 1</t>
  </si>
  <si>
    <t>USA - Chicago 2</t>
  </si>
  <si>
    <t>USA - Chicago 3</t>
  </si>
  <si>
    <t>USA - Minneapolis</t>
  </si>
  <si>
    <t>USA - Atlanta 10G</t>
  </si>
  <si>
    <t>USA - Atlanta</t>
  </si>
  <si>
    <t>Atlanta 2</t>
  </si>
  <si>
    <t>USA - Tampa</t>
  </si>
  <si>
    <t>USA - Miami 10G</t>
  </si>
  <si>
    <t>USA - Miami 2</t>
  </si>
  <si>
    <t>USA - St Louis</t>
  </si>
  <si>
    <t>USA - New York RS1 10G</t>
  </si>
  <si>
    <t>USA - Miami RS1 10G</t>
  </si>
  <si>
    <t>USA - Miami VX1</t>
  </si>
  <si>
    <t>USA - Reston VX1</t>
  </si>
  <si>
    <t>USA - Los Angeles VX1</t>
  </si>
  <si>
    <t>USA - Dallas VX1</t>
  </si>
  <si>
    <t>Current Amount</t>
  </si>
  <si>
    <t>UniSwap</t>
  </si>
  <si>
    <t>Ether</t>
  </si>
  <si>
    <t>Zardian</t>
  </si>
  <si>
    <t>ID Verify</t>
  </si>
  <si>
    <t>Brocker</t>
  </si>
  <si>
    <t>Upfront</t>
  </si>
  <si>
    <t>Connects</t>
  </si>
  <si>
    <t>Monthly Pay</t>
  </si>
  <si>
    <t>Rewarble</t>
  </si>
  <si>
    <t>Card</t>
  </si>
  <si>
    <t>Hamza</t>
  </si>
  <si>
    <t>Laptop</t>
  </si>
  <si>
    <t>LSB</t>
  </si>
  <si>
    <t>Caller</t>
  </si>
  <si>
    <t>Wi - Fi</t>
  </si>
  <si>
    <t>Connect</t>
  </si>
  <si>
    <t>https://www.upwork.com/jobs/~021978468172968197271</t>
  </si>
  <si>
    <t>Hi,
This project sounds like a great fit. I have experience working with Go High Level’s website builder and can handle a like-for-like rebuild of both websites — carefully matching the design, layout, fonts, colors, and structure.
I’ll make sure all pages, menus, forms, and media are recreated accurately, with proper form routing and full mobile responsiveness. Once everything is rebuilt, I’ll thoroughly test the site to ensure all links and features are working as expected.
Let me know if you’d like to discuss the next steps — I’d be glad to support this migration.
Best regards,
Dachi</t>
  </si>
  <si>
    <t>https://www.upwork.com/jobs/~021978493496008270573</t>
  </si>
  <si>
    <t>Hi,
I’m excited about the opportunity to help you bring your TalentLMS platform to life. With your content and program structure already prepared, my focus will be to handle the technical setup, integrations, and customization smoothly — so your team can launch with confidence and manage everything easily moving forward.
I’ve helped other organizations set up learning platforms like this from scratch, including configuring LMS environments, organizing multi-level learning paths, integrating payment gateways (Stripe, PayPal), and embedding with external platforms like Squarespace and Zoom. I pay close attention to things like user roles, security settings, automation, and branding — so that the final product feels polished, secure, and easy to maintain.
Here’s what you can expect from me:
- A fully branded, mobile-friendly TalentLMS setup on your subdomain
- Seamless integration with Stripe and PayPal, including pricing tiers and coupon options
- Structured upload of your video lessons, quizzes, and downloadable certificates
- Functional course flow with clear progress tracking and reporting
- Zoom or Teams integrated for live sessions with attendance tracking
- Clean Squarespace integration and helpful admin walkthrough for your team
I understand the importance of clear communication and staying on track with timelines. I’ll keep you updated throughout the process and make sure everything is tested before handoff.
Let me know if you’d like to discuss the scope or have any questions — I’m ready to start right away and would love to support you in building something that looks great and runs smoothly.
Best regards,
Dachi</t>
  </si>
  <si>
    <t>https://www.upwork.com/jobs/~021978509154431427309</t>
  </si>
  <si>
    <t>Hi there,
This sounds like a great opportunity, and I’d love to help.
I’ve built automation workflows using n8n, Zapier, and Make.com to streamline lead management, notifications, reports, and more. I’m very comfortable working with APIs, webhooks, and JSON, and I focus on building clean, scalable systems that are easy to maintain.
In previous projects, I’ve:
• Connected CRMs (like GoHighLevel, HubSpot, Pipedrive) with marketing tools and Slack
• Automated Google Sheets reports and email alerts
• Built webhook-based workflows that trigger follow-ups or notifications based on form submissions or CRM updates
I’m happy to share examples or screenshots of past automations if helpful.
I’d be excited to start with your test project and see how we can grow this into a longer-term partnership. Let me know what the first task looks like — I’m ready to dive in.
Best regards,
Dachi</t>
  </si>
  <si>
    <t>https://www.upwork.com/jobs/~021978516393305559878</t>
  </si>
  <si>
    <t>Hi,
I’ve set up cookie consent banners, privacy pages, and GTM tracking for many sites, and I can quickly add a fully compliant banner that lets users choose which tools (GA4, Meta Pixel, LinkedIn, etc.) to allow or block. I can get this done in about 4–6 hours and start right away.
Best regards,
Dachi</t>
  </si>
  <si>
    <t>https://www.upwork.com/jobs/~021978564966956084080</t>
  </si>
  <si>
    <t xml:space="preserve">Hi,
I’d be happy to help you build a smart and reliable integration between AppFolio and Monday.com.
I’ve worked on similar automation projects using APIs, CSV exports, and platforms like Zapier, Make, and n8n. I can guide you through the best integration method — whether it’s using AppFolio’s Stack API or scheduling Excel/CSV syncs — depending on what’s most reliable and low-maintenance for your team.
Once we decide on the method, I’ll build a clean, well-documented integration that updates your Monday.com boards automatically with proper logging and error handling. I always aim for smooth and scalable workflows that save time and reduce manual work.
Let me know if you’d like to set up a quick call to go over your current setup or share a sample report — I’m ready to dive in.
Best regards,
Dachi
</t>
  </si>
  <si>
    <t>https://www.upwork.com/jobs/~021978561518298671984</t>
  </si>
  <si>
    <t xml:space="preserve">Hi,
This project immediately caught my eye — combining AI automation, structured media libraries, and fitness storytelling is right in my wheelhouse.
I’ve worked with n8n, Make, and Zapier to build automations that pull content from various sources, enrich it with AI (ChatGPT, ElevenLabs, Synthesia, etc.), and push it into tools like Creatomate for fast, consistent content generation. I’ve also helped fitness brands repurpose long-form training videos into high-performing Shorts and Reels — optimizing tone, pacing, and hooks for each platform.
Your current stack — Django backend, Google Drive, and structured metadata — is a great foundation. With a bit of workflow design, we can build a modular system that matches content to themes (“Ring Shoulder Exercises,” “30-Day Challenges”) and automatically generates short and long-form videos using templates and AI narration. Starting with a simple n8n → Creatomate workflow makes perfect sense, and I’d love to help you expand from there into a scalable, branded production pipeline.
If you’re looking for someone who understands both fitness content and the technical side of creative automation — and can get hands-on right away — I’d be excited to chat.
Let me know if you’d like to see examples of past AI-driven workflows or fitness content I’ve helped produce.
Best regards,
Dachi
</t>
  </si>
  <si>
    <t>https://www.upwork.com/jobs/~021978579339181676935</t>
  </si>
  <si>
    <t xml:space="preserve">Hi,
This project sounds like a great fit — I’d be excited to help you rebuild your funnel in Go High Level using Hormozi-style marketing principles.
I’ve worked with GHL on similar lead gen funnels before and know how to structure things for conversion: clear offer stacks, mini-FAQs, solid trust sections, and mobile-first layouts. I can help you set up the full funnel (pages, calendar, pipeline, workflows), handle the tech setup (Mailgun, Twilio, domain, email/SMS), and make sure everything runs smoothly from lead capture to booked calls.
I’m also comfortable setting up UTM tracking, automations, and GA4/Meta pixels so your team can track what’s working. I’ll deliver everything clean, documented, and easy to manage — with a full snapshot and short Loom walkthroughs for your team.
Happy to share 3 past GHL funnels and workflow screenshots — just let me know if you’d like links. I can start right away and aim to complete the main build within 7–10 days, with a few extra days for testing and final tweaks.
Looking forward to hearing more!
Best,
Dachi
</t>
  </si>
  <si>
    <t>https://www.upwork.com/jobs/~021978857530279631219</t>
  </si>
  <si>
    <t>Hi,
Thanks for sharing the details! I checked out your WhatsApp bulk messaging extension and the chat log, it looks like you’ve built a solid foundation, and I’d be glad to help you take it to the next level.
I can thoroughly test the extension, flag any bugs, suggest usability improvements, and give feedback on performance and design. During that first hour, I’ll also share ideas on how to improve reliability, UX, and AI integration. If we’re aligned, I’d be happy to stick around and help implement those fixes too.
Let me know how you'd like to move forward. I’m available to get started right away.
Best,
Dachi</t>
  </si>
  <si>
    <t>hourly</t>
  </si>
  <si>
    <t>https://www.upwork.com/jobs/~021978865383493114226</t>
  </si>
  <si>
    <t>Hi,
This project sounds like a great match for my experience. I’ve worked extensively with Go, especially in the context of network programming and performance optimization. I’m confident in building and tuning low-level protocols, and I have a solid grasp of TCP/IP internals, rate limiting, and handling latency challenges at scale.
I’ve also deployed and tested systems on AWS, focusing on optimizing throughput and reliability. I’d be happy to help design the test framework to evaluate protocol performance under real-world load conditions, and collaborate with your team to integrate the solution cleanly.
Let me know if you’d like to hop on a quick call to discuss the goals and technical details further — I’m ready to get started.
Best regards,
Dachi</t>
  </si>
  <si>
    <t>https://www.upwork.com/jobs/~021978877777230943046</t>
  </si>
  <si>
    <t>Hi,
I'm an experienced Shopify developer with a strong focus on maintaining and optimizing themes for performance, usability, and long-term scalability. I’ve supported a range of stores by keeping themes up-to-date, resolving issues quickly, and rolling out new features that align with both brand and conversion goals.
Your project sounds like a great fit. Here’s how I can contribute:
Maintain and support your current theme to ensure everything runs smoothly
Optimize performance for faster load times and better UX on all devices
Develop new features while keeping the theme clean and scalable
Ensure full compatibility with the latest Shopify updates and app integrations
I’m detail-oriented, communicate clearly, and always aim to deliver reliable, well-documented code. I’d love to learn more about your current setup and goals so we can align on how I can best support your store.
Best regards,
Dachi</t>
  </si>
  <si>
    <t>https://www.upwork.com/jobs/~021978915941756687174</t>
  </si>
  <si>
    <t>Hello,
Thanks for taking the time to share the project details. I’d love to help you refine your Node.js program, especially the Word document export feature. I've worked on similar tools before where accurate formatting and layout were critical, so I understand the importance of getting everything to match the template exactly.
I have hands-on experience using libraries like docx and docxtemplater to generate professional Word documents that include styled text fields, spacing, and dynamic content. I'm also comfortable reviewing GitHub repositories and working with AWS-hosted applications.
If needed, I can share examples of past document automation projects where attention to detail was key. I'm confident I can make the exported file both visually accurate and functionally dependable.
Let me know if you'd like to set up a time to discuss it further. I'd be excited to contribute.
Best regards,
Dachi</t>
  </si>
  <si>
    <t>https://www.upwork.com/jobs/~021978923819345942898</t>
  </si>
  <si>
    <t>Hello,
This sounds like an exciting and meaningful project, and I’d be glad to help you build a secure integration between the InBody 270 biometric scale and your Shopify store. I’ve worked on several Shopify API projects involving custom data syncing, profile management, and personalized product recommendations, so I’m confident I can deliver a clean and reliable solution.
I would start by reviewing InBody’s data export or API options to establish a secure data transfer flow into Shopify. Then, I’d structure the customer data within Shopify’s metafields or customer tags so it can be used to generate personalized supplement suggestions directly on their profiles or in automated email flows.
Security and scalability are always top priorities for me. I’ll make sure all biometric data is transferred safely, stored correctly, and fully compliant with privacy standards.
I’d love to discuss your setup and preferred workflow to make sure the integration works smoothly for your business.
Best regards,
Dachi</t>
  </si>
  <si>
    <t>https://www.upwork.com/jobs/~021979770542450663673</t>
  </si>
  <si>
    <t>Hello,
Your project sounds really exciting — a crowdsourced SaaS app in the pet space with a modern, serverless architecture is exactly the kind of challenge I enjoy working on. I’ve worked extensively with React Native for cross-platform apps and Go for backend services, and I’m comfortable integrating AWS services like Lambda, SQS, and SNS for scalable, cost-efficient deployments.
Since the app is already around 65% complete, my first step would be to review the current setup, identify any gaps in the Go backend or Supabase/DynamoDB integrations, and outline a clear plan to get the app production-ready. I’m confident I can help you finalize remaining features, improve performance, and ensure smooth deployment on AWS.
I’d be happy to discuss your current progress and timeline so we can map out what’s needed to bring this across the finish line.
Best regards,
Dachi</t>
  </si>
  <si>
    <t>https://www.upwork.com/jobs/~021979765456047563001</t>
  </si>
  <si>
    <t>Hello,
Thanks for sharing the details about your project. I’d be happy to help enhance and finalize your four WordPress websites — or rebuild them if that’s the more efficient route. I’ve worked on several WordPress projects that focus on content publishing, email capture, and user engagement, so this aligns perfectly with my experience.
My approach would be to first review the current setup and themes across your sites to see whether enhancement or a rebuild offers better long-term results. If a rebuild makes more sense, I can set everything up using a lightweight, responsive theme or generator to keep performance high and management simple.
I can also integrate clean subscription flows — where product listings guide visitors toward your email capture forms — and ensure all sites share a cohesive visual identity while staying true to each brand’s focus. Additionally, I can assist with content generation using AI tools to create informative, SEO-friendly posts.
I’d love to share some examples of similar WordPress projects I’ve completed and discuss your goals in more detail to decide the best approach together.
Best regards,
Dachi</t>
  </si>
  <si>
    <t>https://www.upwork.com/jobs/~021979757101929324793</t>
  </si>
  <si>
    <t>Hello,
I’ve read your message carefully. I can help you revamp the HTML to improve sizing, layout, and overall viewing consistency across different devices. I focus on writing clean, responsive code that adapts well to all screen sizes and maintains visual balance.
Before I begin, I’d review the existing structure to identify what’s causing the display issues—such as viewport setup, element scaling, or CSS breakpoints—and then adjust the layout for a smoother, more modern user experience.
I’ll make sure the changes are efficient, well-documented, and easy to maintain going forward.
Best regards,
Dachi</t>
  </si>
  <si>
    <t>https://www.upwork.com/jobs/~021980311930646406740</t>
  </si>
  <si>
    <t>Hello,
This project immediately stood out to me because it combines everything I enjoy working on: full-stack development, automation, and AI-powered workflows. I really like how you’ve structured the platform around clear, modular goals that bring together marketing operations, data, and automation in one place.
I have hands-on experience building full-stack SaaS products using Supabase for backend architecture, including database design, authentication, and API integration. I’ve also created workflow automations with Make.com and n8n, connecting systems like HubSpot, Salesforce, and Google services. On the AI side, I’ve worked with OpenAI and Claude to generate, enrich, and structure content inside marketing and analytics tools.
If we work together, I can help design a scalable Supabase backend, connect it with your Lovable frontend, and set up reliable automation for campaign enrichment and content generation. My focus is always on creating systems that are efficient, maintainable, and easy to extend as your platform grows.
I’d love to learn more about your current progress and MVP goals so we can plan a clear and efficient path to getting everything fully integrated.
Best regards,
Dachi</t>
  </si>
  <si>
    <t>https://www.upwork.com/jobs/~021980304644666611316</t>
  </si>
  <si>
    <t>Hello,
I understand the frustration that comes with recurring spam issues and prefilled contact forms. I’ve worked on many WordPress sites facing similar problems, often caused by caching layers, browser autofill, or bots bypassing basic protection.
I can help diagnose the root cause, fix the prepopulation issue permanently, and strengthen your spam protection. My process includes checking caching settings, adjusting how the form loads, and implementing stronger measures such as advanced CAPTCHA or honeypot fields. I’ll also make sure the contact page works smoothly without affecting site speed or usability.
I’d be happy to take a quick look at your setup and outline a clear plan to get everything working reliably again.
Best regards,
Dachi</t>
  </si>
  <si>
    <t>https://www.upwork.com/jobs/~021980337290634735048</t>
  </si>
  <si>
    <t>https://www.upwork.com/jobs/~021980362841686858343</t>
  </si>
  <si>
    <t>Hello,
I am an experienced full-stack developer skilled in building secure and high-performance web platforms. I’m very interested in developing your real estate platform and would love to help bring this idea to life.
I have built several marketplace and automation systems, focusing on verified listings, user authentication, and smooth communication between buyers and sellers. For this project, I can design a scalable architecture that ensures trust and efficiency with verified user profiles, property listings, and a secure payment system for contact access.
My goal is to create a platform that feels intuitive for users and reliable for your business. I would be glad to discuss your preferred technology stack, design ideas, and timeline to plan the best approach together.
Looking forward to your reply.
Best regards,
Dachi</t>
  </si>
  <si>
    <t>https://www.upwork.com/jobs/~021980386949380233831</t>
  </si>
  <si>
    <t>Hello,
I am an experienced Next.js developer with a strong background in building modern, high-performance web applications. I’m very interested in contributing to your Vibe coding tool project and helping bring your vision to life.
I have experience developing interactive tools and custom web platforms that focus on usability, performance, and scalability. With Next.js, I can ensure fast rendering, clean architecture, and smooth user interactions that fit perfectly for a coding or development-focused tool.
I would love to learn more about your current setup, goals for the Vibe tool, and how I can best support your team.
Looking forward to your reply.
Best regards,
Dachi</t>
  </si>
  <si>
    <t>https://www.upwork.com/jobs/~021980700199045093991</t>
  </si>
  <si>
    <t>Hello,
I am an experienced web developer skilled in building complex, multi-user platforms with secure payment integration. Your project sounds exciting, and I would be glad to help bring it to life step by step.
I’ve developed scalable systems that support different user roles, handle sensitive data securely, and ensure a smooth user experience from registration to checkout. I can provide a clear project structure with estimated timelines and a detailed quote covering all development stages.
I would love to discuss your goals, preferred technologies, and any design references so I can prepare a precise plan and estimate for you.
Looking forward to hearing from you.
Best regards,
Dachi</t>
  </si>
  <si>
    <t>https://www.upwork.com/jobs/~021980712021279949666</t>
  </si>
  <si>
    <t>Hello,
I’m an experienced web developer skilled in Angular, PHP, and system integration. I understand you want users to be redirected from your price comparison site straight to the seller’s payment page with product and buyer details already filled in.
One effective solution is to create a small backend service that captures the required data (product ID, quantity, customer info), then performs a secure POST request to the seller’s PHP checkout endpoint. This service can generate a session-based URL that takes the user directly to the payment page without exposing personal data in the browser.
I’d be glad to review the seller’s site flow and build this connection efficiently and safely.
Best regards,
Dachi</t>
  </si>
  <si>
    <t>https://www.upwork.com/jobs/~021980721666774057826</t>
  </si>
  <si>
    <t>Hello,
I’ve carefully reviewed the project details and I’m confident I can handle the full stack using Next.js, React, Tailwind, Node.js, Express, TypeScript, and MongoDB. I’ve built similar systems involving JSON-driven forms, admin dashboards, and secure backend APIs.
For your intake forms, I can create a dynamic form engine that reads each form’s JSON spec to generate fields, validations, and conditional logic automatically. The backend will use Express with Zod for validation, store data in MongoDB with version tracking, and support draft saving and submission confirmations.
For the team directory, I can implement server-rendered list and detail pages with search, filters, and admin CRUD, using indexed MongoDB queries for speed and SEO-friendly metadata.
I’d be happy to share relevant Next.js examples and discuss the technical plan in detail.
Best regards,
Dachi</t>
  </si>
  <si>
    <t>https://www.upwork.com/jobs/~021980758682050288231</t>
  </si>
  <si>
    <t>Hello,
I’ve read the project details and can build a clean, search-first web tool that helps users quickly find whether their college is eligible for RNI funding. My goal is to deliver a fast, accessible, and reliable application ready for your November 2025 launch.
For the solution, I’d use Next.js with TypeScript and Tailwind CSS for the front end, and Node.js with MongoDB for the backend. I’ll design a normalized database to store colleges, districts, and eligibility data with indexing for fast searches. The search interface will allow users to switch between College and District tabs, perform instant queries, and view results through responsive, accessible cards.
I’ll also handle data migration from the existing map, ensuring all eligibility logic, shortage scores, and program statuses are accurately imported and displayed. The tool will fully support screen readers and mobile devices.
Best regards,
Dachi</t>
  </si>
  <si>
    <t>https://www.upwork.com/jobs/~021980782953310765922</t>
  </si>
  <si>
    <t>Hello,
I would be happy to help you add the required tracking pixels to your Shopify website. I have strong experience working with Shopify themes and tracking integrations including Meta Pixel, Google Ads, and custom event scripts, so I can ensure your pixels are implemented cleanly and efficiently.
Before adding any new pixel code, I will first check your theme files and Shopify admin settings (under Online Store &gt; Preferences and Sales Channel Pixels) to confirm that no duplicate tracking already exists. Then, I will insert the pixel scripts in the proper header location, either through the theme.liquid file or a custom app block, while making sure they load asynchronously for better performance and do not conflict with existing scripts.
After implementation, I will test each pixel using browser developer tools and platform checkers like Meta Pixel Helper or Google Tag Assistant to confirm that all events are firing correctly.
I can start immediately and usually complete this type of task quickly. I look forward to helping you make sure everything tracks perfectly.
Best regards,
Dachi</t>
  </si>
  <si>
    <t>https://www.upwork.com/jobs/~021980960389316560156</t>
  </si>
  <si>
    <t>Hi,
I’d be happy to help you with the final improvements to your Shopify theme.
I have strong experience adding custom options in the Shopify theme editor, allowing easy changes to colors, images, and other settings. I also focus on improving code quality, optimizing performance, and organizing JavaScript and CSS to follow Shopify’s best coding standards.
My goal is to make your theme clean, fast, and fully ready for launch. I’d love to review your current setup and discuss the best way to complete the final touches.
Best regards,
Dachi</t>
  </si>
  <si>
    <t>https://www.upwork.com/jobs/~021980997296929424226</t>
  </si>
  <si>
    <t>Hi, 
I’m very interested in your project to set up n8n and Playwright to run together inside a Docker container.
In my last project, I used Playwright for end-to-end testing, so I’m very familiar with how it works and how to configure it for different environments. I also have strong experience building automation workflows with n8n and working extensively with Docker to create stable and reproducible setups.
I’m confident I can prepare a working setup where Playwright runs directly inside an n8n Code node and share a demo video showing it in action.
Looking forward to hearing from you and helping you get this running smoothly.
Best regards,
Dachi</t>
  </si>
  <si>
    <t>https://www.upwork.com/jobs/~021981013412940973561</t>
  </si>
  <si>
    <t>Hi,
I’d love to help you build a new, modern website for your Family Entertainment Center. It will include around six pages with clear call-to-action buttons, an easy booking system, and secure online payments for deposits and balances. Guests will also receive text confirmations and reminders for their bookings.
I’ve built similar booking and e-commerce sites using tools like Stripe for payments and Twilio for text notifications. My goal is to make your site fast, mobile-friendly, and simple for guests to use.
Looking forward to hearing from you.
Best regards,
Dachi</t>
  </si>
  <si>
    <t>https://www.upwork.com/jobs/~021981108931439746721</t>
  </si>
  <si>
    <t>Hi,
I’d be happy to help you build your SaaS MVP on Bubble.io. I’ve worked on several SaaS and marketplace-style projects in Bubble, focusing on scalable database design, clean UX, and API integrations including OpenAI for AI-powered features.
My approach is to move fast while keeping a strong architectural foundation so your app can easily grow beyond the MVP stage. I’ll make sure it’s fully responsive, well-structured, and optimized for performance.
Looking forward to hearing more about your vision and the key features you’d like to start with.
Best regards,
Dachi</t>
  </si>
  <si>
    <t>https://www.upwork.com/jobs/~021981125885452936889</t>
  </si>
  <si>
    <t>Hi,
I’d love to help maintain and enhance your Light Awake app. I have experience working with smart device integrations and IoT platforms like Tuya, as well as developing and maintaining both mobile and web applications.
I can ensure the app runs smoothly, handle the Tuya smart bulb integration, and keep your web app in sync for a seamless user experience. My focus is on reliability, clean code, and clear communication throughout the process.
Looking forward to hearing more about your current setup and next goals.
Best regards,
Dachi</t>
  </si>
  <si>
    <t>https://www.upwork.com/jobs/~021981370829717847758</t>
  </si>
  <si>
    <t>Hello,
I would love to help you build the custom Shopify landing page for your subscription-based merch service. The project sounds exciting, and I have worked on similar Shopify builds before. I can start right away to meet your tight deadline.
I can either create a new homepage from scratch or adapt an existing theme to match your wireframe and brand style. I will make sure every detail, from the colors (Amber, Charcoal, Cream, and White) to the fonts (Montserrat, Open Sans, and Lato), feels consistent and professional. The layout will include everything you described such as the hero section with video, explainer steps, product showcase, testimonials, and pricing section.
Technically, I will make sure the page is fully responsive, smooth to navigate, and ready for analytics tracking with Google Analytics and Meta Pixel. I can also integrate HubSpot or Airtable forms, and if needed, add features like a live calculator or Instagram carousel. Everything will be cleanly coded and documented for easy future edits.
For a quick reference, you can check out one of my previous Shopify projects at https://nyrahbeauty.com. It shows the kind of fast, responsive, and modern landing page experience I like to create.
I care a lot about design consistency and smooth performance, and I enjoy turning detailed wireframes into polished, conversion-friendly pages. I am ready to begin immediately and can share a clear timeline once I see your final wireframes.
Looking forward to working with you and bringing this vision to life.
Best regards,
Dachi</t>
  </si>
  <si>
    <t>https://www.upwork.com/jobs/~021981447577372297440</t>
  </si>
  <si>
    <t>Hello,
I would love to help you build the custom Shopify landing page for your subscription-based merch service. The project sounds exciting, and I have worked on similar Shopify builds before. I can start right away to meet your tight deadline.
I can either create a new homepage from scratch or adapt an existing theme to match your wireframe and brand style. I will make sure every detail, from the colors (Amber, Charcoal, Cream, and White) to the fonts (Montserrat, Open Sans, and Lato), feels consistent and professional. The layout will include everything you described such as the hero section with video, explainer steps, product showcase, testimonials, and pricing section.
Technically, I will make sure the page is fully responsive, smooth to navigate, and ready for analytics tracking with Google Analytics and Meta Pixel. I can also integrate HubSpot or Airtable forms, and if needed, add features like a live calculator or Instagram carousel. Everything will be cleanly coded and documented for easy future edits.
For a quick reference, you can check out one of my previous Shopify projects at nyrahbeauty.com. It shows the kind of fast, responsive, and modern landing page experience I like to create.
I care a lot about design consistency and smooth performance, and I enjoy turning detailed wireframes into polished, conversion-friendly pages. I am ready to begin immediately and can share a clear timeline once I see your final wireframes.
Looking forward to working with you and bringing this vision to life.
Best regards,
Dachi</t>
  </si>
  <si>
    <t>https://www.upwork.com/jobs/~021981463919446034656</t>
  </si>
  <si>
    <t>Hello,
This project sounds very exciting, and I would love to help you bring your real estate technology platform to life. I have strong experience in custom WordPress development, API integrations, and building complex, data-driven systems, which aligns perfectly with your project goals.
I have developed multiple WordPress projects that go beyond basic page builders, including custom plugins, API-driven dashboards, and CRM-style applications. I can integrate your existing Follow Up Boss CRM, design property listing features, and build a smooth client management flow that fits your wireframes and business logic. I am also experienced with IDX and MLS integrations for real estate platforms, so I can ensure accurate and dynamic property data.
From a technical perspective, I focus on scalability and clean architecture. I design optimized database structures, implement webhook-based integrations, and build responsive, mobile-first interfaces that feel fast and modern. I also make sure all forms and dashboards are dynamic and easy to manage through WordPress admin.
I appreciate that you already have detailed wireframes, partnerships, and a clear vision. That makes it much easier to move fast and keep development focused. I can start quickly, provide regular updates, and deliver a professional, scalable foundation ahead of your February 2026 launch.
Looking forward to hearing more about your technical roadmap and discussing how I can contribute to your platform’s development.
Best regards,
Dachi</t>
  </si>
  <si>
    <t>https://www.upwork.com/jobs/~021981480512051883378</t>
  </si>
  <si>
    <t>Hello,
I would be happy to help you repair and optimize your custom WordPress site. I have strong experience working with heavily customized WordPress environments, managing complex plugin interactions, and maintaining existing integrations without disrupting functionality.
I understand how important it is to keep your current custom integrations intact while improving third-party plugin performance. My approach will be to first review the current plugin setup, identify the exact conflict or inefficiency, and then refactor or extend the plugin code as needed. I always make sure changes are fully documented so your team can manage them easily in the future.
Once the issues are resolved, I will test everything across your site to ensure smooth performance, seamless plugin communication, and no negative impact on existing custom features.
I have handled many similar repair and optimization projects before, where maintaining stability was just as important as delivering new functionality. I can start quickly and provide clear updates along the way until everything is running perfectly.
Looking forward to hearing more about the specific plugins and issues you are facing.
Best regards,
Dachi</t>
  </si>
  <si>
    <t>https://www.upwork.com/jobs/~021981503506251876576</t>
  </si>
  <si>
    <t>Hello,
I’m very interested in helping you develop your Chrome extension. I recently built a Chrome extension that enhances user productivity by integrating directly with web pages and providing a clean, intuitive interface, so I’m confident I can create the kind of smooth and user-friendly experience you’re looking for.
I have solid experience with JavaScript, HTML, and CSS, as well as working with Chrome’s extension APIs for background scripts, content scripts, and permissions management. I always make sure my extensions are fully compatible with the latest Chrome versions and follow best practices for performance and security.
For your project, I can handle everything from setup and manifest configuration to feature implementation, testing, and publishing on the Chrome Web Store. My focus is to build something lightweight, responsive, and easy for users to interact with.
I’d be happy to discuss your goals, features, and desired user flow to make sure the extension fits perfectly with your vision.
Best regards,
Dachi</t>
  </si>
  <si>
    <t>https://www.upwork.com/jobs/~021981759147740638578</t>
  </si>
  <si>
    <t>Hi,
I saw your project about fixing the search results templates and functions on your Divi child theme, and I’d be happy to help. It sounds like the search results are defaulting to Divi’s standard layout instead of using your custom template. This is a common issue when working with custom post types or modified theme structures.
I have strong experience with WordPress, Divi, and PHP customization, including troubleshooting theme functions, custom post queries, and template overrides. I’ve fixed similar problems before by adjusting the search query, refining template hierarchy, and making sure the right template files load for each post type.
I can review your setup, find why the custom template is not being applied, and ensure both search functions show the correct results and layout without affecting other customizations.
Let me know if you’d like me to start with a quick review today.
Best regards,
Dachi</t>
  </si>
  <si>
    <t>https://www.upwork.com/jobs/~021981797698514880874</t>
  </si>
  <si>
    <t>Hi,
I came across your project about automating discount content with n8n, and it fits perfectly with my experience. I’ve built similar automation workflows that scrape data from URLs, store it in databases like Supabase or PostgreSQL, and use that data for content generation or AI-driven tasks.
I’m familiar with n8n, Supabase, SearXNG, and Firecrawl, and I can set up efficient workflows that connect these tools smoothly. My focus is on creating stable, maintainable automations with clear data flow and proper error handling.
I’d be glad to help set up your n8n workflows for data scraping, storage, and AI content automation, and I’m also open to long-term collaboration if you’re looking for a reliable technical partner.
Best regards,
Dachi</t>
  </si>
  <si>
    <t>https://www.upwork.com/jobs/~021981824051193458034</t>
  </si>
  <si>
    <t>Hi,
I can build your n8n workflow that takes a YouTube URL, pulls the transcript with your Apify actor, cleans it with ChatGPT, converts it to a PDF, and sends it to Google Drive. I will validate the URL, handle errors like missing captions or very long videos, and keep logs so runs are easy to trace. The cleanup step will use a clear prompt to improve readability while keeping speaker labels and timestamps only if you want them. The PDF will include a sensible title, clean formatting, and consistent file names. I will keep credentials in environment variables and add simple notifications on failure to make support easy.
If you share the API keys and a Drive folder ID, I can prepare a working example with one video and provide the workflow JSON and short setup notes.
Best regards,
Dachi</t>
  </si>
  <si>
    <t>https://www.upwork.com/jobs/~021981837666319478130</t>
  </si>
  <si>
    <t>Hi,
I can set up your Shopify to Sendmails integration with Zapier or Pabbly and make sure it works reliably for all three stores. I will trigger on new paid orders, check the customer’s marketing consent, and add the email to the correct Sendmails list for that specific store. I will map fields properly, add filters for accepts_marketing, and include de-duplication, retries, and basic error alerts so you do not miss subscribers.
If you prefer, I can also add tags based on products or order value, handle double opt in if supported, and include a simple log sheet for auditing. I will document the setup in plain steps so you can adjust lists or add another store later.
If you share access to the three Shopify stores and the Sendmails API or app credentials, I can get this running and tested quickly.
Best regards,
Dachi</t>
  </si>
  <si>
    <t>https://www.upwork.com/jobs/~021982301167238052048</t>
  </si>
  <si>
    <t>Hi,
I can help secure your WordPress site and hosting environment. I have solid experience with WordPress, PHP, and web security, including malware cleanup, hardening, and ongoing monitoring.
My plan is to review your hosting and WordPress stack, identify active risks, and fix them quickly. This includes removing malware, closing vulnerable plugins or themes, updating core and dependencies, and tightening file and server permissions. I also set up a Web Application Firewall, rate limiting, two factor login, reCAPTCHA on key forms, and secure backups with restore tests. For hosting, I will review SSH and SFTP access, disable unused services, configure TLS correctly, and add automatic security updates where appropriate.
I provide a clear report of what I changed, recommendations for long term maintenance, and simple checklists your team can follow. If you like, I can add continuous monitoring, alerting, and a staging workflow so updates are safe to deploy.
Happy to start with a quick assessment and share immediate fixes.
Best regards,
Dachi</t>
  </si>
  <si>
    <t>https://www.upwork.com/jobs/~021982812261195851184</t>
  </si>
  <si>
    <t>Hi,
I came across your posting for a Full-Stack Developer at FixTman, and I’m very interested. I have solid experience building and maintaining full-stack applications with Angular, Node.js, and WordPress, focusing on performance, scalability, and clean user experiences.
On the frontend, I’m comfortable developing responsive and dynamic interfaces with Angular, TypeScript, HTML, and CSS. I’ve customized WordPress themes and plugins to match complex business needs while keeping the sites fast and easy to manage. On the backend, I’ve worked with Node.js, Express.js, and PHP, building secure RESTful APIs and managing data in MySQL, PostgreSQL, and MongoDB.
I enjoy collaborating with designers and product teams to bring ideas to life, following Agile workflows, version control, and testing best practices. I take pride in writing maintainable code and delivering stable, user-focused applications that scale.
I’d love the chance to discuss how I can contribute to FixTman’s team and help build reliable, high-quality solutions.
Best regards,
Dachi</t>
  </si>
  <si>
    <t>https://www.upwork.com/jobs/~021983155688481584306</t>
  </si>
  <si>
    <t>Hi Briant,
I’d be happy to help you build and optimize product pages for your DTC brand using Shopify and GemPages. I have strong experience creating high-converting pages based on existing templates, following clear brand systems, and making quick, precise updates that keep the design consistent across desktop and mobile.
I’ve built and maintained multiple Shopify sites using GemPages, PageFly, and custom Liquid edits. One example of my recent work is https://seaislandcoffee.com/
, where I helped refine product pages for performance, responsiveness, and visual consistency. I’m also comfortable handling light image edits, content swaps, and A/B-ready page versions when needed.
My typical turnaround time for a new or duplicated page is 1 to 2 days, depending on complexity. My hourly rate is $40, and I can work either per-page or on a flexible retainer if you prefer ongoing collaboration.
I’d be glad to discuss your current layout system and how I can help build fast, reliable, and conversion-focused pages for your team.
Best regards,
Dachi</t>
  </si>
  <si>
    <t>https://www.upwork.com/jobs/~021983195994514093234</t>
  </si>
  <si>
    <t>Hi,
I’m very interested in joining Paw Origins as a Funnelish and GoHighLevel expert. I’ve built and optimized multiple sales funnels for DTC brands, focusing on performance, brand consistency, and seamless integrations with CRMs, payment systems, and ad tracking tools.
I have strong hands-on experience with Funnelish and GHL, where I’ve designed high-converting funnels that include opt-in, checkout, upsell, and thank-you pages. My work also covers custom automations, pixel setups (Meta, GA4, TikTok), and end-to-end testing to make sure tracking and conversions run flawlessly. I always pay attention to UX and flow, using proven structures that boost engagement and sales.
I also understand the importance of maintaining a clear, on-brand experience, combining technical precision with storytelling and behavioral design. My background in eCommerce automation and funnel development helps me move fast while ensuring every build is efficient and easy to manage.
My hourly rate is $40, and I’d be happy to share a few examples of funnel projects I’ve created in Funnelish and GHL, including how they improved conversion rates and user retention.
Looking forward to hearing more about your goals and how I can support your team in building high-performing, beautifully crafted funnels for Paw Origins®.
Best regards,</t>
  </si>
  <si>
    <t>https://www.upwork.com/jobs/~021983193693451633131</t>
  </si>
  <si>
    <t>Hi,
I’m interested in the Senior Full Stack Developer position and believe my background fits your requirements well. I have over eight years of experience with JavaScript, React, and backend technologies, developing and optimizing scalable, high-performance web applications.
In one of my recent projects, I built a web application using React and JavaScript to improve performance and user experience by optimizing rendering, implementing lazy loading, and refining API handling. I also worked on https://90seconds.com
, where I contributed to enhancing site performance, maintaining modular code, and ensuring smooth integration between frontend and backend systems.
I’m comfortable managing full-stack responsibilities, including API design, deployment processes, and performance tuning. My focus is always on delivering clean, efficient, and scalable solutions that provide a seamless experience for users.
I’d be happy to discuss your project’s technical goals and share how I can help you build a reliable and high-performing platform.
Best regards,
Dachi</t>
  </si>
  <si>
    <t>https://www.upwork.com/jobs/~021983232552830943723</t>
  </si>
  <si>
    <t>Hi,
I’m very interested in helping you optimize the Moxie Institute website for speed, performance, and Core Web Vitals. I have strong experience working with Nuxt.js and TailwindCSS, and I’ve handled many projects focused on improving Lighthouse scores and overall user experience.
I recently built a website using TailwindCSS in an Upwork project, where I improved responsiveness, reduced layout shift, and achieved excellent Core Web Vitals. I also worked on 90seconds.com
, contributing to performance improvements and ensuring smooth, scalable web delivery for a large production environment.
In similar projects, I’ve optimized image delivery with AVIF and WebP formats, implemented lazy loading and code splitting, refined Nuxt build configurations with SSR and Vite, and improved caching and CDN delivery. I always provide detailed before-and-after reports with LCP, CLS, INP, and FCP metrics, along with documentation for every code and config change.
I’m confident I can help you reach 90+ PageSpeed scores for both mobile and desktop while maintaining clean, optimized code and great UX.
Best regards,
Dachi</t>
  </si>
  <si>
    <t>https://www.upwork.com/jobs/~021983278093026811896</t>
  </si>
  <si>
    <t>Hi,
I’m interested in helping you build a scalable and efficient API system using Go. I have strong experience developing backend services and APIs in Golang, with a focus on performance, clean structure, and secure integrations.
I’ve built APIs that connect with Twilio and SendGrid for messaging, verification, and automated email delivery. I always make sure the services are well-documented, modular, and easy to maintain. One example of my work is a simple bank account management API I created in Go, available here: https://github.com/dachi-khelashvili/bank-account-manager
. It demonstrates my approach to structuring routes, handling database operations, and keeping the code clean and organized.
I also developed an e-commerce service in Golang using Echo (https://pockittv.com
), where I focused on scalability and performance optimization.
For your project, I can build a Go-based API that integrates smoothly with Twilio and SendGrid, includes secure authentication, rate limiting, and robust logging, and is fully ready for production deployment.
Best regards,
Dachi</t>
  </si>
  <si>
    <t>https://www.upwork.com/jobs/~021983295369361670635</t>
  </si>
  <si>
    <t>Hi,
I’m interested in helping with your image-to-video simulation project. I have solid experience in Python, machine learning, and video processing, and I’ve worked on projects involving AI-based image and video generation using tools similar to Vertex AI and other multimodal systems.
I can help you refine and optimize your Python prompts to produce more realistic and stable video outputs. My approach focuses on improving clarity, consistency, and detail in the generated motion, while reducing flicker and distortion between frames. I also have experience integrating multiple AI tools through APIs, managing data flow between models, and automating the testing of different prompt structures to find what gives the best visual results.
If you can share a few examples of your current setup, I can quickly suggest ways to improve the prompt design and the overall quality of your generated videos.
Best regards,
Dachi</t>
  </si>
  <si>
    <t>https://www.upwork.com/jobs/~021983586728467563060</t>
  </si>
  <si>
    <t>Hi,
I’m interested in your project involving Microsoft Access and Azure SQL integration. I have strong experience building and maintaining data-driven applications with a focus on reliability, scalability, and clean front-end design.
I’ve worked on projects that connect Access front ends to cloud databases, optimizing queries and improving performance while preserving familiar user interfaces. My approach focuses on modernizing legacy Access systems, migrating data and logic to Azure SQL, and ensuring that forms, reports, and automation continue to function smoothly in a connected environment.
I can also help streamline workflows, improve UI consistency, and set up secure connections between Access and Azure SQL using best practices for performance and security.
I’d be glad to review your current setup and discuss how we can modernize it while keeping your existing workflows intact.
Best regards,
Dachi</t>
  </si>
  <si>
    <t>https://www.upwork.com/jobs/~021983589471578105264</t>
  </si>
  <si>
    <r>
      <rPr/>
      <t xml:space="preserve">Hi,
I’m very interested in helping you build your 360° video uploading and streaming platform. I have solid experience working with video processing and streaming systems, and I recently developed </t>
    </r>
    <r>
      <rPr>
        <color rgb="FF1155CC"/>
        <u/>
      </rPr>
      <t>pockittv.com</t>
    </r>
    <r>
      <rPr/>
      <t xml:space="preserve"> a video streaming platform built with a focus on performance, scalability, and smooth playback across devices.
For your project, I can design a reliable system where users can easily upload large 360° GoPro MAX 2 videos, process them efficiently, and stream them seamlessly on the web. I’ll implement optimized video compression using FFmpeg and modern codecs like H.264 or HEVC, ensuring the best balance between quality and file size. The platform will support adaptive streaming (HLS or DASH), so videos play smoothly even on slower connections.
I can also set up cloud-based storage and CDN delivery to handle large files, and integrate a responsive web player that supports full 360° viewing on both desktop and mobile.
I’d love to discuss your goals in more detail and help create a clean, high-performance platform that provides an excellent viewing experience for users.
Best regards,
Dachi</t>
    </r>
  </si>
  <si>
    <t>https://www.upwork.com/jobs/~021983598507446904240</t>
  </si>
  <si>
    <r>
      <rPr/>
      <t xml:space="preserve">Hi,
I’d love to help with your Shopify development needs. I have strong experience working on both the backend and frontend of Shopify stores, including custom app development, API integrations, and advanced theme customization. I’m also comfortable working within the New York time zone and joining regular Zoom calls to stay closely aligned with your team.
I’ve handled projects involving custom Shopify apps, checkout extensions, and deep integrations with third-party systems. On the frontend, I focus on building clean, responsive layouts that look great and load fast. One example of my work is </t>
    </r>
    <r>
      <rPr>
        <color rgb="FF1155CC"/>
        <u/>
      </rPr>
      <t>https://seaislandcoffee.com</t>
    </r>
    <r>
      <rPr/>
      <t xml:space="preserve"> where I helped improve performance and overall design consistency while maintaining brand standards.
I’m detail-oriented, easy to communicate with, and always make sure everything integrates smoothly without breaking existing functionality. I’d be happy to learn more about your current setup and how I can contribute to your project’s next steps.
Best regards,
Dachi</t>
    </r>
  </si>
  <si>
    <t>https://www.upwork.com/jobs/~021983610026110812724</t>
  </si>
  <si>
    <t>Hi,
I’m very interested in helping you build the new API connectors for your SaaS analytics platform. I have strong experience with TypeScript, API integrations, and OAuth 2.0 authentication flows, as well as handling rate limits, data mapping, and error recovery in production environments.
I’ve built similar integrations for platforms like Shopify, HubSpot, and LinkedIn Ads, focusing on reliable data fetching, efficient pagination, and structured transformation into a unified schema. I’m also familiar with Supabase, SQL migrations, and Cloudflare Workers, so extending your existing architecture will fit naturally into my workflow.
My approach emphasizes clear documentation, reusable connector structures, and strong testing to ensure each integration runs smoothly in production.
I’d be happy to review your current connector setup and outline a plan for building the six new integrations efficiently and safely.
Best regards,
Dachi</t>
  </si>
  <si>
    <t>https://www.upwork.com/jobs/~021983648359435945301</t>
  </si>
  <si>
    <r>
      <rPr/>
      <t xml:space="preserve">Hi,
I’m very interested in helping you build your AI-powered SaaS platform for lead generation and automation. I have strong experience developing scalable, multi-tenant SaaS platforms, including </t>
    </r>
    <r>
      <rPr>
        <color rgb="FF1155CC"/>
        <u/>
      </rPr>
      <t>pockittv.com</t>
    </r>
    <r>
      <rPr/>
      <t xml:space="preserve"> which I built from the ground up to handle high user traffic, real-time interactions, and seamless integrations with third-party APIs.
Your project aligns closely with my experience. I’ve worked with Twilio for SMS, SendGrid for email automation, and OpenAI for intelligent response handling and workflow automation. I can design and build the core backend architecture to support AI-powered lead nurturing, omnichannel messaging, CRM and pipeline management, and automated appointment scheduling.
If you’re considering using or extending GoHighLevel (GHL), I’m also familiar with its structure from creating and customizing snapshots to API integration and UI/UX customization for white-labeled solutions.
My focus is always on performance, clean architecture, and building a reliable product that can scale with your users. I’d be happy to discuss your feature roadmap and outline a plan to bring this platform to life quickly and efficiently.
Best regards,
Dachi</t>
    </r>
  </si>
  <si>
    <t>https://www.upwork.com/jobs/~021983656995990602292</t>
  </si>
  <si>
    <t>Hi,
I’m interested in the Full Stack Developer role and would love to contribute to your project. I have strong experience working with Node.js, Express.js, React, and AWS, building scalable and real-time web applications with clean architecture and optimized performance.
I recently worked on 90seconds.com where I helped enhance both the React-based front end and Node.js backend to improve performance, reliability, and user experience. That project involved handling API integrations, optimizing queries, and maintaining responsive components across the stack experience that aligns perfectly with your current setup.
I’m also familiar with Firebase/Firestore, MySQL (Aurora), and cloud environments like AWS Lambda, as well as working with third-party services such as Filestack for media handling. I focus on writing maintainable code, building efficient APIs, and ensuring smooth communication between backend and frontend systems.
I’d be happy to collaborate with your team to implement new features, refine performance, and deliver a fast, reliable, and scalable application over the next few months.
Best regards,
Dachi</t>
  </si>
  <si>
    <t>https://www.upwork.com/jobs/~021983798655113971029</t>
  </si>
  <si>
    <t>Hi,
I’d be happy to help you build your new website funnel. I have strong experience using Funnelish to create high-converting funnels with complete email, SMS, and tracking integrations. I recently built a full funnel for cruxprime.com using Funnelish, where I connected the pages with automation tools, integrated messaging systems, and set up analytics to track conversions and user behavior. The result was a smooth, responsive funnel that handled both lead capture and follow-up efficiently. For your project, I can create a new Funnelish funnel to replace your existing one, ensuring all email marketing, text messaging, and tracking tools are set up and tested properly. My focus is always on building clean, reliable funnels that deliver great performance and are easy to maintain. 
Best regards, 
Dachi</t>
  </si>
  <si>
    <t>https://www.upwork.com/jobs/~021983959157102505663</t>
  </si>
  <si>
    <t>Hi,
I’d love to help design and build a high-converting Shopify landing page for your health brand. I specialize in creating clean, conversion-focused layouts that balance strong visual appeal with optimized performance and mobile responsiveness.
I recently worked on seaislandcoffee.com a Shopify store where I improved page performance, refined layout structure, and optimized calls to action to increase conversions. I focus on both the design and the strategy — crafting persuasive sections, clear messaging, and smart placement of CTAs to guide visitors smoothly toward purchase.
For your project, I can design a custom landing page aligned with your brand identity, set up A/B testing for ongoing improvements, and implement all the necessary tracking to measure performance. I’ll also provide a short handover guide explaining key design choices and CRO recommendations for future updates.
Best regards,
Dachi</t>
  </si>
  <si>
    <t>https://www.upwork.com/jobs/~021984136908229746328</t>
  </si>
  <si>
    <t>Hi,
I’m very interested in helping you build a scalable design system using Plasmic integrated with React and Next.js. I have solid experience translating Figma designs into reusable, maintainable components and aligning them with enterprise design standards.
I recently worked on 90seconds.com, where I contributed to the React frontend, focusing on component structure, performance optimization, and consistent UI implementation across the application. I also worked on letters.app using Framer, where I developed clean, responsive layouts and interactive components that matched high-fidelity designs while maintaining accessibility and speed.
For your FinTech platform, I can help create a Plasmic-based design system that ensures design consistency, fast iteration, and smooth integration into your current Next.js stack. I’ll focus on scalable component architecture, accessibility best practices, and performance so the system grows effortlessly with your product.
I’d love to discuss your current setup and help streamline your design-to-code workflow.
Best regards,
Dachi</t>
  </si>
  <si>
    <t>https://www.upwork.com/jobs/~021984248453241289779</t>
  </si>
  <si>
    <t>Hi,
I’m very interested in helping you build your premium directory web app. I’m a solo WordPress developer with strong experience creating custom post types, ACF fields, and advanced filtering systems for structured and scalable websites.
I recently worked on aspiring.leaders.f5capitaldebtfund.com
, where I built custom WordPress functionality, integrated APIs, and optimized performance for fast, responsive layouts. I focus on writing clean, modular code that supports easy expansion — perfect for projects that start with an MVP and grow over time.
I have hands-on experience developing AJAX-based tag and taxonomy search filters and integrating external APIs for data verification and profile enrichment. I always ensure responsive design, clear data structure, and smooth user experience across devices.
My hourly rate is $40, and I’m available for ongoing collaboration after the MVP launch if needed. I’d be happy to discuss your feature roadmap and help you build a stable, scalable platform for connecting verified professionals.
Best regards,
Dachi</t>
  </si>
  <si>
    <t>https://www.upwork.com/jobs/~021984284436079868536</t>
  </si>
  <si>
    <t>Hi,
I can help you diagnose and fix the issue with your WordPress production site. I have extensive experience troubleshooting and optimizing WordPress setups, including sites using Elementor, Astra, and WooCommerce with custom themes and functions.
I recently worked on aspiring.leaders.f5capitaldebtfund.com
, where I built and customized a WordPress site with advanced theme configurations, plugin integrations, and performance tuning. I’m familiar with resolving issues related to subdirectory installations, environment differences, and server configuration mismatches, even when staging and production appear identical.
For your project, I’ll thoroughly review your environment setup, check file paths, database configuration, and plugin dependencies, then identify the exact cause of the malfunction. Once resolved, I’ll provide a clear report detailing what went wrong, what was fixed, and recommendations to prevent it in the future.
Best regards,
Dachi</t>
  </si>
  <si>
    <t>https://www.upwork.com/jobs/~021984352699874835064</t>
  </si>
  <si>
    <t>Hi,
I’d love to help you create high-converting Shopify landing pages for Destination Wagyu. I specialize in Shopify landing page design for DTC and premium food brands, focusing on conversion rate optimization (CRO), mobile-first layouts, and seamless ad-to-page alignment.
I recently worked on seaislandcoffee.com, a high-end Shopify store where I built and optimized pages specifically for paid traffic campaigns. My work involved creating structured, conversion-focused layouts with strong storytelling, trust-building sections, and optimized CTAs that guided cold traffic into purchases.
For your project, I’ll start by auditing your current collections and identifying the key landing page types—such as A5 Japanese Wagyu, first-time buyer education, subscription, and gift pages. I’ll build them using GemPages or PageFly, ensuring each one follows your ideal flow: hero → value → trust → offer → products → FAQs → guarantee. Each page will be visually rich, fast-loading, and fully responsive, with tracking events properly configured for ad performance insights.
I understand how to balance luxury presentation with strong conversion strategy—especially for high-ticket food products where authenticity, sourcing, and freshness are essential trust signals. I’ll also provide a short Loom walkthrough showing how to duplicate and edit the pages for future campaigns.
I can deliver the first two pages at a fixed price once we confirm the direction. I’d be happy to discuss your ad angles, preferred design tone, and how we can make these landing pages convert strongly from day one.
Best regards,
Dachi</t>
  </si>
  <si>
    <t>https://www.upwork.com/jobs/~021984855517370189550</t>
  </si>
  <si>
    <t>Hi,
I’d be happy to help you with your Supabase setup and connection issues. I have strong experience working with Supabase and TypeScript, and I’ve built several projects using both for authentication, database management, and real-time features.
I can review your current configuration, identify what’s causing the connection problems, and create a more stable and efficient client structure. Along the way, I’ll also explain the setup so you understand how to maintain and expand it confidently.
I’ve helped other developers fix similar Supabase connection issues by optimizing connection pooling, refining API calls, and improving TypeScript typing for safer and cleaner code. My goal is to make your Supabase integration reliable, secure, and easy to work with.
If you’d like, I can start by reviewing your current setup and guide you step-by-step through the fixes.
Best regards,
Dachi</t>
  </si>
  <si>
    <t>https://www.upwork.com/jobs/~021985336329682501403</t>
  </si>
  <si>
    <t>Hi,
I’d be happy to help you integrate Retell AI with Make.com so your appointments appear correctly in the calendar with full customer details. I have solid experience working with API integrations, Make.com automations, and calendar connections like Google Calendar and Outlook.
It sounds like your Retell AI setup is already in place, so my first step would be to review the data flow and find out why appointments aren’t syncing. Once that’s fixed, I can make sure each appointment is added to your calendar with clear details, such as the customer’s name, contact information, and what they requested.
I’ll also make sure the automation runs reliably, includes error handling, and is easy to maintain or modify later. If you’d like, I can walk you through the setup afterward so you fully understand how it works.
Best regards,
Dachi</t>
  </si>
  <si>
    <t>https://www.upwork.com/jobs/~021985378701069548152</t>
  </si>
  <si>
    <t>Hi,
I’m excited about the opportunity to join your team and help build features for your managed Keycloak identity platform. I have strong full-stack experience with Go on the backend and React with TypeScript on the frontend, along with hands-on work in authentication systems and API integrations.
On the frontend, I contributed to 90seconds.com, where I improved the React architecture, optimized API communication, and developed scalable UI components. On the backend, I built pockittv.com using Golang, focusing on performance, RESTful API design, and reliable CI/CD pipelines. I also created a simple Go backend API with Docker, available here: github.com/dachi-khelashvili/bank-account-manager, which demonstrates my clean structure and practical approach to Go projects.
I’m familiar with PostgreSQL, and webhooks, and I understand the architecture and security patterns behind OAuth/OIDC and identity management systems like Keycloak. I can quickly adapt to your setup, build out new features, and contribute to the overall reliability of your platform.
For productivity, I use Cursor as my main AI coding assistant. It helps me accelerate development, write tests faster, and maintain high-quality, consistent code. I’m comfortable working asynchronously, communicating clearly, and owning features from design to deployment.
I’m available for around 20 hours per week, can start right away, and my hourly rate is $40. I’d be happy to share more about my SaaS experience and discuss how I can help scale your platform efficiently.
Best regards,
Dachi</t>
  </si>
  <si>
    <t>I’ve worked with Keycloak to manage authentication and user access in SaaS platforms, setting up OAuth2 and OIDC flows, managing roles and permissions, and connecting it with frontend and backend systems. I’ve also used similar tools like Auth0 and AWS Cognito, so I understand how identity management works from both the infrastructure and user experience side. I’m comfortable customizing Keycloak themes and building secure integrations for multi-tenant environments.</t>
  </si>
  <si>
    <t>I mainly use Cursor as my AI coding assistant. It helps me write, refactor, and review code faster while maintaining good structure and consistency. I also use ChatGPT Plus (GPT-5) to help with documentation, debugging, and planning system architecture. If possible, I’d like to continue using Cursor Pro, since it’s tightly integrated into my workflow and really improves development speed and accuracy.</t>
  </si>
  <si>
    <t>I’ve been developing with Go for several years, mostly building scalable backend APIs and microservices. For example, I built the backend for pockittv.com in Go, focusing on RESTful APIs and CI/CD pipelines, and I also created a small open-source Go project with Docker here: github.com/dachi-khelashvili/bank-account-manager.
On the frontend side, I worked on 90seconds.com using React and TypeScript, improving performance, organizing components, and ensuring smooth data flow between frontend and backend. I don’t work with Java daily, but I can read and modify it when needed — especially for things like Keycloak customizations or SPIs.</t>
  </si>
  <si>
    <t>I’d keep it simple and secure by caching the Keycloak admin access token using an in-memory solution like Redis or a lightweight LRU cache. The system would check if the token is still valid before making API calls, and automatically refresh it when it’s close to expiring. That way, we reduce unnecessary authentication requests, improve performance, and still maintain security.</t>
  </si>
  <si>
    <t>I try to build testing into the process from the start. For backend code, I write unit and integration tests in Go to make sure each endpoint and function behaves as expected. For React, I use Jest and React Testing Library to cover components and user interactions. I also like to include end-to-end testing with tools like Playwright or Cypress to simulate real user flows.
Once the code is ready, everything runs through a CI/CD pipeline where tests run automatically before deployment. After that, I do a quick manual review on staging, check logs, and monitor for any unexpected behavior in production. I see QA as an ongoing process, not just a final step.</t>
  </si>
  <si>
    <t>https://www.upwork.com/jobs/~021985399055833922168</t>
  </si>
  <si>
    <t>Hi,
I’m interested in the Freelance React Developer role with Sandbox Inc. I have strong experience building and optimizing front-end features using React and Tailwind CSS, and I’m comfortable working in collaborative, async-friendly environments.
I recently worked on 90seconds.com, where I helped develop and improve the React frontend, focusing on UI components, performance optimization, and clean Tailwind styling for responsive layouts. I enjoy working on projects that combine functionality and accessibility — especially when the goal is to make public-facing resources easier to navigate and use.
I write clean, maintainable code and am comfortable debugging UI/UX issues across devices and browsers. I’m also used to integrating React components into WordPress environments, ensuring smooth alignment between front-end and backend teams.
I’m based in a compatible time zone, available to start right away, and open to feedback and code reviews as part of your internal workflow. I’d be glad to help deliver the 15–20 new React features your project requires while maintaining performance and design quality.
Best regards,
Dachi</t>
  </si>
  <si>
    <t>https://www.upwork.com/jobs/~021985490803642285851</t>
  </si>
  <si>
    <t>Davit
Hi,
I’m very interested in this Full-Stack Developer role. I have strong experience with the MERN stack and Next.js, and I’ve worked on projects integrating AI models and APIs such as OpenAI. I enjoy building applications that combine modern frameworks with intelligent, data-driven functionality.
I’ve developed full-stack applications using React, Node.js, and MongoDB, and built SEO-optimized frontends with Next.js. I also have experience managing deployments on AWS, handling serverless functions, and setting up CI/CD pipelines to ensure scalability and reliability.
I recently worked on 90seconds.com
 using React and Next.js, where I focused on performance optimization, component structure, and clean integration with backend APIs. I’ve also implemented AI features in several projects using OpenAI APIs, improving automation, data enrichment, and user personalization.
I’m a proactive developer who values clear communication, well-structured code, and building scalable systems that last. I’d love to discuss your architecture and contribute to your AI-driven projects.
Best regards,
Dachi</t>
  </si>
  <si>
    <t>https://www.upwork.com/jobs/~021985459871441765232</t>
  </si>
  <si>
    <t>Hi,
I’d love to help you build your custom Shopify storefront. I have solid experience developing Shopify themes from Figma designs, implementing responsive, high-performance layouts, and integrating the apps and tools needed for a smooth e-commerce experience.
One of my recent Shopify projects is seaislandcoffee.com, where I worked on both the front-end and back-end, optimizing performance, customizing sections in Liquid, and ensuring a fast, mobile-first design. I focus on building clean, scalable code that translates perfectly from Figma to Shopify while keeping accessibility and SEO best practices in mind.
For your project, I can handle all theme development — from creating custom templates and sections to integrating collections, product pages, carts, and checkout flows. I’ll also ensure quick load times, proper app integration, and smooth QA across all browsers and devices.
I’m used to working closely with design teams and providing quick technical feedback during development, so collaboration and iteration are easy. I can start right away and deliver a high-quality, fully tested Shopify build within your 4–6 week timeline.
Best regards,
Dachi</t>
  </si>
  <si>
    <t>https://www.upwork.com/jobs/~021985602460841165680</t>
  </si>
  <si>
    <t>Hi,
I’d be happy to help you resolve your GitHub rollback issue. I have strong experience with Git and GitHub version control, including handling rollbacks, reverts, detached HEAD errors, and other complex situations that can arise during resets or merges.
A short screen share session sounds perfect. I can walk you through the problem, explain what’s happening under the hood, and help you safely complete the rollback without losing progress or affecting your current branches. My goal is not just to fix the issue quickly but also to help you understand the commands and logic behind the solution so you’ll feel confident handling similar cases in the future.
I can be available right away to jump on a call and help you get things back on track.
Best regards,
Dachi</t>
  </si>
  <si>
    <t>https://www.upwork.com/jobs/~021985689296226053848</t>
  </si>
  <si>
    <t>Hi,
I can help you quickly troubleshoot and fix the backend issues you’re facing. I have strong experience working with API development, concurrency control, and error handling in production systems, and I’m comfortable diagnosing problems under pressure and delivering stable, long-term fixes.
I’ve worked on several backend projects where performance and reliability were critical, improving API response times, resolving race conditions, and implementing structured error-handling systems for better debugging and monitoring. My focus is always on understanding the root cause, applying clean and efficient fixes, and preventing the same issue from recurring.
If you can share a bit more about your current tech stack or the specific issues you’re encountering, I can start looking into it right away and get your system back to stable performance.
Best regards,
Dachi</t>
  </si>
  <si>
    <t>https://www.upwork.com/jobs/~021985736897453114224</t>
  </si>
  <si>
    <t>Hi,
I’d love to help you build the custom search management system for your GoSnaggit MVP. I have strong experience working with WordPress (themes, plugins, and custom tables) as well as API integrations and cron jobs for automated workflows.
I recently worked on seaislandcoffee.com, a WordPress-based Shopify integration project where I customized frontend and backend functionality, optimized performance, and managed theme extensions. I also worked on 90seconds.com, where I focused on API integration and automation, handling real-time data synchronization and reliable request flows.
For your project, I can extend the ProBid theme by adding a custom “My Search” dashboard section with AJAX-based CRUD functionality for managing user search terms. I’ll store these searches in a custom MySQL table, integrate the eBay Browse/Find API, and set up a daily cron job that fetches new results and sends email notifications automatically.
I’ll ensure the implementation is modular, documented, and easy to maintain, ideally packaged as a plugin or child theme so future updates to ProBid don’t cause conflicts.
I’m available to start right away and can deliver a clean, reliable solution that fits your MVP goals.
Best regards,
Dachi</t>
  </si>
  <si>
    <t>https://www.upwork.com/jobs/~021985831111444677488</t>
  </si>
  <si>
    <t>Hi,
I’d love to help you build your Shopify app for subscription-based stores. I have solid experience developing and customizing Shopify apps, as well as integrating APIs for analytics, payments, and subscriptions.
I recently worked on seaislandcoffee.com
, a Shopify store that uses a subscription model. I helped improve its performance, customize the theme, and integrate subscription and analytics tools to better track customer behavior and recurring revenue. That experience gave me a good understanding of the challenges and data flow in subscription commerce — from churn and failed payments to campaign tracking and profitability insights.
For your app, I can create a custom solution that pulls data from ad platforms, chargeback systems, and subscription APIs, then combines it into clear profitability metrics. My focus will be on building something fast, accurate, and easy to use similar to TripleWhale, but tailored specifically for subscription businesses.
I’d love to hear more about which APIs you want to integrate and what kind of metrics you’d like to surface in the dashboard.
Best regards,
Dachi</t>
  </si>
  <si>
    <t>https://www.upwork.com/jobs/~021985857426381913138</t>
  </si>
  <si>
    <t>Hi,
I’d love to help you optimize your React and Headless application for better performance. I have strong experience improving speed and efficiency in React-based projects, including 90seconds.com, where I worked on refining frontend performance, optimizing component rendering, and improving responsiveness across devices.
I’ve worked with JSS in smaller applications and understand how to clean up unused styles, improve caching, and ensure styles are efficiently injected. I can apply those same techniques here to enhance your app’s performance and user experience.
My focus will be on optimizing JSS usage, profiling and improving React rendering, and implementing best practices for Headless performance, all while keeping your codebase clean and maintainable.
I’d be glad to take a look at your current setup and share a plan to make it faster and smoother.
Best regards,
Dachi</t>
  </si>
  <si>
    <t>https://www.upwork.com/jobs/~021986028495352937522</t>
  </si>
  <si>
    <t>Hi,
I’d love to join your team as a Frontend Developer. I have solid experience creating responsive, fast, and user-friendly interfaces with HTML, CSS, JavaScript, and React. Recently, I worked on 90seconds.com, where I helped improve UI performance, fine-tuned responsive layouts, and made the site smoother across devices and browsers.
I’ve also completed several Upwork projects using HTML, CSS, and JavaScript, building clean, modern pages from Figma designs and making sure everything feels great on both desktop and mobile. I really enjoy turning creative ideas into polished, high-performing user experiences.
My monthly rates are ⚡️$6400 / $3,200.
I’d be excited to collaborate with your team and help make your website intuitive, engaging, and lightning-fast.
Best regards,
Dachi</t>
  </si>
  <si>
    <t>https://www.upwork.com/jobs/~021986044468316001332</t>
  </si>
  <si>
    <r>
      <rPr>
        <rFont val="Arial"/>
        <color theme="1"/>
      </rPr>
      <t xml:space="preserve">Hi,
I’d love to help you turn your Figma design into a fully functional Shopify landing page using the Dawn theme. I have solid experience working with Shopify, Figma, and responsive design, and I always focus on matching the design precisely while keeping performance and mobile experience top-notch.
You can see one of my recent Shopify projects here: </t>
    </r>
    <r>
      <rPr>
        <rFont val="Arial"/>
        <color rgb="FF1155CC"/>
        <u/>
      </rPr>
      <t>seaislandcoffee.com</t>
    </r>
    <r>
      <rPr>
        <rFont val="Arial"/>
        <color theme="1"/>
      </rPr>
      <t>. I built and optimized the storefront, customized Liquid sections, and ensured everything remained clean, responsive, and fast-loading across all devices.
I’ve reviewed your Figma link and can confidently recreate it in Shopify, with proper attention to detail, animations, and layout alignment.
My proposal:
Timeline: 3–4 days for a full implementation
Price: $500 for the complete landing page build
I’ll make sure the page is easy to edit in the future, SEO-friendly, and tested across devices before delivery.
Would you like me to get started this week?
Best regards,
Dachi</t>
    </r>
  </si>
  <si>
    <t>https://www.upwork.com/jobs/~021986143063262081769</t>
  </si>
  <si>
    <t>Hi,
I’d be excited to help you set up your new Shopify store for clothing and apparel. I have strong experience building Shopify stores from scratch, including store design, product setup, payment integration, and SEO optimization, all with a focus on creating smooth, mobile-friendly shopping experiences.
One of my recent Shopify projects is seaislandcoffee.com, where I handled theme customization, app integrations, and performance optimization to ensure a clean, professional storefront that converts well.
For your project, I can design an attractive, responsive store that highlights your products beautifully, integrates secure payment gateways, and includes the right SEO and social media connections to help you grow traffic and sales.
I’d love to learn more about your brand’s style and target audience so I can design something that truly fits your vision.
Best regards,
Dachi</t>
  </si>
  <si>
    <t>https://www.upwork.com/jobs/~021986177769734716466</t>
  </si>
  <si>
    <t>Hi,
I’d love to help you with the cosmetic and functional updates for your clients’ Shopify stores. I have strong experience working with Shopify Liquid, HTML, CSS, and JavaScript, and I’ve handled everything from visual refinements to custom functionality and layout adjustments across multiple stores.
One of my recent Shopify projects is https://seaislandcoffee.com, where I customized the theme, optimized visuals, and improved responsiveness for both desktop and mobile. I also implemented custom sections, embedded videos, and refined UI elements to match brand style and improve user experience.
For your project, I can quickly handle video embeds, style updates, button and font adjustments, custom badges or labels, and ensure every change works perfectly across devices. I’m detail-oriented and always make sure my updates align with both design references and Shopify best practices.
My hourly rate is $40, and I’m available to start right away. If this initial project goes well, I’d be happy to collaborate on future updates with your team.
Best regards,
Dachi</t>
  </si>
  <si>
    <t>https://www.upwork.com/jobs/~021986206621878637620</t>
  </si>
  <si>
    <t>Hi,
I can help you set up and integrate your Jornaya script for lead validation on your WordPress site with Gravity Forms. I have solid experience working with WordPress, form integrations, and custom script implementations for tracking, analytics, and validation.
I’ll make sure the Jornaya script is installed correctly, fully integrated with your Gravity Forms setup, and properly validating leads. I can also handle any testing and troubleshooting to confirm the system captures and verifies data as expected.
If you’d like, I can also provide ongoing support to maintain the integration and make adjustments as your site or forms evolve.
Best regards,
Dachi</t>
  </si>
  <si>
    <t>https://www.upwork.com/jobs/~021986411130413429496</t>
  </si>
  <si>
    <r>
      <rPr>
        <rFont val="Arial"/>
        <color theme="1"/>
      </rPr>
      <t xml:space="preserve">Hi,
I’m very interested in the Senior Golang Engineer role. I have solid experience building backend systems in Go, designing scalable APIs, and managing cloud infrastructure on AWS. I enjoy working on connected platforms that combine hardware, software, and cloud services, which makes your product especially exciting to me.
I built the backend for pockittv.com, an online streaming platform where I handled API design, user authentication, and media management using JWT for secure access control. The system was built in Golang with a focus on performance, reliability, and smooth integration between frontend and backend services. This is code that I built in that company. </t>
    </r>
    <r>
      <rPr>
        <rFont val="Arial"/>
        <color rgb="FF1155CC"/>
        <u/>
      </rPr>
      <t>https://github.com/dachi-khelashvili/online-shop-backend</t>
    </r>
    <r>
      <rPr>
        <rFont val="Arial"/>
        <color theme="1"/>
      </rPr>
      <t xml:space="preserve">
I’m comfortable working with AWS services like S3, Lambda, and SQS, and I’ve set up Dockerized microservices with GitHub Actions for automated testing and deployment. I also have experience implementing Stripe integrations and managing CI/CD pipelines to maintain uptime and performance.
I’d be glad to contribute to your team by owning the backend platform, ensuring seamless authentication migration, developing your beverage ordering APIs, and maintaining a stable and scalable infrastructure.
Best regards,
Dachi</t>
    </r>
  </si>
  <si>
    <t>I’ve built backend services in Go for both personal projects and production environments, including an online store where I developed the entire API layer for handling user authentication, product management, and payments. I enjoy using Go for its simplicity, performance, and built-in concurrency, which makes it great for scalable systems. I’ve also created smaller Go-based APIs for personal tools and experiments to improve my backend design and architecture skills.</t>
  </si>
  <si>
    <t>I focus on designing lightweight, modular services with clear separation of concerns. I use logging, metrics, and health checks to detect issues early and monitor performance. For deployments, I rely on CI/CD pipelines to ensure consistent builds and automated tests before pushing to production. On AWS, I configure auto-scaling and load balancing to maintain uptime even under heavy traffic or failures.</t>
  </si>
  <si>
    <t>I follow a clean architecture approach where I separate business logic, handlers, and data layers into organized packages. For example, I keep routes and HTTP handlers under /api, business logic under /services, and database code under /repository. I also use environment variables for configuration, structured logging for debugging, and interfaces to make the code testable and easier to extend.</t>
  </si>
  <si>
    <t>I use JWT-based authentication for stateless security, where each client receives a token upon login and includes it in subsequent requests. I also apply role-based authorization to control access levels within the API. For sensitive operations, I enforce HTTPS, token expiration, and refresh token flows. I’ve implemented this in my online store backend to ensure secure user sessions and data protection.</t>
  </si>
  <si>
    <t>I deploy my backend services on AWS, using services like S3, EC2, and Lambda depending on the architecture needs. I use CI/CD pipelines to automate building, testing, and deployment with GitHub Actions. I also leverage AWS CloudWatch for monitoring and error tracking to maintain smooth operations and quick recovery in case of issues.</t>
  </si>
  <si>
    <t>https://www.upwork.com/jobs/~021986413986973528824</t>
  </si>
  <si>
    <r>
      <rPr>
        <rFont val="Arial"/>
        <color theme="1"/>
      </rPr>
      <t xml:space="preserve">Hi,
I’d be happy to help you rebuild your OAuth setup on Google Cloud Platform. I’ve worked on several authentication and authorization implementations, including rebuilding OAuth and JWT-based login systems for production web apps.
I recently worked on </t>
    </r>
    <r>
      <rPr>
        <rFont val="Arial"/>
        <color rgb="FF1155CC"/>
        <u/>
      </rPr>
      <t>90seconds.com</t>
    </r>
    <r>
      <rPr>
        <rFont val="Arial"/>
        <color theme="1"/>
      </rPr>
      <t>, where I integrated secure user authentication and handled OAuth configurations with Google Cloud and other third-party APIs. I’m very comfortable setting up new OAuth clients, configuring consent screens, redirect URIs, and managing DNS and load balancer callbacks to ensure a seamless login flow.
I can also help diagnose and fix the blank page issue whether it’s tied to OAuth redirects, callback handling, or frontend initialization by carefully reviewing logs and debugging the entire flow from GCP to your app.
Let’s get this sorted efficiently so your authentication flow is stable, secure, and under your full control.
Best regards,
Dachi</t>
    </r>
  </si>
  <si>
    <t>I recently worked on a project where I implemented and maintained OAuth-based authentication for both internal tools and client-facing services. The work involved configuring Google Cloud credentials, managing consent screens, setting up redirect URIs, and securing access tokens.
I also handled troubleshooting for callback and login flow issues that appeared during deployment including blank screen and token exchange errors by debugging both frontend and backend layers. This experience gave me a strong understanding of GCP OAuth configuration, DNS coordination, and secure integration best practices across distributed systems.</t>
  </si>
  <si>
    <t>https://www.upwork.com/jobs/~021986512284327135004</t>
  </si>
  <si>
    <r>
      <rPr>
        <rFont val="Arial"/>
        <color theme="1"/>
      </rPr>
      <t xml:space="preserve">Hi,
I’m very interested in the Senior Software Engineer position. I have strong experience developing customer-facing platforms using Golang, Node.js, and Python, with a focus on scalability, performance, and clean architecture.
I built the backend for </t>
    </r>
    <r>
      <rPr>
        <rFont val="Arial"/>
        <color rgb="FF1155CC"/>
        <u/>
      </rPr>
      <t>pockittv.com</t>
    </r>
    <r>
      <rPr>
        <rFont val="Arial"/>
        <color theme="1"/>
      </rPr>
      <t xml:space="preserve"> using Golang, where I implemented RESTful APIs, JWT-based authentication, and CI/CD pipelines for automated deployments. I’ve also worked extensively with Node.js to build real-time applications and API integrations, and with Python for data processing tasks and automation scripts.
My experience includes designing efficient data models, setting up CI/CD pipelines with GitHub Actions, and optimizing cloud infrastructure on AWS for performance and reliability. I’m comfortable collaborating with cross-functional teams to deliver high-quality, maintainable systems that scale with business growth.
I’d be glad to contribute my full-stack backend experience to help lead development, ensure robust testing, and keep your services reliable at scale.
Best regards,
Dachi</t>
    </r>
  </si>
  <si>
    <t>https://www.upwork.com/jobs/~021986549139306734259</t>
  </si>
  <si>
    <t>Hi,
I can help you fix your Azure Function gateway setup quickly and get your webhook integration working properly. I’ve worked on several projects involving Azure Functions, Power Automate, and webhook routing, so I understand exactly what’s happening with the 255-character limit on Intuit’s API and why the current approach isn’t functioning as expected.
I recently worked on projects where I built OAuth and webhook integrations on Google Cloud and Azure, including forwarding payloads securely and handling signature validation for APIs. I’m confident I can build or debug your Azure Function to act as a reliable gateway between Intuit and Power Automate without any downtime or missed events.
I can jump in right away, review your current setup, and deliver a clean, working solution.
Best regards,
Dachi</t>
  </si>
  <si>
    <t>https://www.upwork.com/jobs/~021986565719147726620</t>
  </si>
  <si>
    <t>Hi,
This project sounds really exciting. I love the idea of building an AI-powered video clipping platform for creators. I’ve worked on similar systems that combine video upload, AI processing, and web performance, so I’m confident I can help you bring this to life.
I built the backend for pockittv.com, where I implemented the video upload and processing flow with FFmpeg for compression and conversion. It gave me a lot of hands-on experience managing large files, asynchronous jobs, and cloud storage. I also worked on 90seconds.com using React, focusing on clean UI development and smooth frontend integration with backend APIs.
For your platform, I can create a fast and intuitive experience that lets users upload long videos, automatically detect highlights using AI, add captions and effects, and export polished social clips. I can also handle login, payments, and the admin dashboard setup so everything runs seamlessly.
I’d love to collaborate with you and build something creators will genuinely enjoy using a platform that’s simple, fast, and built to scale.
Best regards,
Dachi</t>
  </si>
  <si>
    <t>https://www.upwork.com/jobs/~021986858003487573788</t>
  </si>
  <si>
    <t>Hi,
I’m very interested in this Backend-Focused Full Stack Developer role. I have strong experience building and scaling backend systems using Golang, Node.js (Nest.js, Express), and Python, with a focus on designing efficient APIs, optimizing databases, and integrating cloud and third-party services.
I built the backend for pockittv.com using Golang, where I designed RESTful APIs, implemented JWT-based authentication, and managed CI/CD pipelines on AWS. I also worked on 90seconds.com using React and Next.js, focusing on frontend performance and API integrations. I’ve integrated tools like Stripe, Twilio, and SendGrid and worked with both PostgreSQL and MongoDB for scalable, high-performance data handling.
I enjoy building end-to-end systems that balance clean architecture with strong performance. I’m also experienced in Supabase, Redis, and message queues for real-time and high-load scenarios. I’m confident I can contribute both as a backend lead and as a developer who ships polished, reliable features from backend to UI.
I’d love the opportunity to discuss how I can support your team and help you deliver a fast, scalable, and well-structured platform.
Best regards,
Dachi</t>
  </si>
  <si>
    <t>https://www.upwork.com/jobs/~021987817539519079563</t>
  </si>
  <si>
    <r>
      <rPr>
        <rFont val="Arial"/>
        <color theme="1"/>
      </rPr>
      <t xml:space="preserve">Hi,
I’m very interested in this backend engineering role. I have extensive experience designing and building scalable, event-driven systems that can handle high concurrency and low-latency requirements. I focus on clean architecture, efficient request routing, and strong performance optimization across distributed systems.
I built the backend for https://pockittv.com using Golang, where I developed real-time video upload and processing pipelines, optimized API performance, and deployed scalable infrastructure on AWS. The backend was designed to handle large media uploads and concurrent users with speed and reliability.
You can also review my Node.js backend project here: </t>
    </r>
    <r>
      <rPr>
        <rFont val="Arial"/>
        <color rgb="FF1155CC"/>
        <u/>
      </rPr>
      <t>https://github.com/dachi-khelashvili/online-shop-backend.</t>
    </r>
    <r>
      <rPr>
        <rFont val="Arial"/>
        <color theme="1"/>
      </rPr>
      <t xml:space="preserve"> It demonstrates modular API design, secure authentication, database optimization, and CI/CD integration, reflecting my approach to building maintainable, production-ready systems.
For your platform, I can build an event-driven architecture using Go or Node.js, with Redis or Kafka for message processing and Docker/Kubernetes for deployment on AWS or GCP. I would focus on achieving sub-200 ms response times through concurrency optimization, caching, and efficient routing logic while keeping the system flexible for future extensions and partner integrations.
I’d love the opportunity to discuss your system goals and outline how I can help deliver a reliable, high-throughput backend from design to deployment.
Best regards,
Dachi</t>
    </r>
  </si>
  <si>
    <t>https://www.upwork.com/jobs/~021987905776129446193</t>
  </si>
  <si>
    <t>Hi,
I’d love to help you bring your Figma design to life in Craft CMS Pro 5.8.18. I’ve worked on similar front-end projects where the goal was to take a polished design and make it feel just as clean and consistent within a CMS.
I’m comfortable working directly in Craft CMS templates, adjusting layouts, styles, and components to match the design perfectly while keeping everything responsive and fast. I pay close attention to the small details, spacing, typography, and alignment to make sure the final result looks and feels exactly like your Figma vision.
If you share access to your design and CMS, I can quickly review it and let you know the best approach to get everything aligned smoothly.
Best regards,
Dachi</t>
  </si>
  <si>
    <t>https://www.upwork.com/jobs/~021987967061087970443</t>
  </si>
  <si>
    <r>
      <rPr>
        <rFont val="Arial"/>
        <color theme="1"/>
      </rPr>
      <t xml:space="preserve">Hi,
I’d be happy to support your Shopify Plus store with ongoing development and optimization. I’ve worked on several Shopify projects, including </t>
    </r>
    <r>
      <rPr>
        <rFont val="Arial"/>
        <color rgb="FF1155CC"/>
        <u/>
      </rPr>
      <t>https://seaislandcoffee.com/</t>
    </r>
    <r>
      <rPr>
        <rFont val="Arial"/>
        <color theme="1"/>
      </rPr>
      <t>, where I handled custom theme development, performance improvements, and checkout optimization.
I write clean, efficient Liquid and JavaScript code, and I’m comfortable with A/B testing, UI adjustments, and implementing new features that align with brand direction. I also prioritize responsiveness and clear communication to ensure updates are smooth and consistent with your existing structure.
I’d love to build a long-term collaboration and keep your store running at its best.
Best regards,
Dachi</t>
    </r>
  </si>
  <si>
    <t>https://www.upwork.com/jobs/~021987987112608359563</t>
  </si>
  <si>
    <r>
      <rPr>
        <rFont val="Arial"/>
        <color theme="1"/>
      </rPr>
      <t xml:space="preserve">Hi,
I’m very interested in joining your extended team as a Forward Deployed Engineer. I really like your approach of focusing on steady weekly progress and solving real bottlenecks, it aligns perfectly with how I work.
I have strong experience in React and Supabase, and I also use Python regularly for backend development and automation. I’ve worked on projects like </t>
    </r>
    <r>
      <rPr>
        <rFont val="Arial"/>
        <color rgb="FF1155CC"/>
        <u/>
      </rPr>
      <t>90seconds.com</t>
    </r>
    <r>
      <rPr>
        <rFont val="Arial"/>
        <color theme="1"/>
      </rPr>
      <t xml:space="preserve"> (React and Next.js for frontend), where I focused on building clean, scalable systems and delivering consistent progress week after week.
I’m comfortable working independently, documenting clearly, and using AI tools like Cursor to speed up workflows without sacrificing code quality. I follow test-driven development and enjoy keeping commits frequent to maintain visible progress.
I’d love to collaborate with you to help maintain momentum across projects and deliver reliable results for your clients.
Best regards,
Dachi</t>
    </r>
  </si>
  <si>
    <t>https://www.upwork.com/jobs/~021988006096310765419</t>
  </si>
  <si>
    <t>Hi,
I’d love to help review your robotics website and make it smoother and more effective for visitors. I’ll go through the site the same way a potential customer would, testing every path, link, and feature to spot anything that feels confusing, broken, or could perform better.
Once I’ve gone through it, I’ll create a clear list of fixes and recommendations your developer can follow, with simple explanations of what needs to change and why. The goal is to make the site not only work perfectly but also feel more polished and engaging for your audience.
Best regards,
Dachi</t>
  </si>
  <si>
    <t>https://www.upwork.com/jobs/~021988004850816343338</t>
  </si>
  <si>
    <t>Hi,
I’d love to help you build your Rails application that connects your CRM with your Call Center software. I have strong experience building API integrations and full-stack applications that sync data between systems reliably and efficiently.
In past projects, I’ve worked on backend platforms where contacts and customer data needed to be synced across CRMs, messaging tools, and call systems using RESTful APIs. I focus on making integrations seamless first, then gradually building out the frontend for management and reporting, which aligns perfectly with your plan for this project.
I’m comfortable working with Rails + Hotwire/Turbo, and I’ll make sure the integration is stable, secure, and easy to maintain. I can handle the full setup, from connecting APIs to building the frontend and deploying the application for production use.
Best regards,
Dachi</t>
  </si>
  <si>
    <t xml:space="preserve">I worked on a customer management system where I integrated a CRM with messaging platforms like Twilio and SendGrid to automatically sync contact data and trigger communications. The setup allowed users to manage their contact lists and automate updates in real time, similar to how your CRM would connect to your Call Center system.
</t>
  </si>
  <si>
    <t xml:space="preserve">I use structured error handling with retries and logging. Each API call is wrapped in a service object that checks response codes, catches exceptions, and logs failures for debugging. For transient issues, I implement retry logic with exponential backoff, and for persistent errors, I create clear alerts so they can be investigated without affecting the rest of the system.
</t>
  </si>
  <si>
    <t xml:space="preserve">I use Ruby on Rails with Hotwire/Turbo for modern, reactive interfaces. My local environment is Dockerized to match production as closely as possible. I use PostgreSQL for data management, Redis for caching, and RSpec for testing. I also maintain version control via GitHub and follow a clean commit and branch strategy.
</t>
  </si>
  <si>
    <t xml:space="preserve">I’ve deployed Rails apps on Heroku, Render, and AWS (EC2 + RDS). I usually configure CI/CD pipelines for automated testing and deployments, monitor app performance, and handle scaling and environment variables for production stability.
</t>
  </si>
  <si>
    <t>https://www.upwork.com/jobs/~021988154900611371313</t>
  </si>
  <si>
    <t>Hi,
I’d be happy to help with your Go High Level project. I have solid experience customizing and extending GHL beyond its standard automations, including coding new features, integrating third-party tools, and optimizing CRM workflows to fit specific business needs.
I’ve worked on projects where I reprogrammed parts of GHL to handle more advanced client management, reporting, and data syncing. My goal is always to make the platform run smoother, faster, and more aligned with how your team actually works.
If you can share a bit more about the exact functions or integrations you’re looking for, I can outline the best way to get it done.
Best regards,
Dachi</t>
  </si>
  <si>
    <t>I built a config-based GHL customizer that updates logos, colors, navigation links, and widgets directly inside Go High Level from a hosted JSON file. It also embeds external tools through iframes and lets agencies manage branding and UI changes for multiple client accounts without touching the core GHL code.</t>
  </si>
  <si>
    <t>https://www.upwork.com/jobs/~021988126101252301963</t>
  </si>
  <si>
    <t>Hi,
I’d be happy to help you fully integrate and optimize your Odoo system for the launch of your HVAC/R supply shop. I’ve worked with Odoo for multi-module setups where the goal was to unify inventory, HR, CRM, accounting, and website operations into one smooth workflow.
For your case, I can help you set up real-time product and stock synchronization between the website and Odoo Inventory, configure employee payroll, timesheets, and HR modules, and ensure your CRM and customer management work seamlessly. I can also handle workflow automation, permissions, and user roles to simplify day-to-day operations.
I’m also familiar with telephony integrations, including Ringover and RingCentral, and can guide you toward the best setup for communication tracking and logging within Odoo. My focus is always on delivering a clean, efficient system that runs smoothly from the front end to backend operations.
Best regards,
Dachi</t>
  </si>
  <si>
    <t>https://www.upwork.com/jobs/~021988233721183167627</t>
  </si>
  <si>
    <t>Hi,
I’d be happy to help you develop the custom app and workflow using n8n or Google Studio. I have solid experience building automation and integration systems that connect email services with APIs, databases, and business tools to streamline communication and daily operations.
In similar projects, I’ve designed workflows that handle triggers, message parsing, and task automation, ensuring everything runs smoothly without manual intervention. My focus is on building clean, reliable, and well-documented workflows that perform consistently and scale easily as your needs grow.
Best regards,
Dachi</t>
  </si>
  <si>
    <t>https://www.upwork.com/jobs/~021988244513003013995</t>
  </si>
  <si>
    <t>Hi,
I’d love to help extend your app by developing the Theme App Extension with app embeds and blocks that merchants can easily enable in the Theme Editor. I’ve worked extensively with Shopify OS 2.0, including App Blocks, App Embeds, and Cart/Drawer integrations, ensuring features are modular, performant, and require no manual theme edits.
In my recent project for seaislandcoffee.com, I implemented custom Shopify functionality using Liquid, JavaScript, and metafields, focusing on dynamic product availability and seamless integration across PDP, collection, and cart pages. I also have experience working with App Proxies, variant change events, and optimizing for accessibility and speed through debounced and batched API calls.
For your setup, I can build a clean, extensible architecture that handles location detection, cart eligibility, and real-time variant updates all configurable directly through the Theme Editor. My approach prioritizes merchant simplicity, performance, and reliability across themes like Dawn and custom OS 2.0 builds.
Best regards,
Dachi</t>
  </si>
  <si>
    <t>Hi,
I can take care of this right away. I’ve done many quick-turn Figma-to-code conversions using HTML, CSS, and JavaScript, ensuring everything is pixel-perfect and fully responsive. I’m available to start immediately and can deliver both pages within a few hours.
You can count on clean, efficient code that matches your design exactly. Please feel free to share the Figma link so I can get started right away.
Best regards,
Dachi</t>
  </si>
  <si>
    <t>https://www.upwork.com/jobs/~021988327306307438443</t>
  </si>
  <si>
    <t>Hi,
I’d be happy to help with this. I’ve worked on several WordPress customization projects, including modifying plugins like Easy Digital Downloads, so changing the Free Download extension from a pop-up to an inline layout is no problem.
I recently completed a Chrome extension project on Upwork, which strengthened my experience with JavaScript and UI adjustments skills that’ll be really useful for this task. I’ll make sure the update looks clean, functions smoothly, and stays easy to maintain over time.
Best regards,
Dachi</t>
  </si>
  <si>
    <t>https://www.upwork.com/jobs/~021988333598413197617</t>
  </si>
  <si>
    <t>Hi,
I can take care of this right away. I’ve worked on many WordPress sites handling image updates, layout alignment, and responsive adjustments to make sure everything looks sharp across all devices. I’ll replace and optimize your images quickly while keeping the design consistent and loading times fast.
I’m available to start immediately and can deliver this update within a few hours.
Best regards,
Dachi</t>
  </si>
  <si>
    <t>https://www.upwork.com/jobs/~021988531060071816490</t>
  </si>
  <si>
    <t>Hi,
I’d be happy to help you build your new corporate website for inCentris. I’ve worked on several React-based projects, including https://90seconds.com, where I developed fast, responsive pages with a strong focus on performance, scalability, and smooth CMS integration.
Your project aligns perfectly with my experience. I can create a modern React website powered by a flexible headless CMS like Sanity or Strapi, so your team can easily manage content such as news, events, and client stories without touching any code. The site will be SEO-friendly, mobile-optimized, and aligned with your new branding.
I’ll ensure every page is thoughtfully structured from dynamic client filters to editable banners so it’s both user-friendly and easy for your team to update later. My goal is to deliver a professional, visually engaging site that feels trustworthy and performs seamlessly.
This sounds like an exciting long-term collaboration, and I’m available to start planning right away. If you share your PPT or preferred design direction, I can quickly outline the development approach and CMS setup.
Best regards,
Dachi</t>
  </si>
  <si>
    <t>https://www.upwork.com/jobs/~021988506311090330922</t>
  </si>
  <si>
    <t>Hi,
I’m very interested in helping you maintain and improve your video platform. I’ve worked extensively with Go and modern frontend frameworks, and this role fits perfectly with my experience.
I built https://pockittv.com, a video streaming platform where I developed the backend in Golang, optimized video compression and streaming performance, and managed infrastructure with Docker, Cloudflare, and cron jobs. I also worked on https://90seconds.com, where I handled the React frontend (similar in architecture to Vue 3 + Vite) to deliver smooth, responsive, high-traffic pages.
I focus on writing clean, maintainable code and proactively solving performance issues especially around REST APIs, database optimization, and video delivery stability. I’m also comfortable handling Linux environments, reverse proxies, and scalable Docker setups.
This sounds like a great long-term opportunity, and I’d love to bring my full-stack experience to your team. I’m available to start soon and can ensure consistent progress and clear communication throughout.
Best regards,
Dachi</t>
  </si>
  <si>
    <t>https://www.upwork.com/jobs/~021988635390129276416</t>
  </si>
  <si>
    <r>
      <rPr/>
      <t xml:space="preserve">Hi,
I’d love to help enhance and extend your SaaS platform’s frontend. I have strong experience working with Next.js and JavaScript, and I’ve contributed to several modern SaaS applications with a focus on performance, maintainability, and clean UI implementation.
For example, I worked on </t>
    </r>
    <r>
      <rPr>
        <color rgb="FF1155CC"/>
        <u/>
      </rPr>
      <t>https://90seconds.com</t>
    </r>
    <r>
      <rPr/>
      <t>, where I helped improve the frontend experience using React and Next.js, ensuring a smooth and scalable interface for a high-traffic platform. I’m comfortable diving into existing codebases, refining features, and implementing new components that align perfectly with your design and product goals.
I’m also interested in the potential for a long-term collaboration and would be happy to grow as a core contributor as your platform scales.
Best regards,
Dachi</t>
    </r>
  </si>
  <si>
    <t>https://www.upwork.com/jobs/~021988658837377528508</t>
  </si>
  <si>
    <t xml:space="preserve">Hi,
I’m really interested in helping you build your data and resource web app using Tremor UI. I’ve worked with Tremor templates and chart components to create clean, interactive dashboards that visualize real-time data from APIs.
For example, I built a weather dashboard available at https://graphql-weather-app.vercel.app (source code: https://github.com/dachi-khelashvili/graphql-weather-app) using Next.js and Tremor, where I integrated live weather data into dynamic charts and tables. I enjoy creating data-driven UIs that are both functional and visually refined, and Tremor has been one of my favorite tools for that.
I’d love to bring that experience to your project and help craft a smooth, modern interface for your stock data platform.
Best regards,
Dachi
</t>
  </si>
  <si>
    <t>I can start immediately.
And I’m available around 30–50 hours per week, with flexibility for key project milestones.</t>
  </si>
  <si>
    <r>
      <rPr>
        <rFont val="Arial"/>
        <color theme="1"/>
      </rPr>
      <t xml:space="preserve">I’ve used Tremor UI to build dashboards with live data, real-time charts, and responsive visualizations. You can check my project at </t>
    </r>
    <r>
      <rPr>
        <rFont val="Arial"/>
        <color rgb="FF1155CC"/>
        <u/>
      </rPr>
      <t>https://graphql-weather-app.vercel.app</t>
    </r>
    <r>
      <rPr>
        <rFont val="Arial"/>
        <color theme="1"/>
      </rPr>
      <t xml:space="preserve"> (repo: https://github.com/dachi-khelashvili/graphql-weather-app), where I implemented Tremor to visualize weather data dynamically.</t>
    </r>
  </si>
  <si>
    <t>Yes, I can easily work in PST hours and adjust for meetings or collaboration sessions as needed.</t>
  </si>
  <si>
    <t>Hi,
I can help you clean and optimize your website’s CSS quickly while keeping the design exactly the same. I’ve worked on several front-end projects optimizing and refactoring CSS to reduce size, remove duplicates, and improve maintainability without breaking layouts.
I can start right away and deliver a clean, lightweight stylesheet that keeps your site’s visuals intact.
Best regards,
Dachi</t>
  </si>
  <si>
    <t>https://www.upwork.com/jobs/~021988738490559170048</t>
  </si>
  <si>
    <t>Hi,
I’d love to help you with this project. Duplicating your current Wix Studio site and turning it into a polished, consulting-focused version is something I can handle smoothly. Since the layout, branding, and visuals will stay mostly the same, I can move quickly while still making sure the new site feels intentional, professional, and clearly positioned for your consulting and fractional CCO services.
I’ll replace all text, adjust sections, update CTAs and navigation, and make sure nothing feels “copied over.” I’m also comfortable suggesting improvements wherever the structure or messaging could be clearer or more effective. Once everything is updated, I’ll ensure the site is fully responsive, SEO-ready, and consistent from page to page.
If you’d like, I can start with a clean duplication, then refine each page until it feels like its own strong brand presence.
Happy to discuss details whenever you’re ready.
Best regards,
Dachi</t>
  </si>
  <si>
    <t>https://www.upwork.com/jobs/~021988938471822340796</t>
  </si>
  <si>
    <t>Supabase MVP
Hi, I read through your requirements and I can help you build this MVP exactly the way you described. You need someone who can take your existing React, Vite, and TypeScript prototype and turn it into a complete, lean Supabase-powered product without adding extra backend complexity. I can set up Supabase Auth with user and admin roles, build the long-form audio upload with chunked and resumable uploads, store everything in Supabase Storage, handle metadata in Postgres, and create an Edge Function that sends audio to the Gemini API for transcription. I can also connect your UI so users can view recordings, stream audio, check transcript status, and manage their files, while keeping admin access simple and clean.
This matches closely with my background. I have strong experience with React, TypeScript, and video/audio upload pipelines. At https://90seconds.com I worked on a large-scale React and Next.js platform. At https://pockittv.com I built the backend for a video platform where users upload media files, so I am comfortable handling long recordings, file handling logic, and asynchronous processing. I understand how to keep an MVP fast, low cost, and free of unnecessary backend work. Supabase is a great fit for that approach and I have worked with its auth, storage, and database features before.
I can walk you through the upload to storage to transcription flow and keep everything as lightweight as possible. If you want, I can look at your current prototype and share the exact steps to complete the MVP.
Best regards,
Dachi</t>
  </si>
  <si>
    <t>Hi,
I can help you with this FastAPI microservice. I’ve worked with Python and FastAPI on multiple backend projects, and I’m very comfortable using AI tools like Claude and ChatGPT to generate production-ready code while keeping everything consistent with project standards. Following strict procedures and specs is something I’m used to, especially when working in environments where security, documentation, and predictable structure matter.
I can start within 24 hours, set up the project, generate the service using the guidelines you provide, test everything locally, and push clean code to your GitHub repo along with a clear HANDOFF.md so your team has full visibility into the implementation. I’ve done similar microservice work before, including building the backend for https://pockittv.com where I handled APIs, authentication, and media processing, so I’m very used to building small, focused services that integrate cleanly with larger platforms.
If you want, I can begin as soon as you share the spec and foundation files. Happy to move fast and deliver exactly what you expect.
Best regards,
Dachi</t>
  </si>
  <si>
    <t>https://www.upwork.com/jobs/~021990323537735905730</t>
  </si>
  <si>
    <t>Hi,
I can build this custom pick’em bot for your college football community and make it simple for both admins and members to use. The flow you described is very clear: admins choose the two teams for the game of the week, members pick one side, then after the result is posted the bot updates standings automatically.
I can set it up so admins have easy commands to create the weekly matchup, lock picks when the game starts, and enter the final result. The bot will track each user’s record per season and all-time, including win–loss and win percentage, and display leaderboards in a clean, readable format right in Discord. I’ll also make sure the commands and responses are user-friendly so your 22 members can jump in without any confusion.
If you’d like, I can start by creating a basic version with game-of-the-week picks and leaderboards, then polish the extra details like messages, formatting, and any future features you might want.
Best regards,
Dachi</t>
  </si>
  <si>
    <t>https://www.upwork.com/jobs/~021990388904466932296</t>
  </si>
  <si>
    <t>https://www.upwork.com/jobs/~021990416744605948570</t>
  </si>
  <si>
    <t>Hi,
I can help you build this sports betting arbitrage system. I’ve worked on real-time data tools, fast API integrations, automation with Playwright and Puppeteer, and dashboards that update instantly. This project fits the kind of engineering work I enjoy, especially anything that requires speed, accuracy, and a solid data pipeline.
I can set up a system that collects odds from multiple sportsbooks, updates them several times per second, and compares them to detect surebet opportunities in real time. I can also build the logic that calculates guaranteed profit and the exact stake split for each market. For automation, I can create a browser automation layer or extension that places bets while the user is already logged in, so there is no credential handling and everything stays safe and compliant.
On the interface side, I can build a clean, fast dashboard that shows opportunities, profit history, notifications, and everything a user needs without clutter. I can also structure the backend in a way that lets you add more sportsbooks easily over time.
If you want, I can start with a small proof of concept so you can see the speed and accuracy of the arbitrage engine before we build the full version.
Best regards,
Dachi</t>
  </si>
  <si>
    <t>https://www.upwork.com/jobs/~021990518851594477012</t>
  </si>
  <si>
    <t>Hi,
I can help you quickly track down and fix the access restriction issue on your Shopify site. I’ve worked on Shopify stores like https://seaislandcoffee.com, handling theme customization, app integrations, and debugging issues that affected how users navigated and accessed different parts of the site.
For this task, I would first reproduce the problem, check theme settings, app behavior, and any custom code or redirects that might be causing restricted access. Then I’d implement a fix, test it across different user types and devices, and share a clear summary of what was wrong and what was changed so you have full visibility.
If you’d like, I’m ready to jump in and start investigating.
Best regards,
Dachi</t>
  </si>
  <si>
    <t>https://www.upwork.com/jobs/~021990520516400183267</t>
  </si>
  <si>
    <t>Hi,
I can help you set up this DocuSign workflow with a custom template, conditional approvals, and tracking. I’ve worked with DocuSign templates and routing rules before, including building dynamic forms with dropdowns, prefilled data, and conditional logic that sends envelopes to different approvers based on field values.
For your case, I can configure a template where selecting a vendor from a dropdown automatically fills in their details, set up conditional routing so different fund types go to the correct approval chain, and enforce required uploads based on vendor or request type so users cannot submit incomplete requests. I can also connect the process to a simple tracking view, such as a table or dashboard that shows each submission with its status and updates automatically as signatures are completed inside DocuSign.
If you share your current process and sample fields, I can translate it into a working DocuSign setup and document how everything is configured so your team can maintain it going forward.
Best regards,
Dachi</t>
  </si>
  <si>
    <t>https://www.upwork.com/jobs/~021990563141706643427</t>
  </si>
  <si>
    <t>Hi,
I recently finished a Chrome extension project on Upwork where I built a custom hotkey-based text inserter with dropdown UI, multi-message support, export/import options, and dynamic DOM injection. Because of that experience, I’m very comfortable working inside complex, constantly changing interfaces that require MutationObserver, safe selectors, and clean component injection. I can build the custom dropdown menus you need inside the compose window, load templates, insert text, and call your internal APIs reliably across pop-out, reply, and inline modes.
I’ve also published extensions to the Chrome Web Store and handled manifest v3 requirements, permissions, assets, and the full publishing process.
Happy to walk you through how I’d approach this: injecting stable UI elements, managing multiple compose windows, caching template data, and making sure the extension remains resilient even when the platform’s UI changes.
I can start immediately and collaborate through Slack as needed.
Best regards,
Dachi</t>
  </si>
  <si>
    <t>https://www.upwork.com/jobs/~021990851429865608985</t>
  </si>
  <si>
    <t>Hi,
I can help you design and implement a full AWS AI driven omnichannel system and connect all lead and web activity directly into HubSpot in real time. I have experience building cloud based pipelines, API integrations, and CRM connected workflows, and I can take ownership of both the AWS side and the HubSpot side.
I can set up the AWS AI components, build the data flow, and create the API or webhook bridges that push every qualified event into HubSpot with the right structure. I can also configure the HubSpot logic so that leads are organized, enriched, and routed correctly. I am comfortable serving as the technical expert, documenting everything, and training your team on how the system works so it can scale.
If you want a reliable setup that connects AWS intelligence with HubSpot without gaps or delays, I can deliver it.
Best regards,
Dachi</t>
  </si>
  <si>
    <t>https://www.upwork.com/jobs/~021990843661884491350</t>
  </si>
  <si>
    <t>Hi,
I can help with this role. I’ve been working with automation platforms and API based integrations for several years, and I’m very comfortable building reliable workflows across tools like Zapier, Make, n8n, WooCommerce, Shopify, and custom endpoints. I’ve also handled a lot of WooCommerce plugin setups, debugging, and custom logic integrations, especially when tying stores to external systems.
I’m used to mapping data between systems, working with REST APIs, OAuth2, tokens, and building webhook driven processes. When a platform needs extra logic, I can write small JS or Python functions to clean or transform data. I’m also used to troubleshooting failed triggers, timeouts, rate limits, and reverse engineering why a flow breaks.
I’ve integrated Shopify, WooCommerce, and custom PHP APIs with CRMs, databases, and automation platforms. I can document each flow, monitor it, and optimize it when needed. I’m comfortable working independently, communicating clearly, and jumping into broken workflows to get them stable quickly.
If you need someone who can build new connectors, clean up existing automations, and support your team long term, I can step in right away.
Best regards,
Dachi</t>
  </si>
  <si>
    <t>https://www.upwork.com/jobs/~021990872508482881110</t>
  </si>
  <si>
    <r>
      <rPr/>
      <t xml:space="preserve">Hi,
I can help your team build clean, fast, and high-converting sales pages. I’ve been working with HTML, CSS, JavaScript, mobile-responsive layouts, and Shopify page builders for years, and I’m very comfortable turning design mockups into fully functional pages that load quickly and match the intended design pixel-accurately.
I’ve also used Gempages and other Shopify page builders on multiple projects, and I’ve built high-converting product pages, funnels, and custom sections for Shopify stores like </t>
    </r>
    <r>
      <rPr>
        <color rgb="FF1155CC"/>
        <u/>
      </rPr>
      <t>https://seaislandcoffee.com/.</t>
    </r>
    <r>
      <rPr/>
      <t xml:space="preserve"> I’ve worked on many landing pages for e-commerce and digital products, so I understand how important structure, clarity, and speed are for conversions.
Beyond Shopify builders, I also have experience with WordPress (themes and builders), Go High Level, and funnel platforms like ClickFunnels, so adapting to any tools your team uses won’t be a problem.
I’m reliable, detail-oriented, and easy to communicate with. I’m available for ongoing work and would be happy to complete your paid test task so you can evaluate code quality, responsiveness, and delivery speed.
If needed, I can also share additional landing pages I’ve built and provide availability for weekly collaboration.
Best regards,
Dachi</t>
    </r>
  </si>
  <si>
    <t>https://www.upwork.com/jobs/~021990882484218065327</t>
  </si>
  <si>
    <t>Hi,
I can help with ongoing development, fixes, and custom features for your Shopify theme. I’ve been working with Shopify for several years and have handled everything from Liquid theme customization to API-driven features, UI adjustments, and resolving script or app conflicts.
Here are the details you requested:
Brief Intro
I’m a full-stack developer with strong Shopify experience, comfortable working inside custom themes, building new sections, fixing layout issues, and integrating external APIs. I focus on clean, efficient code and fast turnarounds, especially for e-commerce brands that need reliable ongoing support.
Shopify Work Examples
Here’s a live Shopify store I’ve contributed to:
https://seaislandcoffee.com/
I’ve handled theme edits, custom sections, Liquid adjustments, and performance tweaks for this store.
API Integration Experience
I’ve integrated various third-party APIs into Shopify themes and custom apps, including payment APIs, CRM endpoints, and product-data services. I’m comfortable working with both Storefront and Admin APIs, as well as building lightweight proxies when needed.
Hourly Rate &amp; Availability
My rate is 40/hr, and I can work comfortably within US Eastern Time hours.
If you’d like, I can start with one small task so you can get a sense of my communication and code quality.
Best regards,
Dachi</t>
  </si>
  <si>
    <t>https://www.upwork.com/jobs/~021990916665578979707</t>
  </si>
  <si>
    <t>Hi,
I can help you clone the frontend of the enterprise website exactly as you described. I have strong experience with HTML, CSS, and JavaScript and I’m comfortable rebuilding complex layouts so they look and behave like the original while remaining fully static and hostable on a simple HTTP server.
I’ve worked on production frontends such as https://90seconds.com, where I dealt with responsive layouts, components, and UI details, so I’m used to matching existing designs very closely. For this project I can capture the key pages, recreate the structure and styles, and wire up non-functional buttons and modals as no-ops for now, so everything feels realistic from a user point of view without needing any backend or database.
If you share the target site and the list of key pages, I can get started and deliver a clean static version that you can drop onto any basic hosting.
Best regards,
Dachi</t>
  </si>
  <si>
    <t>https://www.upwork.com/jobs/~021991045274522657406</t>
  </si>
  <si>
    <t>Hi,
I’d be happy to help with your WordPress development needs. I’ve worked on multiple WordPress projects where I handled feature development, theme adjustments, plugin-level fixes, performance optimization, and SEO improvements. Two recent examples are https://aspiring.leaders.f5capitaldebtfund.com/ and https://neuralsourcing.com/, where I improved load speed, fixed structural issues, and implemented clean, scalable PHP logic inside custom themes.
I’m comfortable taking the lead on enhancements, solving bugs quickly, improving Core Web Vitals, tightening up structured data, and making sure the site behaves consistently across browsers and devices. I always focus on writing maintainable code and keeping the project well organized with clear documentation so it’s easy to build on.
If you’re looking for someone who can move fast, communicate clearly, and keep the site stable and optimized, I can jump in right away.
Best regards,
Dachi</t>
  </si>
  <si>
    <t>https://www.upwork.com/jobs/~021991195339751123439</t>
  </si>
  <si>
    <t>Hi,
I can help you migrate your entire site from DIVI to Elementor Pro while keeping the design, structure, and functionality fully intact. I’ve handled several theme-builder transitions before and have strong hands-on experience with custom WordPress builds, including:
https://aspiring.leaders.f5capitaldebtfund.com/
https://neuralsourcing.com/
I’ll make sure every page, layout, and feature transfers cleanly into Elementor Pro, optimize the site for performance during the process, and ensure everything is fully responsive. I’ll also provide clear documentation so future updates are easy, and I’m available for ongoing hourly support after the migration if needed.
If this sounds good, I can get started right away.
Best regards,
Dachi</t>
  </si>
  <si>
    <t>https://www.upwork.com/jobs/~021991197095947044438</t>
  </si>
  <si>
    <t>Hi,
I’d be happy to support your team as a part-time Shopify developer. I’ve worked on several Shopify ecosystems where the focus was on improving theme performance, restructuring collections, enhancing UX, and supporting CRM and email automation workflows. I’m comfortable working independently, moving quickly, and collaborating directly with marketing teams to deliver high-impact improvements without overcomplicating the stack.
My experience covers theme customization with Liquid and JavaScript, optimizing speed and mobile responsiveness, fixing UI/UX issues, improving storefront structure, embedding social content, and supporting CRM integrations like ActiveCampaign and Klaviyo. I’ve also worked on multi-country e-commerce setups and understand how to maintain clean code while keeping the store scalable.
I’m available in Asia timezone and can align with your workflow whenever needed. I’d be glad to help optimize your Shopify store, streamline user journeys, support CRM improvements, and contribute to higher conversions overall.
Best regards,
Dachi</t>
  </si>
  <si>
    <t>One example is Pratesi: https://pratesi.com/
I worked on theme customization, performance tuning, Liquid template fixes, product page adjustments, navigation clean-up, and optimizing mobile responsiveness. I also improved load speed by reducing unused scripts, reorganizing sections, and resolving conflicts caused by third-party apps.
Other Shopify experience includes Sea Island Coffee: https://seaislandcoffee.com/
Here I enhanced filtering, optimized collections, and implemented UX improvements to improve conversions and site structure.</t>
  </si>
  <si>
    <t>A complex issue involved a store where multiple custom app scripts and conflicting third-party integrations were causing layout shifts, slow rendering, and inconsistent product page behavior. I investigated using Shopify’s Theme Inspector and browser performance profiling, isolated redundant or blocking scripts, and refactored Liquid logic to prevent unnecessary re-renders. I rewrote several components for async loading and cleaned up duplicate events caused by apps. The result was a significant improvement in load speed, stability, and mobile experience.</t>
  </si>
  <si>
    <t>https://www.upwork.com/jobs/~021991207698916869718</t>
  </si>
  <si>
    <t>Hi,
I’d love to join your team as a full-time Front-End WordPress developer. I’ve spent the last several years building and maintaining WordPress sites using Elementor Pro, custom CSS, and performance-focused setups. I’m very comfortable working on new builds, improving existing sites, and handling day-to-day updates with fast turnaround.
Most of my recent projects have been hosted on SiteGround or similar optimized environments, so I’m used to working with caching layers, CDN settings, and plugins like WP Rocket, Rank Math, and other performance tools. I always make sure pages are fully responsive across all breakpoints, pixel-aligned to design references, and optimized for SEO from the start.
I’ve also managed multiple client sites at the same time, including landing pages, redesigns, QA passes, and ongoing maintenance. Clear communication and fast fixes are standard for me, and I can work comfortably within the EST time zone so we can collaborate in real time when needed.
If you’d like to see examples of my work, here are two recent WordPress sites I built and maintain:
https://aspiring.leaders.f5capitaldebtfund.com/
https://neuralsourcing.com/
I’d be happy to help with your builds, maintenance, SEO configuration, and ongoing improvements. Let me know when you’d like to start, and I can jump in right away.
Best regards,
Dachi</t>
  </si>
  <si>
    <t>https://www.upwork.com/jobs/~021991229412403880574</t>
  </si>
  <si>
    <t>Hi,
I can help you build the JMeter scripts so your tester can run reliable load tests against your Laravel app without running into CSRF issues.
The right way to handle this is to make JMeter act like a real user instead of trying to disable CSRF. I’ll set up each script to first hit the page or endpoint that provides the CSRF token, extract that token from the response, store it in a JMeter variable, and then include it automatically in all follow up requests that require it. That keeps your security in place while still allowing full load testing.
For your five use cases, I’ll create clear, separate test flows that reflect the real user journeys. I’ll keep the scripts simple to run, well named, and documented so your tester can open JMeter, set the desired load, and execute without having to modify the logic.
If you can share the five scenarios and a test or staging URL, I can start on the scripts and get them into a ready to use state for your QA team.
Best regards,
Dachi</t>
  </si>
  <si>
    <t>https://www.upwork.com/jobs/~021991266892848203350</t>
  </si>
  <si>
    <t>Hi,
I can help you build this inventory system from the ground up as a web app with barcode scanning and clear reporting around profit margins per SKU and customer.
My background is in building custom web applications that connect real-world operations with clean, simple interfaces. For your project, I would design a browser based system where staff can scan new cases into inventory and scan products or orders when they go out, using either handheld barcode scanners or the device camera if needed. Each scan would update stock levels in real time and tie back to the right product, customer, and order record.
On top of the core inventory features, I can add a reporting dashboard that makes it easy to see profit margins across different SKUs and customers, so you are not just tracking quantities but also getting useful insight into what is actually driving profit. My goal would be to keep the interface straightforward, fast to use in a warehouse or back office environment, and easy to maintain over time.
If you are open to it, I can suggest a tech stack that fits your existing processes, walk through the main flows with you, and then turn that into a clear, implementable plan for the first version.
Best regards,
Dachi</t>
  </si>
  <si>
    <t>https://www.upwork.com/jobs/~021991385619610361103</t>
  </si>
  <si>
    <t>Hi,
I can help you build a high-end WooCommerce site tailored for a cannabis and mushroom business. I’ve built and optimized several WooCommerce stores, including https://wsalamoon.com/ and https://lebonnet.com/, where the focus was on clean UI, strong branding, fast performance, and a smooth shopping experience.
For your site, I can create a visually rich design that reflects your brand while keeping everything fast, SEO-optimized, and conversion-focused. I’ll ensure the product pages, filtering, cart, and checkout flow feel modern and easy to use, and I can also set up performance improvements, schema, mobile optimization, and the right plugins without bloating the site.
If you’d like, I can walk through your product catalog, discuss style direction, and map out the full structure before development to make sure the site launches polished, fast, and ready to scale.
Best regards,
Dachi</t>
  </si>
  <si>
    <t>https://www.upwork.com/jobs/~021991375224792639983</t>
  </si>
  <si>
    <t>Hi,
I’d love to partner with you on this. I’ve been working across React, Next.js, Node.js, and Supabase, and I’m very comfortable building fast MVPs, iterating quickly, and collaborating closely with designers and founders. I also use AI-assisted development tools like Cursor and ChatGPT to increase development speed, reduce repetitive work, and ship cleaner code faster.
For recent work, I’ve built modern interfaces and production-ready features in Next.js, including UI and logic implementations for https://anna.money/, and I’ve worked extensively with React on high-traffic platforms like https://90seconds.com. These projects gave me strong experience in building scalable frontends, integrating APIs, and keeping performance high while shipping quickly.
I enjoy working with founders who want to move fast without over-engineering. I’m proactive, comfortable suggesting better approaches, and focused on delivering MVPs that are clean, maintainable, and easy to extend. I work well in async environments and have no issues adapting to your workflow or tools.
I can share recent projects, repos, and examples similar to what you’re building. Happy to talk through the first features you want to ship and how we can get started smoothly.
Best regards,
Dachi</t>
  </si>
  <si>
    <t>https://www.upwork.com/jobs/~021991556530846467670</t>
  </si>
  <si>
    <t>Hi,
I can help you with both of those changes right away. I’ve worked on several Shopify stores, including https://seaislandcoffee.com/ and https://pratesi.com/, where I handled theme customization, styling tweaks, and frontend fixes without disrupting the live storefront.
For your store, I can correctly add your custom font so it loads reliably across the theme, and then add the custom code under the product image to match your example design while keeping everything responsive and consistent with your current styling.
If you like the results, I’m also happy to help with any future updates or improvements you have in mind.
Best regards,
Dachi</t>
  </si>
  <si>
    <t>https://www.upwork.com/jobs/~021991593295019935318</t>
  </si>
  <si>
    <t>Hi,
I’d love to help you build the automation systems you need to scale across new marketplaces. I’ve worked with Shopify stores like https://seaislandcoffee.com/ and I’ve also built backend and API-driven systems such as the video platform at https://pockittv.com/, so I’m very comfortable working with product data, integrations, and custom automation logic.
I’m used to taking messy or inconsistent data and turning it into clean, structured feeds that work reliably across multiple sales channels. I’ve set up API workflows, webhooks, product syncing, and automated transformations in past projects, and I enjoy finding the most efficient way to move large catalogs into new marketplaces without manual work. Scraping images and product details, mapping attributes, fixing feed failures, and creating automated pricing or inventory rules are all things I’ve worked on before.
My approach is to understand how your current systems work, identify weak points, and then design a pipeline that can onboard new marketplaces quickly and keep everything stable. I like building systems that make listing and updating products effortless so your team can focus on growth. I’m comfortable suggesting strategic improvements too, not just completing tasks.
If you think it’s a good fit, I’m ready to jump in and help you scale the data and automation side of your business.
Best regards,
Dachi</t>
  </si>
  <si>
    <t>https://www.upwork.com/jobs/~021991601698840403215</t>
  </si>
  <si>
    <t>Hi,
I’d be glad to help you clean up and rebuild your HubSpot setup. I’ve handled a number of situations where the previous implementation left things fragmented, and one project in particular was almost identical to what you’re describing. The company had separate Lead and Deal pipelines, a messy data model, duplicated properties, and workflows that constantly broke. I redesigned everything into one unified pipeline, consolidated their objects, cleaned up the properties, rebuilt the automations, and fixed their reporting so the sales team finally had a single, reliable flow from first touch through closed won. The result was a CRM that made sense again and eliminated a lot of internal confusion.
My approach for merging a Lead pipeline and an Opportunity/Deal pipeline is to map out the real sales process first, then create one clear pipeline that covers qualification, engagement, and closing. I’d migrate existing records into the correct new stages, adjust the lifecycle logic, fix associations, and update all workflows, dashboards, and reports so the entire system works consistently around one unified model. Nothing gets lost and nothing breaks during the transition.
I’m available to start right away and can commit around 15–20 hours per week, including live collaborative working sessions. My rate is $40/hr and I’m fully comfortable sharing my screen, iterating in real time, and working closely with your team to make sure everything aligns with your revenue goals before we move too far in any direction.
Best regards,
Dachi</t>
  </si>
  <si>
    <t>https://www.upwork.com/jobs/~021991633684984388879</t>
  </si>
  <si>
    <t>Hi,
I can help you get both repositories running cleanly and set up a fully independent staging environment. I’ve worked on several projects where I had to take over codebases from previous teams, reconstruct the environment from scratch, and figure out everything from missing env variables to broken API connections. I’m comfortable jumping into unfamiliar stacks and making them stable quickly.
I’ve also built automation around repo syncing and branch archiving before, including situations where I didn’t have permission to fork, so creating the hourly script you described is something I can handle smoothly.
For frontend and backend experience, you can see examples of my work on projects like https://90seconds.com where I worked with React and backend logic that included NestJS services, and on https://anna.money where I worked within a Next.js and TypeScript environment. I’m used to stepping into existing architectures, validating them end to end, and documenting everything clearly for the team.
If you need someone who can manage the environment setup, fix whatever’s broken, build the automation pipeline, and then stay involved for long-term maintenance, I’d be happy to help.
Best regards,
Dachi</t>
  </si>
  <si>
    <t>I’ve taken over a few projects where the original developers were no longer available, so I had to rebuild the environment from scratch. My first step is always cloning both repos, reading through the configuration files, and mapping all required environment variables by scanning the modules and service layers. After that, I run the backend on its own and watch for errors in dependency injection, database connections, or module imports.
For the frontend, I start the dev server and inspect API calls to see which requests fail and why. This usually exposes missing environment variables, misconfigured proxy settings, or outdated env files. I repeat this process in a fresh staging environment to make sure everything behaves consistently outside the local machine. It’s a straightforward but detail-heavy process that I’m very used to.</t>
  </si>
  <si>
    <t>I would create a standalone script that uses direct repo credentials to pull both repositories on a schedule, likely through a small server or CI runner. The script would clone each repo fresh every hour, sync changes into designated local and staging directories, reinstall dependencies, and trigger a clean build.
Since forking isn’t allowed, everything would run through authenticated pull and push operations. I would also include logic for archiving branches during the sync, either by pushing them into an archive folder or tagging them with timestamps. The script would log the entire process so the team has visibility into what was updated or if anything failed.</t>
  </si>
  <si>
    <t>Once the backend is running, I test the Postgres and MongoDB connections, verify that migrations align with the actual schema, and confirm that the repository layer is operational. Then I manually hit all major routes with a REST client to make sure user flows, advisor flows, session lifecycle, payments, and webhook endpoints behave correctly.
For async processes, I trigger events that should hit the queue and then inspect the worker logs to confirm jobs are created and processed correctly. I also run mock webhook calls to make sure downstream logic fires. With NestJS, structured logging and module organization make it easy to see where something breaks, so I always rely on logs and request traces to validate the full flow.</t>
  </si>
  <si>
    <t>https://github.com/dachi-khelashvili - github
https://anna.money - next.js
https://90seconds.com - react, nest.js</t>
  </si>
  <si>
    <t>https://www.upwork.com/jobs/~021991650494148675158</t>
  </si>
  <si>
    <t>Hi,
I’d love to help build the kind of interface you’re describing. A data-heavy research tool with a cloud-driven backend and a desktop wrapper is exactly the kind of project I enjoy working on. Most of my experience is with React and TypeScript, building fast, interactive dashboards that consume complex JSON APIs and turn large information streams into something clean and usable.
I previously worked on https://90seconds.com, a production video platform where I helped build React features that handled large datasets, frequent updates, and user-driven workflows. That experience taught me how to keep data views responsive, manage client state cleanly, and design UI patterns that make heavy information easy to navigate.
I also worked on https://anna.money/, where TypeScript was used heavily across both the frontend and internal tooling. That project gave me deep experience working with structured types, complex API interactions, and interfaces that needed to feel polished and reliable for end users.
I have experience wrapping web apps into desktop applications with tools like Electron or Tauri. I’m comfortable handling packaging, window and menu setup, update flows, and small operating-system integrations when needed. I also care about visual and interaction details. When dealing with long-running background tasks, queues, and data processing, the UI needs to communicate state clearly so the user always understands what’s happening.
If you’re looking for someone who can own the frontend experience, work closely with your backend and design teams, build data-rich views, and deliver a desktop-ready product, I feel confident I can bring real value to the project. I’m happy to share project links with breakdowns of what I built and how I worked with the team.
Best regards,
Dachi</t>
  </si>
  <si>
    <t>https://www.upwork.com/jobs/~021991711071335129726</t>
  </si>
  <si>
    <t>Hi,
I hope you’re doing well. I had a look at your description, and I can help you get this fixed quickly.
I’ve dealt with a lot of WordPress sites that went down because of PHP errors, broken plugins, or server issues, so I’m very comfortable jumping into situations like this. I recently worked on projects like https://neuralsourcing.com/ and https://aspiring.leaders.f5capitaldebtfund.com/, where I handled everything from troubleshooting to performance improvements.
My first step will be to check the server logs and pinpoint what’s causing the downtime. Once I find the issue, I’ll patch the PHP errors, fix any connection problems, and get the site stable again. After everything is back online, I’m happy to do a quick audit so you don’t run into the same problem later.
If you can send access details, I can get started right away.
Best regards,
Dachi</t>
  </si>
  <si>
    <t>https://www.upwork.com/jobs/~021991871202769281662</t>
  </si>
  <si>
    <t>Hi,
I hope you’re doing well. I saw your description, and I can help you with both the custom Google Sheets scripting and the YouTube link issue.
I have solid experience with Google Apps Script and have built many automations inside Google Sheets, including custom functions, triggers, validation logic, and workflow tools. I’m comfortable digging into existing sheets, improving scripts, and making everything run smoothly without breaking current workflows.
I can also troubleshoot why your YouTube link isn’t behaving like the others. Usually this comes down to how the URL is formatted, how the cell is being parsed, or how the script/sheet is handling embeds or previews. I’ll identify the root cause and make sure it works consistently.
If you can share the sheet and the exact link causing the issue, I can start right away.
Best regards,
Dachi</t>
  </si>
  <si>
    <t>https://www.upwork.com/jobs/~021991958268803974742</t>
  </si>
  <si>
    <t>Hi,
I hope you’re doing well. I can help you clean up and organize your GitHub project in a clear, human way that makes your code easier to work with and maintain.
I’ve done this for many real projects, so I’m comfortable jumping into an existing repo, understanding how things are structured, and reorganizing everything without breaking functionality. I can help you tidy folders, remove unused files, simplify code where needed, and make the project feel clean and easy to navigate again. I can also rewrite commit messages, organize branches, and update your README so everything looks professional.
If you share the repo link, I can take a look and start right away.
Best regards,
Dachi</t>
  </si>
  <si>
    <t>https://www.upwork.com/jobs/~021991943213215549014</t>
  </si>
  <si>
    <t>Hi,
I hope you’re doing well. I saw your description and I can help you take your existing Chrome extension and bring it to Safari and Firefox while keeping everything stable and easy to maintain.
I have solid experience building and debugging browser extensions, including Manifest V3, and I am familiar with the WebExtensions approach that lets us reuse most of the logic across Chrome, Firefox, and Safari. For Firefox, I can adapt your current codebase, update any browser specific APIs, and make sure permissions, background scripts, and content scripts behave as expected. For Safari, I can wrap the extension properly using Xcode, handle the different packaging requirements, and test in both desktop and mobile environments.
Along the way, I can also refactor the code where it makes sense so there is a shared core and only small browser specific differences. I am happy to suggest and implement improvements for mobile usage, such as better layouts, touch friendly interactions, and performance tweaks for lower power devices.
If you would like, you can share your current repository or a sample build and I can outline a clear plan for Firefox and Safari support before we start.
Best regards,
Dachi</t>
  </si>
  <si>
    <t>https://www.upwork.com/jobs/~021992867348737328726</t>
  </si>
  <si>
    <t>Hi,
I hope you’re doing well. I read through your description and I’d be glad to help update your platform and build out the new features you need. I’ve worked extensively with WordPress, PHP, JavaScript, and front-end improvements, so I’m very comfortable stepping into an existing codebase, diagnosing issues, and delivering clean, reliable updates.
I’ve recently worked on projects such as https://neuralsourcing.com/ and https://aspiring.leaders.f5capitaldebtfund.com/, where I handled UI improvements, custom functionality, performance tuning, and overall platform updates. Because of this experience, I’m used to working on live production systems while keeping everything stable and consistent for users.
If you’re looking for someone reliable, detail-oriented, and easy to collaborate with, I’d be happy to jump in. Feel free to share details or access, and I can get started quickly.
Best regards,
Dachi</t>
  </si>
  <si>
    <t>https://www.upwork.com/jobs/~021992930129019708030</t>
  </si>
  <si>
    <t>Hi,
I hope you’re doing well. I read your requirements and I can help you build this PDF-to-Excel automation tool exactly the way you described. I’ve worked with React and Node.js on several production platforms, including projects where I integrated AI/OCR pipelines to extract structured data from messy or semi-structured documents.
For the PDF extraction, I can combine reliable OCR tools like Tesseract or Google Vision with an LLM-based layer to interpret patterns, normalize fields, and map everything into your Excel template. On the front end, I can build a clean React interface where users upload PDFs and download the processed Excel file. On the back end, Node.js will handle the parsing workflow, AI calls, data validation, and Excel generation.
I write clean, maintainable code and always keep performance, accuracy, and edge cases in mind. If you want, I can also add logging, retry logic, or expand the system later to handle more supplier formats.
I’m available to start quickly and can build the first working version fast. Feel free to share any sample PDFs or template files, and I can begin immediately.
Best regards,
Dachi</t>
  </si>
  <si>
    <r>
      <rPr>
        <rFont val="Arial"/>
        <color theme="1"/>
      </rPr>
      <t xml:space="preserve">My GitHub profile is </t>
    </r>
    <r>
      <rPr>
        <rFont val="Arial"/>
        <color rgb="FF1155CC"/>
        <u/>
      </rPr>
      <t>https://github.com/dachi-khelashvili.</t>
    </r>
  </si>
  <si>
    <t xml:space="preserve">I’ve worked on a few projects recently that are very close to what you need. In one of them, I built a PDF-to-Excel pipeline where users uploaded supplier PDFs, and the system extracted all relevant data, cleaned it up, and mapped it into a structured Excel template. I used a combination of OCR (Tesseract and Google Vision) and an LLM layer to handle tricky, semi-structured content that didn’t follow a single layout.
On the backend, I built everything with Node.js, generating Excel files with exceljs, and on the frontend I created a simple React interface where users drag in PDFs and download the processed files.
I also worked on a project that involved parsing different formats of invoices and product sheets, where AI helped interpret fields that traditional parsing couldn’t reliably detect. These workflows sound very similar to the PDF → structured template flow you’re looking for, so I’m comfortable handling both the extraction and the mapping logic.
</t>
  </si>
  <si>
    <t>https://www.upwork.com/jobs/~021992955011857577918</t>
  </si>
  <si>
    <t>Hi,
I hope you’re doing well. I read your description and this role aligns very closely with my experience and the kind of work I enjoy. I’ve spent the past several years building production React, React Native, and Next.js applications, and I’m very comfortable moving quickly using tools like Cursor and V0 while still keeping code clean and maintainable.
On the web side, I’ve worked extensively with Next.js in real-world environments, including large-scale projects like https://anna.money where I contributed to the frontend structure and component architecture. For React-focused work, I’ve built high-performance frontends in TypeScript for platforms like https://90seconds.com, collaborating with product and design teams to turn complex UI flows into polished user experiences.
I also have experience developing mobile features using React Native, keeping consistency between web and mobile while using shared design systems and reusable components. I enjoy working closely with designers, translating Figma screens into pixel-accurate components, and pushing for UI quality and speed that feels great to end users.
I work well in collaborative environments, communicate clearly, and I’m used to async communication paired with quick standups when needed. I’m also comfortable working during Gulf Standard Time or CET. My process usually involves using Cursor daily to speed up implementation, refactoring, and debugging, and I’ve used V0 to accelerate UI scaffolding before refining and customizing everything manually.
Below are examples of recent projects that represent my work:
https://anna.money – Next.js frontend
https://90seconds.com – React, TypeScript, and Node.js platform
If you’re looking for someone who can pick up ownership quickly, move fast without breaking quality, and collaborate smoothly with your design, backend, and product teams, I’d be glad to help build the next version of MENA Homes.
Best regards,
Dachi</t>
  </si>
  <si>
    <t>https://www.upwork.com/jobs/~021993006437245883080</t>
  </si>
  <si>
    <t xml:space="preserve">Hi,
I hope you’re doing well. Your project instantly stood out to me because it’s the kind of thing I actually enjoy building not another dashboard with buttons, but a real intelligent product that helps people make better decisions. That’s the type of work that feels meaningful.
I’ve been working a lot with Next.js and FastAPI, and I’ve built finance-related interfaces before. One of the projects I contributed to, https://anna.money, gave me solid experience building fast, clean user flows in Next.js and tying them into a reliable backend. On the backend side, I’ve built several FastAPI services that handle authentication, data pipelines, and automation workflows, so the stack you’re using already feels familiar to me.
I’ve also worked with Stripe on subscription systems, from simple monthly plans up to more complex billing structures. Automations are something I really enjoy too — I’ve built n8n workflows for syncing data, sending insights, and triggering AI analysis in the background. Redis is something I’ve used a lot for caching, queues, and speeding up heavy operations, so performance won’t be an issue.
You mentioned weaving AI into the product, and that’s honestly the part I’m most excited about. I’ve integrated LLM workflows into apps before, and I love the idea of using them in a way that feels helpful, not gimmicky.
This sounds like a project where I could bring real value, both technically and in the early product thinking phase. I’d love to chat and see how we can bring this idea to life.
My GitHub is here: https://github.com/dachi-khelashvili
Best regards,
Dachi
</t>
  </si>
  <si>
    <t>https://www.upwork.com/jobs/~021993030055237449662</t>
  </si>
  <si>
    <t>https://www.upwork.com/jobs/~021993035976475452030</t>
  </si>
  <si>
    <t>Hi,
I hope you’re doing well. I saw your post and I’d be glad to help with your Chrome extension.
I recently built a full Chrome extension on Upwork that injects UI elements, handles dynamic DOM changes, communicates with background scripts, and integrates API calls through Manifest v3. I’m very comfortable working with content scripts, service workers, message passing, permissions, and making sure the extension stays stable across Chrome updates.
For your project, I can help you design and build a clean, maintainable extension from the ground up and make sure it works smoothly on the latest Chrome versions. I’ll also document everything clearly so it’s easy to update or extend later.
If you want support with publishing to the Chrome Web Store or adding new features in the future, I’m happy to help there as well.
Best regards,
Dachi</t>
  </si>
  <si>
    <t>https://www.upwork.com/jobs/~021993076210331744190</t>
  </si>
  <si>
    <t>Hi,
I hope you’re doing well. I came across your job description and I’d be happy to support your team as a senior full-stack developer.
I’ve worked across multiple squads and product areas in past roles, handling both front-end and back-end development. On the frontend side, I’ve built scalable React applications such as https://90seconds.com, and I’ve also delivered production-level Next.js work like https://anna.money. My focus is always on building clean, reusable components, optimizing performance, and ensuring top-tier UI/UX quality.
On the backend, I’ve worked with Node.js, Golang, and Python to build reliable APIs, improve architecture, and handle integrations that required deep debugging and problem-solving skills. I’m comfortable supporting multiple teams, contributing to different features, and keeping development efficient and maintainable.
I’m used to collaborating closely with designers, PMs, and other engineers, and I always aim to ship stable, well-organized code that moves the product forward.
If you’d like, I can share more project details or walk you through specific examples.
Best regards,
Dachi</t>
  </si>
  <si>
    <t>https://www.upwork.com/jobs/~021993271115054883454</t>
  </si>
  <si>
    <r>
      <rPr>
        <rFont val="Arial"/>
        <color theme="1"/>
      </rPr>
      <t xml:space="preserve">Hi,
I hope you’re doing well. I came across your description and I’d love to support your team as a frontend developer focused on React, TypeScript, TailwindCSS, and modern UI patterns.
I’ve worked extensively with React in production environments, including large-scale platforms like </t>
    </r>
    <r>
      <rPr>
        <rFont val="Arial"/>
        <color rgb="FF1155CC"/>
        <u/>
      </rPr>
      <t>https://90seconds.com/</t>
    </r>
    <r>
      <rPr>
        <rFont val="Arial"/>
        <color theme="1"/>
      </rPr>
      <t xml:space="preserve">, where I was involved in building fast, responsive interfaces and maintaining complex component structures. I also have strong experience with TypeScript, TailwindCSS, and shadcn/ui from my work on </t>
    </r>
    <r>
      <rPr>
        <rFont val="Arial"/>
        <color rgb="FF1155CC"/>
        <u/>
      </rPr>
      <t>https://anna.money/</t>
    </r>
    <r>
      <rPr>
        <rFont val="Arial"/>
        <color theme="1"/>
      </rPr>
      <t>, where clean component architecture and refined UX were essential to the product.
I’m comfortable working with high-fidelity designs, implementing UI/UX best practices, and improving performance for data-heavy user flows. I enjoy taking ownership of frontend systems, making them easier to maintain, and ensuring they scale well as user traffic grows — exactly what your team is aiming to achieve as you onboard larger clients.
If you’d like to discuss more or review specific examples, I’m happy to share additional details and walk through my thought process for structuring a smooth and reliable UI.
Best regards,
Dachi</t>
    </r>
  </si>
  <si>
    <t>I treat AI tools like a senior pair-programmer, not a code generator.
They help me move faster, but I never copy anything blindly.
I usually break tasks into small pieces, let the AI draft an idea or function, then I rewrite or refine it so it fits the project’s architecture, naming conventions, and patterns. I rely heavily on TypeScript, linting, tests, and my own review to make sure nothing slips through.
AI helps shorten the exploration stage, but the final code is always intentionally written and cleaned by me.</t>
  </si>
  <si>
    <t>One of the most interesting projects I worked on was at 90seconds.com, where I helped build parts of their video workflow using React and TypeScript. I worked on the upload experience, processing states, and performance improvements for large media files and which required a mix of creative UI thinking and technical problem-solving.</t>
  </si>
  <si>
    <r>
      <rPr>
        <rFont val="Arial"/>
        <color theme="1"/>
      </rPr>
      <t xml:space="preserve">GitHub - </t>
    </r>
    <r>
      <rPr>
        <rFont val="Arial"/>
        <color rgb="FF1155CC"/>
        <u/>
      </rPr>
      <t xml:space="preserve">https://github.com/dachi-khelashvili
</t>
    </r>
    <r>
      <rPr>
        <rFont val="Arial"/>
        <color theme="1"/>
      </rPr>
      <t>Portfolio - https://90seconds.com/
             https://anna.money/</t>
    </r>
  </si>
  <si>
    <t>Lately I’ve been diving deeper into how to structure large applications in a cleaner, more maintainable way, especially with modern React patterns and server components. I’ve also been experimenting with building my own small AI tools, just personal utilities to speed up my workflow.
Outside of coding, I’ve been learning more about fitness and nutrition, which helps balance long work days.</t>
  </si>
  <si>
    <t>https://www.upwork.com/jobs/~021993302543901696638</t>
  </si>
  <si>
    <r>
      <rPr>
        <rFont val="Arial"/>
        <color theme="1"/>
      </rPr>
      <t xml:space="preserve">Hi,
I hope you’re doing well. I saw your project and I can help you with this easily.
I’ve worked on interfaces for video-centric platforms before, including </t>
    </r>
    <r>
      <rPr>
        <rFont val="Arial"/>
        <color rgb="FF1155CC"/>
        <u/>
      </rPr>
      <t>https://90seconds.com/</t>
    </r>
    <r>
      <rPr>
        <rFont val="Arial"/>
        <color theme="1"/>
      </rPr>
      <t xml:space="preserve"> where I contributed to UI components and workflows around video creation, uploads, and project management, and </t>
    </r>
    <r>
      <rPr>
        <rFont val="Arial"/>
        <color rgb="FF1155CC"/>
        <u/>
      </rPr>
      <t>https://pockittv.com/</t>
    </r>
    <r>
      <rPr>
        <rFont val="Arial"/>
        <color theme="1"/>
      </rPr>
      <t xml:space="preserve"> which involves a more technical video-processing environment. Because of that, I’m already familiar with how AI-assisted video tools, timelines, previews, and order/tracking flows typically fit together in a clean product experience.
For your project, I can study your current theme, match your visual language, and create a mockup of 4–6 screens that feels like a natural extension of your brand. I focus on usability first, making sure the UI feels intuitive for both internal teams and eventually for your 100k+ users when it moves to production.
I’m happy to share a portfolio and explain my exact role in previous projects, along with how I approach designing tools that involve video generation, tracking, and status workflows.
If you’d like, I can start with a quick review of your current site and create a first draft layout to make sure we’re aligned on direction.
Best regards,
Dachi</t>
    </r>
  </si>
  <si>
    <t>https://www.upwork.com/jobs/~021993304656337313002</t>
  </si>
  <si>
    <r>
      <rPr>
        <rFont val="Arial"/>
        <color theme="1"/>
      </rPr>
      <t xml:space="preserve">Hi,
I hope you’re doing well.
I checked out </t>
    </r>
    <r>
      <rPr>
        <rFont val="Arial"/>
        <color rgb="FF1155CC"/>
        <u/>
      </rPr>
      <t>GivingTech.org</t>
    </r>
    <r>
      <rPr>
        <rFont val="Arial"/>
        <color theme="1"/>
      </rPr>
      <t xml:space="preserve"> and I can definitely help you move the entire site into WordPress while keeping the look and structure exactly the same. I’ve done similar conversions before, including sites like </t>
    </r>
    <r>
      <rPr>
        <rFont val="Arial"/>
        <color rgb="FF1155CC"/>
        <u/>
      </rPr>
      <t>https://neuralsourcing.com/</t>
    </r>
    <r>
      <rPr>
        <rFont val="Arial"/>
        <color theme="1"/>
      </rPr>
      <t xml:space="preserve"> and </t>
    </r>
    <r>
      <rPr>
        <rFont val="Arial"/>
        <color rgb="FF1155CC"/>
        <u/>
      </rPr>
      <t>https://aspiring.leaders.f5capitaldebtfund.com/</t>
    </r>
    <r>
      <rPr>
        <rFont val="Arial"/>
        <color theme="1"/>
      </rPr>
      <t>, where the goal was to take an existing layout and rebuild it in WordPress so everything became fully editable without changing the visual design.
For your project, I’d recreate every page inside WordPress, set up clean templates, and make sure you have full CMS control over all text, images, and layout sections. I can also take care of the multilingual part and set up proper right-to-left support so both language versions work smoothly.
If you can share roughly how many pages there are or if you plan to keep all current content, I can give you a clear timeline and estimate. Happy to start whenever you’re ready.
Best regards,
Dachi</t>
    </r>
  </si>
  <si>
    <t>https://www.upwork.com/jobs/~021993332374105723592</t>
  </si>
  <si>
    <r>
      <rPr/>
      <t xml:space="preserve">Hi,
I hope you’re doing well.
I went through your description, and this is exactly the type of Shopify project I enjoy working on. You’re building a premium diamond and engagement ring experience, and the heavy focus on API-driven inventory, live search, and a smooth ring-builder feels like a perfect match for my background.
I’ve worked on advanced Shopify builds before, including stores like </t>
    </r>
    <r>
      <rPr>
        <color rgb="FF1155CC"/>
        <u/>
      </rPr>
      <t>https://seaislandcoffee.com/</t>
    </r>
    <r>
      <rPr/>
      <t xml:space="preserve"> and </t>
    </r>
    <r>
      <rPr>
        <color rgb="FF1155CC"/>
        <u/>
      </rPr>
      <t>https://pratesi.com/</t>
    </r>
    <r>
      <rPr/>
      <t>, where performance, custom logic, and clean UX were critical. I’m very comfortable building deep integrations between Shopify and external APIs, handling large datasets, and creating dynamic product experiences that don’t rely on traditional Shopify product imports.
For your platform, I can handle the IGI Diamond API integration end-to-end, including fetching live diamond data, syncing availability, and displaying thousands of results instantly with a fast search interface. I’ve also built complex configurators before, so creating a ring builder that lets users choose a setting, pick a diamond, preview everything live, and add a complete custom ring to the cart is something I can deliver confidently.
I understand how important it is for this kind of store to feel premium, fast, and absolutely smooth. I’d be happy to walk you through how I’d architect the integration and the best approach to make the UI feel as refined as the examples you mentioned.
If this sounds good, I’d love to discuss the details and get started.
Best regards,
Dachi</t>
    </r>
  </si>
  <si>
    <t>Yes, I’ve worked on advanced Shopify stores that required custom product logic, API integrations, and luxury-grade UI/UX. While my previous projects were not specifically for jewellery, I’ve handled similar complexity in high-end Shopify builds like https://seaislandcoffee.com/ and https://pratesi.com/, where custom filtering, dynamic product rendering, and performance optimization were essential.
I’m fully comfortable building complex API-driven product experiences, custom configurators, and high-ticket ecommerce flows, which aligns closely with what a premium diamond and ring-builder store requires.</t>
  </si>
  <si>
    <t>https://www.upwork.com/jobs/~021993380220595049160</t>
  </si>
  <si>
    <r>
      <rPr>
        <rFont val="Arial"/>
        <color theme="1"/>
      </rPr>
      <t xml:space="preserve">Hi,
I hope you’re doing well. I took a close look at your description and I can help you rebuild this onboarding dashboard in WeWeb with clean, accurate, and fully responsive layouts.
I’ve handled similar front-end work before on projects like </t>
    </r>
    <r>
      <rPr>
        <rFont val="Arial"/>
        <color rgb="FF1155CC"/>
        <u/>
      </rPr>
      <t>https://90seconds.com/</t>
    </r>
    <r>
      <rPr>
        <rFont val="Arial"/>
        <color theme="1"/>
      </rPr>
      <t xml:space="preserve"> and also worked on polished UI systems like the ones used at </t>
    </r>
    <r>
      <rPr>
        <rFont val="Arial"/>
        <color rgb="FF1155CC"/>
        <u/>
      </rPr>
      <t>https://anna.money/</t>
    </r>
    <r>
      <rPr>
        <rFont val="Arial"/>
        <color theme="1"/>
      </rPr>
      <t>, so I’m very comfortable taking a high-fidelity design and turning it into a clean WeWeb build. I can recreate your page using proper flexbox structure, reusable components, linked styles, and a clean naming system without absolute-positioning shortcuts.
I’ll use your Tailwind/HTML source to match spacing, colors, and typography exactly, and I’ll make sure the sidebar, header, and form sections are built so they can be reused easily throughout the app. The page will be fully responsive across desktop, tablet, and mobile, with everything stacking correctly.
For your questions: I’ve worked extensively with WeWeb, I can deliver a complex page like this in about one to two days, and I’m flexible on cost depending on whether you prefer hourly or a fixed rate.
I’d be happy to start with a quick session or begin the build right away. Just let me know what works best.
Best regards,
Dachi</t>
    </r>
  </si>
  <si>
    <t>https://www.upwork.com/jobs/~021993443399639431102</t>
  </si>
  <si>
    <t>Hi,
I hope you’re doing well. I read through your summary and the role is very aligned with what I’ve been doing recently across full-stack TypeScript, backend architecture, and AI-powered development.
I’ve worked extensively with TypeScript in both frontend and backend environments, especially on projects like https://90seconds.com where I built React components and TypeScript services, and on https://anna.money where I contributed to Next.js, API integration, and a strongly typed codebase focused on reliability and maintainability. I’m very comfortable structuring scalable services in NestJS as well, since I’ve implemented backend modules, API endpoints, Swagger/OpenAPI documentation, and clean service-controller patterns across multiple projects.
On the frontend, I enjoy building clean, reusable interfaces with React and ensuring that data flows are predictable, well-typed, and easy to maintain. I move smoothly across the stack, but I tend to naturally take the lead on backend architecture, API design, and data-driven functionality.
I’ve also worked with AWS for deployments, environment setup, and lambda-based workflows, and I’m comfortable with CI/CD pipelines for automated testing and deployment. AI-assisted tools like Cursor and Copilot are part of my daily workflow and help me speed up repetitive tasks while still keeping the codebase clean and maintainable.
If you’d like someone who can handle architecture, build out TypeScript-first services, and still deliver polished UI work, I’d be happy to help.
Best regards,
Dachi</t>
  </si>
  <si>
    <t>https://www.upwork.com/jobs/~021998890161340505581</t>
  </si>
  <si>
    <t>Hi,
I’d love to help you bring this project to a stable, deployment-ready state. I have deep experience working inside existing full-stack systems, tightening UI/UX, resolving complex multi-user logic issues, and preparing applications for both web and mobile environments.
My background includes senior-level work across React, Node/Express, PostgreSQL, authentication systems, and AI-powered features. I’ve built and stabilized production apps such as https://squaresigns.com and AI-integrated platforms like https://oppizi.com, where I handled backend logic, debugging, feature refinement, and deployment workflows.
I’m very comfortable stepping into an existing codebase, understanding the architecture quickly, and resolving high-precision bugs such as broken onboarding flows, inconsistent server responses, token misalignment, race conditions, or UI rendering issues. Debugging multi-user ecosystems is one of my strengths, and I’m also familiar with preparing apps for deployment across Vercel, Render, or similar environments.
If you’re looking for someone who can move fast, communicate clearly, and cleanly finish the “last mile” needed to ship your app confidently, I’d be a great fit. I can begin immediately and work independently with minimal direction.
Warm regards,
AntToni</t>
  </si>
  <si>
    <t>Gmails</t>
  </si>
  <si>
    <t>Ryan</t>
  </si>
  <si>
    <t>Akira</t>
  </si>
  <si>
    <t>Reid</t>
  </si>
  <si>
    <t>Mark</t>
  </si>
  <si>
    <t>Hector</t>
  </si>
  <si>
    <t>Mike</t>
  </si>
  <si>
    <t>Vianney</t>
  </si>
  <si>
    <t>Erik</t>
  </si>
  <si>
    <t>Thomas</t>
  </si>
  <si>
    <t>jackson1990919@gmail.com</t>
  </si>
  <si>
    <t>akira.tanak493571@gmail.com</t>
  </si>
  <si>
    <r>
      <rPr>
        <color rgb="FF1155CC"/>
        <u/>
      </rPr>
      <t>reid.al</t>
    </r>
    <r>
      <rPr/>
      <t>.harrisson@gmail.com</t>
    </r>
  </si>
  <si>
    <t>mike0304taylor@gmail.com</t>
  </si>
  <si>
    <t>U2FsdGVkX19Gcncc69arR+aXV43iLG/1w53NQUvEjto=</t>
  </si>
  <si>
    <t>U2FsdGVkX1/qq3hqdo4gUAz/qxhBNzs/v3kS2Sn02azST/Awg0lSORZ35ELdWAKB</t>
  </si>
  <si>
    <t>U2FsdGVkX18Owd1ad+KPOXPvOn0J6IAKkRoHfLUihbo=</t>
  </si>
  <si>
    <t>U2FsdGVkX1+AF5PvBxlF9eslBBlISuuDpgZsy3bDAmk=</t>
  </si>
  <si>
    <t>U2FsdGVkX18+fyNmaSl9EYtosnd9SHTZbVJZOKNBYpvv0Ol8sR5KMfVzFeMjffdC</t>
  </si>
  <si>
    <t>U2FsdGVkX1+Rbm/Ksz61DG2GKPwfNhgk8ak/DRJebls=</t>
  </si>
  <si>
    <t>U2FsdGVkX19B4nA7uBT6E7LEZvrmw8TkGAghVzIxDaE=</t>
  </si>
  <si>
    <t>U2FsdGVkX1/N9FqORN9VOey9NMX7MCqsXcUT+Enwu/OIGbAI5D782FzmBDnNqRbG</t>
  </si>
  <si>
    <t>Chrome Remote Desktop</t>
  </si>
  <si>
    <t>Backup</t>
  </si>
  <si>
    <t>BackUp</t>
  </si>
  <si>
    <t>FileWorld</t>
  </si>
  <si>
    <t>Payoneer</t>
  </si>
  <si>
    <t>Upwork</t>
  </si>
  <si>
    <t>911Proxy</t>
  </si>
  <si>
    <t>U2FsdGVkX1/pDC2uuhYcJp6tuZycg8C6uQiBHc0VVtb+ABh0ECLDG9+yNVUZp/he/HVro3PDkoVTDUUhCqQfgOVv9Pwa3DYfQnYOrfWXnW06uqA+bCHLzNMOFDDgBhtFe2cR4hIcGrunl6e2bg4dIcTjqzeiMx63lxYvGzaImpw=</t>
  </si>
  <si>
    <t>U2FsdGVkX1+0gWK1pef/rp3JQSJQfUgZysAxIbUj0hwIbX5JhWkifDOPGRyyG4dOyVYyUZ324+F1+cq495UK56sTQRpctG/TA/c1E0rx5d5IqsaSwZW4yRzigcUm0dmkI+ar/UdD00aLyH53EzeJWw==</t>
  </si>
  <si>
    <t>U2FsdGVkX1/eyXiM5Vv6JGjRcR2ad67DBNAYC7x6SVi0rFYccifghQWyz3mCD/qfWo3qmTfv4Gtu9hbreabDKaELEh2675MRj5P02yXqOe5DeM2V8VCqRMhorqxuYyUOxOsWYhbPCKSo+gJOyMJtB0CjHGrcBkPO6Zr+ayxZino=</t>
  </si>
  <si>
    <t>U2FsdGVkX18k7DkIVjLdOPYSTDkc2pSetJV3j7JODlEaoQgQipZ0PW13ijP+pPRoKcx5CvFwAJL8reirVeEGSRM5zWtJnQU/MtN4EFYf0pNnjJZUcwbMVVSNvoB+p1EnBsGFG6UV9W15/f9DYliD9Hs0c37P5gMvit5kwnwRY7A=</t>
  </si>
  <si>
    <t>U2FsdGVkX19yUH1iSMN5uqUQQ3vDxdQJwnqLIJ6FhrMNBpICR2yZ7a50FD7vfjF2ckljItzt6UHibCEktT9CJUgDbYBH+ka6/5wq9YAAgCWcM8Z8XVFHYUw4dtEyHjCBSr/VGNK27XkpzcxUoZL8cnUYPH6NTnt5H2XPz9/14/A=</t>
  </si>
  <si>
    <t>DaisySMS</t>
  </si>
  <si>
    <t>https://g.co/2sv</t>
  </si>
  <si>
    <t>U2FsdGVkX18GVBYj8/PWMF5dwVDRgDyjI46gVfvZeV4NWGs51bpms+VxB+PhXgfT6Phrxqy5863emUdB1lL1N1/R6FFFWmUuwcWbDisGiQzLD5kG8OgNMmdIl1BFqRlYrGvKeBj6KHHGDEZalQAuJ4dYnXoEIOQiUNb2ozTiKwI=</t>
  </si>
  <si>
    <t>U2FsdGVkX19mbZtwQIzkO8VZpuzIEO/LfpaE5IA7exU7GsFo+49YbKtgfZpxsbe4TCt6P3up8sCv5pzJuGkJJ6m+RMGC2WUDi+5kZ0CQFUqUeDxX7eH/T7zykQf8m4sETRZGnGXfHoN6icyssVkfFOZ03huQh6sKvg9kwWWa2r4=</t>
  </si>
  <si>
    <t>U2FsdGVkX1/cyttWDWSkriHsRnZ0GWzId/VHjj58nuXikJ3JL0iLDe/SSbdobFCEo1EAbH+pOTvue6MmR32PlRR7PWriUZyDD/pDMRTjJOmY84WoUVhHVj2/Ijn+W9bK7Q7nS3Gd76DBoOgNciA4fn97QhSVd3O7qPa2ZctDsmI=</t>
  </si>
  <si>
    <t>TextVerifed</t>
  </si>
  <si>
    <t>Cursor</t>
  </si>
  <si>
    <t>Wallet</t>
  </si>
  <si>
    <t>U2FsdGVkX183CKtUg1N/g8DEE8iMRxnaakg+kzWYlUK156mRk7Jz/XUWB3Fz0vMurBVf6Ck5ukXxtkwkZqr32mrAqVQW0MRvzodmUDrBjUNlAORAcMyPXB9a36zZs9NF</t>
  </si>
  <si>
    <t>U2FsdGVkX19Bf5tPxYp4ZMkAll8GjwjzOsJneD2XISCbqgXAXY/xcqanqge7LWQvn6vw7yefir8+DwONQDTnzgYxAZrrEpdYCiuNg/ylaBUuKx4RWsnNK2fPdrcAGfbW/SPgsiOUe973VJCymw5jrliPzMVqaacQvPBXFs+J+6E=</t>
  </si>
  <si>
    <t>Chatgpt</t>
  </si>
  <si>
    <t>Astrill</t>
  </si>
  <si>
    <t>vectorlab919@gmail.com</t>
  </si>
  <si>
    <t>U2FsdGVkX1/n+eMZzqD1mn9KPl8+OnccBqqhM9tIRIQ=</t>
  </si>
  <si>
    <t>Whatsapp</t>
  </si>
  <si>
    <t>U2FsdGVkX180LVqZfRVdtTExyAak4OAm+0zS8a3Zeg0=</t>
  </si>
  <si>
    <t>1 (606) 220-5994</t>
  </si>
  <si>
    <t>1 (214) 377-1392</t>
  </si>
  <si>
    <t>hector3621</t>
  </si>
  <si>
    <t>vector0919</t>
  </si>
  <si>
    <t>Outlook</t>
  </si>
  <si>
    <t>viannymorain@outlook.com</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</si>
</sst>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0"/>
    <numFmt numFmtId="165" formatCode="yyyy/m/d"/>
    <numFmt numFmtId="166" formatCode="yyyy-mm-dd"/>
    <numFmt numFmtId="167" formatCode="&quot;$&quot;#,##0"/>
    <numFmt numFmtId="168" formatCode="mmm d yyyy"/>
    <numFmt numFmtId="169" formatCode="M/d/yyyy"/>
    <numFmt numFmtId="170" formatCode="00"/>
    <numFmt numFmtId="171" formatCode="01"/>
  </numFmts>
  <fonts count="47">
    <font>
      <sz val="10.0"/>
      <color rgb="FF000000"/>
      <name val="Arial"/>
      <scheme val="minor"/>
    </font>
    <font>
      <color rgb="FF000000"/>
      <name val="Arial"/>
    </font>
    <font>
      <color theme="1"/>
      <name val="Arial"/>
    </font>
    <font>
      <color rgb="FF000000"/>
      <name val="Arial"/>
      <scheme val="minor"/>
    </font>
    <font>
      <sz val="11.0"/>
      <color theme="1"/>
      <name val="Inherit"/>
    </font>
    <font>
      <b/>
      <color theme="1"/>
      <name val="Arial"/>
    </font>
    <font>
      <sz val="12.0"/>
      <color theme="1"/>
      <name val="Arial"/>
    </font>
    <font>
      <sz val="12.0"/>
      <color theme="1"/>
      <name val="&quot;gg sans&quot;"/>
    </font>
    <font>
      <sz val="11.0"/>
      <color theme="1"/>
      <name val="&quot;gg sans&quot;"/>
    </font>
    <font>
      <sz val="12.0"/>
      <color theme="1"/>
      <name val="Inherit"/>
    </font>
    <font>
      <u/>
      <sz val="11.0"/>
      <color theme="1"/>
      <name val="Inherit"/>
    </font>
    <font>
      <u/>
      <sz val="11.0"/>
      <color theme="1"/>
      <name val="&quot;gg sans&quot;"/>
    </font>
    <font>
      <u/>
      <sz val="11.0"/>
      <color theme="1"/>
      <name val="Arial"/>
    </font>
    <font>
      <sz val="11.0"/>
      <color theme="1"/>
      <name val="Arial"/>
    </font>
    <font>
      <color theme="1"/>
      <name val="Arial"/>
      <scheme val="minor"/>
    </font>
    <font>
      <sz val="11.0"/>
      <color rgb="FF222325"/>
      <name val="Macan"/>
    </font>
    <font>
      <u/>
      <color rgb="FF0000FF"/>
    </font>
    <font>
      <u/>
      <color rgb="FF0000FF"/>
    </font>
    <font>
      <u/>
      <color rgb="FF0000FF"/>
    </font>
    <font>
      <u/>
      <color theme="1"/>
      <name val="Arial"/>
    </font>
    <font>
      <u/>
      <color rgb="FF0000FF"/>
    </font>
    <font>
      <u/>
      <color rgb="FF0000FF"/>
    </font>
    <font>
      <u/>
      <color rgb="FF0000FF"/>
    </font>
    <font>
      <u/>
      <color rgb="FF0000FF"/>
    </font>
    <font>
      <sz val="10.0"/>
      <color theme="1"/>
      <name val="Arial"/>
    </font>
    <font>
      <u/>
      <color rgb="FF0000FF"/>
    </font>
    <font>
      <u/>
      <color rgb="FF0000FF"/>
    </font>
    <font>
      <u/>
      <sz val="11.0"/>
      <color rgb="FF0000FF"/>
    </font>
    <font>
      <u/>
      <color rgb="FF0000FF"/>
      <name val="Arial"/>
    </font>
    <font>
      <sz val="10.0"/>
      <color theme="1"/>
      <name val="Arial"/>
      <scheme val="minor"/>
    </font>
    <font>
      <u/>
      <sz val="10.0"/>
      <color rgb="FF0000FF"/>
    </font>
    <font>
      <u/>
      <sz val="10.0"/>
      <color theme="1"/>
    </font>
    <font>
      <u/>
      <color rgb="FF0000FF"/>
    </font>
    <font>
      <u/>
      <color rgb="FF0000FF"/>
    </font>
    <font>
      <color rgb="FF1F1F1F"/>
      <name val="&quot;Google Sans Text&quot;"/>
    </font>
    <font>
      <color rgb="FF000000"/>
      <name val="-apple-system"/>
    </font>
    <font>
      <u/>
      <color rgb="FF0000FF"/>
    </font>
    <font>
      <u/>
      <color rgb="FF0000FF"/>
    </font>
    <font>
      <u/>
      <color rgb="FF1155CC"/>
      <name val="Arial"/>
      <scheme val="minor"/>
    </font>
    <font>
      <sz val="11.0"/>
      <color rgb="FF000000"/>
      <name val="Arial"/>
    </font>
    <font>
      <sz val="11.0"/>
      <color rgb="FF000000"/>
      <name val="Inter"/>
    </font>
    <font>
      <u/>
      <color rgb="FF0000FF"/>
    </font>
    <font>
      <u/>
      <color rgb="FF0000FF"/>
    </font>
    <font>
      <u/>
      <color theme="1"/>
      <name val="Arial"/>
    </font>
    <font>
      <u/>
      <color rgb="FFFF0000"/>
    </font>
    <font>
      <u/>
      <color rgb="FF0000FF"/>
    </font>
    <font>
      <u/>
      <color rgb="FF000000"/>
      <name val="Arial"/>
    </font>
  </fonts>
  <fills count="6">
    <fill>
      <patternFill patternType="none"/>
    </fill>
    <fill>
      <patternFill patternType="lightGray"/>
    </fill>
    <fill>
      <patternFill patternType="solid">
        <fgColor rgb="FFFFFFFF"/>
        <bgColor rgb="FFFFFFFF"/>
      </patternFill>
    </fill>
    <fill>
      <patternFill patternType="solid">
        <fgColor rgb="FFB6D7A8"/>
        <bgColor rgb="FFB6D7A8"/>
      </patternFill>
    </fill>
    <fill>
      <patternFill patternType="solid">
        <fgColor rgb="FFD9EAD3"/>
        <bgColor rgb="FFD9EAD3"/>
      </patternFill>
    </fill>
    <fill>
      <patternFill patternType="solid">
        <fgColor rgb="FFF4CCCC"/>
        <bgColor rgb="FFF4CCCC"/>
      </patternFill>
    </fill>
  </fills>
  <borders count="1">
    <border/>
  </borders>
  <cellStyleXfs count="1">
    <xf borderId="0" fillId="0" fontId="0" numFmtId="0" applyAlignment="1" applyFont="1"/>
  </cellStyleXfs>
  <cellXfs count="163">
    <xf borderId="0" fillId="0" fontId="0" numFmtId="0" xfId="0" applyAlignment="1" applyFont="1">
      <alignment readingOrder="0" shrinkToFit="0" vertical="bottom" wrapText="0"/>
    </xf>
    <xf borderId="0" fillId="0" fontId="1" numFmtId="164" xfId="0" applyAlignment="1" applyFont="1" applyNumberForma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1" numFmtId="0" xfId="0" applyAlignment="1" applyFont="1">
      <alignment horizontal="left" shrinkToFit="0" vertical="center" wrapText="0"/>
    </xf>
    <xf borderId="0" fillId="0" fontId="1" numFmtId="164" xfId="0" applyAlignment="1" applyFont="1" applyNumberFormat="1">
      <alignment shrinkToFit="0" vertical="center" wrapText="0"/>
    </xf>
    <xf borderId="0" fillId="0" fontId="1" numFmtId="164" xfId="0" applyAlignment="1" applyFont="1" applyNumberFormat="1">
      <alignment shrinkToFit="0" vertical="center" wrapText="0"/>
    </xf>
    <xf borderId="0" fillId="0" fontId="2" numFmtId="0" xfId="0" applyAlignment="1" applyFont="1">
      <alignment shrinkToFit="0" vertical="center" wrapText="0"/>
    </xf>
    <xf borderId="0" fillId="0" fontId="1" numFmtId="165" xfId="0" applyAlignment="1" applyFont="1" applyNumberFormat="1">
      <alignment horizontal="left" shrinkToFit="0" vertical="center" wrapText="0"/>
    </xf>
    <xf borderId="0" fillId="0" fontId="1" numFmtId="165" xfId="0" applyAlignment="1" applyFont="1" applyNumberFormat="1">
      <alignment shrinkToFit="0" vertical="center" wrapText="0"/>
    </xf>
    <xf borderId="0" fillId="0" fontId="2" numFmtId="0" xfId="0" applyAlignment="1" applyFont="1">
      <alignment vertical="center"/>
    </xf>
    <xf borderId="0" fillId="0" fontId="3" numFmtId="0" xfId="0" applyAlignment="1" applyFont="1">
      <alignment shrinkToFit="0" vertical="center" wrapText="0"/>
    </xf>
    <xf borderId="0" fillId="0" fontId="4" numFmtId="0" xfId="0" applyAlignment="1" applyFont="1">
      <alignment horizontal="left" shrinkToFit="0" vertical="center" wrapText="0"/>
    </xf>
    <xf borderId="0" fillId="0" fontId="5" numFmtId="0" xfId="0" applyAlignment="1" applyFont="1">
      <alignment shrinkToFit="0" vertical="center" wrapText="0"/>
    </xf>
    <xf borderId="0" fillId="0" fontId="6" numFmtId="0" xfId="0" applyAlignment="1" applyFont="1">
      <alignment horizontal="left" shrinkToFit="0" vertical="center" wrapText="0"/>
    </xf>
    <xf borderId="0" fillId="0" fontId="7" numFmtId="0" xfId="0" applyAlignment="1" applyFont="1">
      <alignment horizontal="left" vertical="center"/>
    </xf>
    <xf borderId="0" fillId="0" fontId="3" numFmtId="0" xfId="0" applyAlignment="1" applyFont="1">
      <alignment horizontal="left" shrinkToFit="0" vertical="center" wrapText="0"/>
    </xf>
    <xf borderId="0" fillId="0" fontId="8" numFmtId="0" xfId="0" applyAlignment="1" applyFont="1">
      <alignment horizontal="left" vertical="center"/>
    </xf>
    <xf borderId="0" fillId="0" fontId="4" numFmtId="0" xfId="0" applyAlignment="1" applyFont="1">
      <alignment horizontal="left" vertical="center"/>
    </xf>
    <xf borderId="0" fillId="0" fontId="9" numFmtId="0" xfId="0" applyAlignment="1" applyFont="1">
      <alignment horizontal="left" vertical="center"/>
    </xf>
    <xf borderId="0" fillId="0" fontId="2" numFmtId="0" xfId="0" applyAlignment="1" applyFont="1">
      <alignment horizontal="left" vertical="center"/>
    </xf>
    <xf borderId="0" fillId="0" fontId="10" numFmtId="0" xfId="0" applyAlignment="1" applyFont="1">
      <alignment horizontal="left" vertical="center"/>
    </xf>
    <xf borderId="0" fillId="0" fontId="11" numFmtId="0" xfId="0" applyAlignment="1" applyFont="1">
      <alignment horizontal="left" vertical="center"/>
    </xf>
    <xf borderId="0" fillId="0" fontId="12" numFmtId="0" xfId="0" applyAlignment="1" applyFont="1">
      <alignment horizontal="left" vertical="center"/>
    </xf>
    <xf borderId="0" fillId="0" fontId="7" numFmtId="0" xfId="0" applyFont="1"/>
    <xf borderId="0" fillId="0" fontId="13" numFmtId="0" xfId="0" applyAlignment="1" applyFont="1">
      <alignment horizontal="left" vertical="center"/>
    </xf>
    <xf borderId="0" fillId="0" fontId="14" numFmtId="0" xfId="0" applyAlignment="1" applyFont="1">
      <alignment horizontal="left"/>
    </xf>
    <xf borderId="0" fillId="0" fontId="2" numFmtId="0" xfId="0" applyAlignment="1" applyFont="1">
      <alignment horizontal="left"/>
    </xf>
    <xf borderId="0" fillId="0" fontId="1" numFmtId="165" xfId="0" applyAlignment="1" applyFont="1" applyNumberFormat="1">
      <alignment readingOrder="0" shrinkToFit="0" vertical="center" wrapText="0"/>
    </xf>
    <xf borderId="0" fillId="0" fontId="14" numFmtId="0" xfId="0" applyAlignment="1" applyFont="1">
      <alignment horizontal="left" readingOrder="0"/>
    </xf>
    <xf borderId="0" fillId="0" fontId="4" numFmtId="0" xfId="0" applyAlignment="1" applyFont="1">
      <alignment horizontal="left" readingOrder="0" vertical="top"/>
    </xf>
    <xf borderId="0" fillId="0" fontId="8" numFmtId="0" xfId="0" applyAlignment="1" applyFont="1">
      <alignment horizontal="left" readingOrder="0"/>
    </xf>
    <xf borderId="0" fillId="0" fontId="7" numFmtId="0" xfId="0" applyAlignment="1" applyFont="1">
      <alignment readingOrder="0"/>
    </xf>
    <xf borderId="0" fillId="0" fontId="14" numFmtId="164" xfId="0" applyAlignment="1" applyFont="1" applyNumberFormat="1">
      <alignment readingOrder="0"/>
    </xf>
    <xf borderId="0" fillId="0" fontId="14" numFmtId="164" xfId="0" applyAlignment="1" applyFont="1" applyNumberFormat="1">
      <alignment horizontal="left" readingOrder="0"/>
    </xf>
    <xf borderId="0" fillId="0" fontId="15" numFmtId="0" xfId="0" applyAlignment="1" applyFont="1">
      <alignment horizontal="left" readingOrder="0"/>
    </xf>
    <xf borderId="0" fillId="0" fontId="2" numFmtId="0" xfId="0" applyAlignment="1" applyFont="1">
      <alignment horizontal="left" readingOrder="0" shrinkToFit="0" vertical="center" wrapText="1"/>
    </xf>
    <xf borderId="0" fillId="0" fontId="14" numFmtId="164" xfId="0" applyAlignment="1" applyFont="1" applyNumberFormat="1">
      <alignment readingOrder="0"/>
    </xf>
    <xf borderId="0" fillId="0" fontId="14" numFmtId="164" xfId="0" applyAlignment="1" applyFont="1" applyNumberFormat="1">
      <alignment readingOrder="0" vertical="center"/>
    </xf>
    <xf borderId="0" fillId="0" fontId="14" numFmtId="0" xfId="0" applyAlignment="1" applyFont="1">
      <alignment readingOrder="0" vertical="center"/>
    </xf>
    <xf borderId="0" fillId="0" fontId="14" numFmtId="0" xfId="0" applyAlignment="1" applyFont="1">
      <alignment vertical="center"/>
    </xf>
    <xf borderId="0" fillId="0" fontId="14" numFmtId="0" xfId="0" applyAlignment="1" applyFont="1">
      <alignment readingOrder="0"/>
    </xf>
    <xf borderId="0" fillId="0" fontId="14" numFmtId="164" xfId="0" applyAlignment="1" applyFont="1" applyNumberFormat="1">
      <alignment readingOrder="0" vertical="center"/>
    </xf>
    <xf borderId="0" fillId="0" fontId="14" numFmtId="165" xfId="0" applyAlignment="1" applyFont="1" applyNumberFormat="1">
      <alignment readingOrder="0"/>
    </xf>
    <xf borderId="0" fillId="0" fontId="14" numFmtId="164" xfId="0" applyFont="1" applyNumberFormat="1"/>
    <xf borderId="0" fillId="0" fontId="14" numFmtId="164" xfId="0" applyFont="1" applyNumberFormat="1"/>
    <xf borderId="0" fillId="0" fontId="2" numFmtId="0" xfId="0" applyAlignment="1" applyFont="1">
      <alignment horizontal="left" shrinkToFit="0" vertical="center" wrapText="1"/>
    </xf>
    <xf borderId="0" fillId="0" fontId="2" numFmtId="0" xfId="0" applyAlignment="1" applyFont="1">
      <alignment horizontal="right" shrinkToFit="0" vertical="center" wrapText="1"/>
    </xf>
    <xf borderId="0" fillId="0" fontId="14" numFmtId="0" xfId="0" applyAlignment="1" applyFont="1">
      <alignment readingOrder="0" shrinkToFit="0" vertical="center" wrapText="0"/>
    </xf>
    <xf borderId="0" fillId="0" fontId="2" numFmtId="165" xfId="0" applyAlignment="1" applyFont="1" applyNumberFormat="1">
      <alignment horizontal="right" readingOrder="0" shrinkToFit="0" vertical="center" wrapText="1"/>
    </xf>
    <xf borderId="0" fillId="0" fontId="16" numFmtId="0" xfId="0" applyAlignment="1" applyFont="1">
      <alignment readingOrder="0" shrinkToFit="0" vertical="center" wrapText="0"/>
    </xf>
    <xf borderId="0" fillId="0" fontId="14" numFmtId="0" xfId="0" applyAlignment="1" applyFont="1">
      <alignment readingOrder="0" shrinkToFit="0" vertical="center" wrapText="1"/>
    </xf>
    <xf borderId="0" fillId="0" fontId="14" numFmtId="0" xfId="0" applyAlignment="1" applyFont="1">
      <alignment shrinkToFit="0" vertical="center" wrapText="0"/>
    </xf>
    <xf borderId="0" fillId="0" fontId="14" numFmtId="0" xfId="0" applyAlignment="1" applyFont="1">
      <alignment horizontal="right" shrinkToFit="0" vertical="center" wrapText="0"/>
    </xf>
    <xf borderId="0" fillId="0" fontId="14" numFmtId="165" xfId="0" applyAlignment="1" applyFont="1" applyNumberFormat="1">
      <alignment horizontal="right" readingOrder="0" vertical="center"/>
    </xf>
    <xf borderId="0" fillId="0" fontId="14" numFmtId="0" xfId="0" applyAlignment="1" applyFont="1">
      <alignment horizontal="right" vertical="center"/>
    </xf>
    <xf borderId="0" fillId="0" fontId="17" numFmtId="0" xfId="0" applyAlignment="1" applyFont="1">
      <alignment readingOrder="0" vertical="center"/>
    </xf>
    <xf borderId="0" fillId="0" fontId="14" numFmtId="165" xfId="0" applyAlignment="1" applyFont="1" applyNumberFormat="1">
      <alignment horizontal="right" readingOrder="0" shrinkToFit="0" vertical="center" wrapText="0"/>
    </xf>
    <xf borderId="0" fillId="0" fontId="14" numFmtId="0" xfId="0" applyAlignment="1" applyFont="1">
      <alignment readingOrder="0" shrinkToFit="0" vertical="center" wrapText="1"/>
    </xf>
    <xf borderId="0" fillId="0" fontId="18" numFmtId="0" xfId="0" applyAlignment="1" applyFont="1">
      <alignment readingOrder="0" shrinkToFit="0" vertical="center" wrapText="0"/>
    </xf>
    <xf borderId="0" fillId="0" fontId="19" numFmtId="0" xfId="0" applyAlignment="1" applyFont="1">
      <alignment horizontal="left" readingOrder="0" shrinkToFit="0" vertical="center" wrapText="1"/>
    </xf>
    <xf borderId="0" fillId="0" fontId="14" numFmtId="0" xfId="0" applyAlignment="1" applyFont="1">
      <alignment shrinkToFit="0" vertical="center" wrapText="1"/>
    </xf>
    <xf borderId="0" fillId="0" fontId="20" numFmtId="0" xfId="0" applyAlignment="1" applyFont="1">
      <alignment readingOrder="0"/>
    </xf>
    <xf borderId="0" fillId="0" fontId="14" numFmtId="0" xfId="0" applyAlignment="1" applyFont="1">
      <alignment readingOrder="0" shrinkToFit="0" vertical="center" wrapText="1"/>
    </xf>
    <xf borderId="0" fillId="0" fontId="21" numFmtId="0" xfId="0" applyAlignment="1" applyFont="1">
      <alignment readingOrder="0" shrinkToFit="0" vertical="center" wrapText="1"/>
    </xf>
    <xf borderId="0" fillId="2" fontId="14" numFmtId="0" xfId="0" applyAlignment="1" applyFill="1" applyFont="1">
      <alignment readingOrder="0" shrinkToFit="0" vertical="center" wrapText="1"/>
    </xf>
    <xf borderId="0" fillId="0" fontId="22" numFmtId="0" xfId="0" applyAlignment="1" applyFont="1">
      <alignment readingOrder="0"/>
    </xf>
    <xf borderId="0" fillId="0" fontId="14" numFmtId="0" xfId="0" applyAlignment="1" applyFont="1">
      <alignment readingOrder="0" shrinkToFit="0" wrapText="1"/>
    </xf>
    <xf borderId="0" fillId="0" fontId="23" numFmtId="0" xfId="0" applyAlignment="1" applyFont="1">
      <alignment readingOrder="0" shrinkToFit="0" vertical="center" wrapText="1"/>
    </xf>
    <xf borderId="0" fillId="3" fontId="24" numFmtId="0" xfId="0" applyAlignment="1" applyFill="1" applyFont="1">
      <alignment horizontal="center" readingOrder="0" shrinkToFit="0" vertical="center" wrapText="1"/>
    </xf>
    <xf borderId="0" fillId="0" fontId="24" numFmtId="0" xfId="0" applyAlignment="1" applyFont="1">
      <alignment horizontal="center" shrinkToFit="0" vertical="center" wrapText="1"/>
    </xf>
    <xf borderId="0" fillId="0" fontId="14" numFmtId="0" xfId="0" applyAlignment="1" applyFont="1">
      <alignment horizontal="center"/>
    </xf>
    <xf borderId="0" fillId="4" fontId="14" numFmtId="0" xfId="0" applyAlignment="1" applyFill="1" applyFont="1">
      <alignment horizontal="center" readingOrder="0"/>
    </xf>
    <xf borderId="0" fillId="4" fontId="24" numFmtId="0" xfId="0" applyAlignment="1" applyFont="1">
      <alignment horizontal="center" readingOrder="0" shrinkToFit="0" vertical="center" wrapText="1"/>
    </xf>
    <xf borderId="0" fillId="0" fontId="24" numFmtId="0" xfId="0" applyAlignment="1" applyFont="1">
      <alignment horizontal="center" readingOrder="0" shrinkToFit="0" vertical="center" wrapText="1"/>
    </xf>
    <xf borderId="0" fillId="0" fontId="24" numFmtId="0" xfId="0" applyAlignment="1" applyFont="1">
      <alignment readingOrder="0" shrinkToFit="0" vertical="center" wrapText="1"/>
    </xf>
    <xf borderId="0" fillId="0" fontId="24" numFmtId="0" xfId="0" applyAlignment="1" applyFont="1">
      <alignment shrinkToFit="0" vertical="center" wrapText="1"/>
    </xf>
    <xf borderId="0" fillId="0" fontId="14" numFmtId="0" xfId="0" applyFont="1"/>
    <xf borderId="0" fillId="0" fontId="2" numFmtId="0" xfId="0" applyFont="1"/>
    <xf borderId="0" fillId="0" fontId="2" numFmtId="0" xfId="0" applyAlignment="1" applyFont="1">
      <alignment horizontal="center"/>
    </xf>
    <xf borderId="0" fillId="0" fontId="2" numFmtId="0" xfId="0" applyAlignment="1" applyFont="1">
      <alignment horizontal="center" readingOrder="0"/>
    </xf>
    <xf borderId="0" fillId="0" fontId="25" numFmtId="0" xfId="0" applyFont="1"/>
    <xf borderId="0" fillId="0" fontId="1" numFmtId="0" xfId="0" applyAlignment="1" applyFont="1">
      <alignment vertical="bottom"/>
    </xf>
    <xf borderId="0" fillId="0" fontId="14" numFmtId="0" xfId="0" applyFont="1"/>
    <xf borderId="0" fillId="0" fontId="14" numFmtId="0" xfId="0" applyAlignment="1" applyFont="1">
      <alignment readingOrder="0"/>
    </xf>
    <xf borderId="0" fillId="0" fontId="1" numFmtId="0" xfId="0" applyAlignment="1" applyFont="1">
      <alignment vertical="bottom"/>
    </xf>
    <xf borderId="0" fillId="0" fontId="26" numFmtId="0" xfId="0" applyFont="1"/>
    <xf borderId="0" fillId="0" fontId="27" numFmtId="0" xfId="0" applyAlignment="1" applyFont="1">
      <alignment readingOrder="0"/>
    </xf>
    <xf borderId="0" fillId="0" fontId="2" numFmtId="0" xfId="0" applyAlignment="1" applyFont="1">
      <alignment shrinkToFit="0" vertical="center" wrapText="1"/>
    </xf>
    <xf borderId="0" fillId="0" fontId="2" numFmtId="166" xfId="0" applyAlignment="1" applyFont="1" applyNumberFormat="1">
      <alignment vertical="center"/>
    </xf>
    <xf borderId="0" fillId="0" fontId="2" numFmtId="166" xfId="0" applyAlignment="1" applyFont="1" applyNumberFormat="1">
      <alignment shrinkToFit="0" vertical="center" wrapText="1"/>
    </xf>
    <xf borderId="0" fillId="0" fontId="2" numFmtId="167" xfId="0" applyAlignment="1" applyFont="1" applyNumberFormat="1">
      <alignment shrinkToFit="0" vertical="center" wrapText="1"/>
    </xf>
    <xf borderId="0" fillId="0" fontId="1" numFmtId="0" xfId="0" applyAlignment="1" applyFont="1">
      <alignment vertical="center"/>
    </xf>
    <xf borderId="0" fillId="0" fontId="2" numFmtId="166" xfId="0" applyAlignment="1" applyFont="1" applyNumberFormat="1">
      <alignment readingOrder="0" vertical="center"/>
    </xf>
    <xf borderId="0" fillId="0" fontId="2" numFmtId="0" xfId="0" applyAlignment="1" applyFont="1">
      <alignment readingOrder="0" vertical="center"/>
    </xf>
    <xf borderId="0" fillId="0" fontId="2" numFmtId="0" xfId="0" applyAlignment="1" applyFont="1">
      <alignment readingOrder="0" shrinkToFit="0" vertical="center" wrapText="1"/>
    </xf>
    <xf borderId="0" fillId="0" fontId="28" numFmtId="0" xfId="0" applyAlignment="1" applyFont="1">
      <alignment readingOrder="0" vertical="center"/>
    </xf>
    <xf borderId="0" fillId="0" fontId="14" numFmtId="0" xfId="0" applyAlignment="1" applyFont="1">
      <alignment shrinkToFit="0" wrapText="1"/>
    </xf>
    <xf borderId="0" fillId="0" fontId="29" numFmtId="0" xfId="0" applyAlignment="1" applyFont="1">
      <alignment shrinkToFit="0" vertical="top" wrapText="1"/>
    </xf>
    <xf borderId="0" fillId="0" fontId="29" numFmtId="0" xfId="0" applyAlignment="1" applyFont="1">
      <alignment readingOrder="0" shrinkToFit="0" vertical="top" wrapText="1"/>
    </xf>
    <xf borderId="0" fillId="0" fontId="30" numFmtId="0" xfId="0" applyAlignment="1" applyFont="1">
      <alignment shrinkToFit="0" vertical="top" wrapText="1"/>
    </xf>
    <xf borderId="0" fillId="0" fontId="29" numFmtId="0" xfId="0" applyFont="1"/>
    <xf borderId="0" fillId="0" fontId="31" numFmtId="0" xfId="0" applyAlignment="1" applyFont="1">
      <alignment readingOrder="0" shrinkToFit="0" vertical="top" wrapText="1"/>
    </xf>
    <xf borderId="0" fillId="3" fontId="14" numFmtId="0" xfId="0" applyAlignment="1" applyFont="1">
      <alignment horizontal="center" readingOrder="0" shrinkToFit="0" vertical="top" wrapText="0"/>
    </xf>
    <xf borderId="0" fillId="0" fontId="14" numFmtId="0" xfId="0" applyAlignment="1" applyFont="1">
      <alignment shrinkToFit="0" vertical="top" wrapText="0"/>
    </xf>
    <xf borderId="0" fillId="0" fontId="14" numFmtId="0" xfId="0" applyAlignment="1" applyFont="1">
      <alignment readingOrder="0" shrinkToFit="0" vertical="top" wrapText="0"/>
    </xf>
    <xf borderId="0" fillId="0" fontId="32" numFmtId="0" xfId="0" applyAlignment="1" applyFont="1">
      <alignment readingOrder="0" shrinkToFit="0" vertical="top" wrapText="0"/>
    </xf>
    <xf borderId="0" fillId="0" fontId="33" numFmtId="0" xfId="0" applyAlignment="1" applyFont="1">
      <alignment readingOrder="0" shrinkToFit="0" vertical="top" wrapText="0"/>
    </xf>
    <xf borderId="0" fillId="0" fontId="14" numFmtId="0" xfId="0" applyAlignment="1" applyFont="1">
      <alignment readingOrder="0" vertical="top"/>
    </xf>
    <xf borderId="0" fillId="0" fontId="14" numFmtId="0" xfId="0" applyAlignment="1" applyFont="1">
      <alignment readingOrder="0" shrinkToFit="0" vertical="top" wrapText="1"/>
    </xf>
    <xf borderId="0" fillId="0" fontId="14" numFmtId="168" xfId="0" applyAlignment="1" applyFont="1" applyNumberFormat="1">
      <alignment readingOrder="0" vertical="top"/>
    </xf>
    <xf borderId="0" fillId="0" fontId="14" numFmtId="0" xfId="0" applyAlignment="1" applyFont="1">
      <alignment vertical="top"/>
    </xf>
    <xf borderId="0" fillId="0" fontId="14" numFmtId="0" xfId="0" applyAlignment="1" applyFont="1">
      <alignment readingOrder="0"/>
    </xf>
    <xf borderId="0" fillId="4" fontId="14" numFmtId="0" xfId="0" applyAlignment="1" applyFont="1">
      <alignment vertical="top"/>
    </xf>
    <xf borderId="0" fillId="2" fontId="34" numFmtId="0" xfId="0" applyAlignment="1" applyFont="1">
      <alignment horizontal="right" readingOrder="0" shrinkToFit="0" wrapText="1"/>
    </xf>
    <xf borderId="0" fillId="0" fontId="14" numFmtId="0" xfId="0" applyAlignment="1" applyFont="1">
      <alignment horizontal="center" readingOrder="0" vertical="top"/>
    </xf>
    <xf borderId="0" fillId="0" fontId="2" numFmtId="0" xfId="0" applyAlignment="1" applyFont="1">
      <alignment vertical="top"/>
    </xf>
    <xf borderId="0" fillId="0" fontId="2" numFmtId="0" xfId="0" applyAlignment="1" applyFont="1">
      <alignment readingOrder="0" shrinkToFit="0" vertical="top" wrapText="0"/>
    </xf>
    <xf borderId="0" fillId="0" fontId="2" numFmtId="0" xfId="0" applyAlignment="1" applyFont="1">
      <alignment shrinkToFit="0" vertical="top" wrapText="0"/>
    </xf>
    <xf borderId="0" fillId="0" fontId="14" numFmtId="164" xfId="0" applyAlignment="1" applyFont="1" applyNumberFormat="1">
      <alignment horizontal="left" readingOrder="0" shrinkToFit="0" vertical="top" wrapText="0"/>
    </xf>
    <xf borderId="0" fillId="4" fontId="14" numFmtId="0" xfId="0" applyAlignment="1" applyFont="1">
      <alignment readingOrder="0" shrinkToFit="0" vertical="top" wrapText="0"/>
    </xf>
    <xf borderId="0" fillId="4" fontId="14" numFmtId="0" xfId="0" applyAlignment="1" applyFont="1">
      <alignment shrinkToFit="0" vertical="top" wrapText="0"/>
    </xf>
    <xf borderId="0" fillId="0" fontId="14" numFmtId="0" xfId="0" applyAlignment="1" applyFont="1">
      <alignment horizontal="center" readingOrder="0" vertical="center"/>
    </xf>
    <xf borderId="0" fillId="0" fontId="14" numFmtId="0" xfId="0" applyAlignment="1" applyFont="1">
      <alignment horizontal="left" readingOrder="0" shrinkToFit="0" vertical="center" wrapText="1"/>
    </xf>
    <xf borderId="0" fillId="0" fontId="14" numFmtId="167" xfId="0" applyAlignment="1" applyFont="1" applyNumberFormat="1">
      <alignment horizontal="left" readingOrder="0" shrinkToFit="0" vertical="center" wrapText="1"/>
    </xf>
    <xf borderId="0" fillId="0" fontId="14" numFmtId="0" xfId="0" applyAlignment="1" applyFont="1">
      <alignment horizontal="center" readingOrder="0" shrinkToFit="0" vertical="center" wrapText="1"/>
    </xf>
    <xf borderId="0" fillId="0" fontId="35" numFmtId="0" xfId="0" applyAlignment="1" applyFont="1">
      <alignment readingOrder="0"/>
    </xf>
    <xf borderId="0" fillId="0" fontId="36"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37" numFmtId="0" xfId="0" applyAlignment="1" applyFont="1">
      <alignment horizontal="left" readingOrder="0" shrinkToFit="0" vertical="center" wrapText="1"/>
    </xf>
    <xf borderId="0" fillId="0" fontId="38" numFmtId="0" xfId="0" applyAlignment="1" applyFont="1">
      <alignment readingOrder="0" shrinkToFit="0" vertical="center" wrapText="1"/>
    </xf>
    <xf borderId="0" fillId="0" fontId="14" numFmtId="0" xfId="0" applyAlignment="1" applyFont="1">
      <alignment horizontal="center" vertical="center"/>
    </xf>
    <xf borderId="0" fillId="0" fontId="14" numFmtId="0" xfId="0" applyAlignment="1" applyFont="1">
      <alignment horizontal="center" shrinkToFit="0" vertical="center" wrapText="1"/>
    </xf>
    <xf borderId="0" fillId="0" fontId="14" numFmtId="0" xfId="0" applyAlignment="1" applyFont="1">
      <alignment horizontal="left" shrinkToFit="0" vertical="center" wrapText="1"/>
    </xf>
    <xf borderId="0" fillId="0" fontId="2" numFmtId="0" xfId="0" applyAlignment="1" applyFont="1">
      <alignment readingOrder="0"/>
    </xf>
    <xf borderId="0" fillId="0" fontId="2" numFmtId="0" xfId="0" applyAlignment="1" applyFont="1">
      <alignment horizontal="left" readingOrder="0"/>
    </xf>
    <xf borderId="0" fillId="0" fontId="39" numFmtId="0" xfId="0" applyAlignment="1" applyFont="1">
      <alignment readingOrder="0"/>
    </xf>
    <xf borderId="0" fillId="0" fontId="2" numFmtId="4" xfId="0" applyAlignment="1" applyFont="1" applyNumberFormat="1">
      <alignment vertical="center"/>
    </xf>
    <xf borderId="0" fillId="2" fontId="40" numFmtId="0" xfId="0" applyAlignment="1" applyFont="1">
      <alignment readingOrder="0"/>
    </xf>
    <xf borderId="0" fillId="0" fontId="14" numFmtId="0" xfId="0" applyFont="1"/>
    <xf borderId="0" fillId="3" fontId="14" numFmtId="169" xfId="0" applyAlignment="1" applyFont="1" applyNumberFormat="1">
      <alignment readingOrder="0"/>
    </xf>
    <xf borderId="0" fillId="3" fontId="14" numFmtId="0" xfId="0" applyFont="1"/>
    <xf borderId="0" fillId="3" fontId="14" numFmtId="0" xfId="0" applyAlignment="1" applyFont="1">
      <alignment readingOrder="0"/>
    </xf>
    <xf borderId="0" fillId="5" fontId="14" numFmtId="0" xfId="0" applyFill="1" applyFont="1"/>
    <xf borderId="0" fillId="5" fontId="14" numFmtId="0" xfId="0" applyAlignment="1" applyFont="1">
      <alignment readingOrder="0"/>
    </xf>
    <xf borderId="0" fillId="5" fontId="14" numFmtId="169" xfId="0" applyAlignment="1" applyFont="1" applyNumberFormat="1">
      <alignment readingOrder="0"/>
    </xf>
    <xf borderId="0" fillId="0" fontId="39" numFmtId="0" xfId="0" applyFont="1"/>
    <xf borderId="0" fillId="0" fontId="2" numFmtId="165" xfId="0" applyAlignment="1" applyFont="1" applyNumberFormat="1">
      <alignment horizontal="left" shrinkToFit="0" vertical="center" wrapText="1"/>
    </xf>
    <xf borderId="0" fillId="0" fontId="41" numFmtId="0" xfId="0" applyAlignment="1" applyFont="1">
      <alignment horizontal="left" shrinkToFit="0" vertical="center" wrapText="1"/>
    </xf>
    <xf borderId="0" fillId="0" fontId="42" numFmtId="0" xfId="0" applyAlignment="1" applyFont="1">
      <alignment vertical="center"/>
    </xf>
    <xf borderId="0" fillId="0" fontId="2" numFmtId="0" xfId="0" applyAlignment="1" applyFont="1">
      <alignment shrinkToFit="0" wrapText="1"/>
    </xf>
    <xf borderId="0" fillId="0" fontId="2" numFmtId="165" xfId="0" applyAlignment="1" applyFont="1" applyNumberFormat="1">
      <alignment horizontal="left" readingOrder="0" shrinkToFit="0" vertical="center" wrapText="1"/>
    </xf>
    <xf borderId="0" fillId="0" fontId="2" numFmtId="0" xfId="0" applyAlignment="1" applyFont="1">
      <alignment horizontal="left" readingOrder="0" shrinkToFit="0" vertical="center" wrapText="1"/>
    </xf>
    <xf borderId="0" fillId="0" fontId="43" numFmtId="0" xfId="0" applyAlignment="1" applyFont="1">
      <alignment horizontal="left" readingOrder="0" shrinkToFit="0" vertical="center" wrapText="1"/>
    </xf>
    <xf borderId="0" fillId="0" fontId="14" numFmtId="0" xfId="0" applyAlignment="1" applyFont="1">
      <alignment shrinkToFit="0" wrapText="1"/>
    </xf>
    <xf borderId="0" fillId="0" fontId="44" numFmtId="0" xfId="0" applyAlignment="1" applyFont="1">
      <alignment readingOrder="0" shrinkToFit="0" vertical="center" wrapText="0"/>
    </xf>
    <xf borderId="0" fillId="0" fontId="45" numFmtId="0" xfId="0" applyAlignment="1" applyFont="1">
      <alignment readingOrder="0" shrinkToFit="0" wrapText="1"/>
    </xf>
    <xf borderId="0" fillId="0" fontId="3" numFmtId="0" xfId="0" applyAlignment="1" applyFont="1">
      <alignment readingOrder="0"/>
    </xf>
    <xf borderId="0" fillId="0" fontId="46" numFmtId="0" xfId="0" applyAlignment="1" applyFont="1">
      <alignment horizontal="left" readingOrder="0" shrinkToFit="0" vertical="center" wrapText="1"/>
    </xf>
    <xf borderId="0" fillId="0" fontId="2" numFmtId="170" xfId="0" applyAlignment="1" applyFont="1" applyNumberFormat="1">
      <alignment horizontal="left" readingOrder="0" shrinkToFit="0" vertical="center" wrapText="1"/>
    </xf>
    <xf borderId="0" fillId="0" fontId="2" numFmtId="171" xfId="0" applyAlignment="1" applyFont="1" applyNumberForma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upwork.com/jobs/~021991580905075006735" TargetMode="External"/><Relationship Id="rId42" Type="http://schemas.openxmlformats.org/officeDocument/2006/relationships/hyperlink" Target="https://www.upwork.com/jobs/~021991660849001359855" TargetMode="External"/><Relationship Id="rId41" Type="http://schemas.openxmlformats.org/officeDocument/2006/relationships/hyperlink" Target="https://www.upwork.com/jobs/~021991597707372944655" TargetMode="External"/><Relationship Id="rId44" Type="http://schemas.openxmlformats.org/officeDocument/2006/relationships/hyperlink" Target="https://www.upwork.com/jobs/~021991741003855602302" TargetMode="External"/><Relationship Id="rId43" Type="http://schemas.openxmlformats.org/officeDocument/2006/relationships/hyperlink" Target="https://www.upwork.com/jobs/~021991866003674793558" TargetMode="External"/><Relationship Id="rId46" Type="http://schemas.openxmlformats.org/officeDocument/2006/relationships/hyperlink" Target="https://www.upwork.com/jobs/~021991923955984198127" TargetMode="External"/><Relationship Id="rId45" Type="http://schemas.openxmlformats.org/officeDocument/2006/relationships/hyperlink" Target="https://www.upwork.com/jobs/~021991890615738526191" TargetMode="External"/><Relationship Id="rId107" Type="http://schemas.openxmlformats.org/officeDocument/2006/relationships/hyperlink" Target="https://www.upwork.com/jobs/~021996289349514796433" TargetMode="External"/><Relationship Id="rId106" Type="http://schemas.openxmlformats.org/officeDocument/2006/relationships/hyperlink" Target="https://www.upwork.com/jobs/~021996256695185256623" TargetMode="External"/><Relationship Id="rId105" Type="http://schemas.openxmlformats.org/officeDocument/2006/relationships/hyperlink" Target="https://www.upwork.com/jobs/~021996260398287555602" TargetMode="External"/><Relationship Id="rId104" Type="http://schemas.openxmlformats.org/officeDocument/2006/relationships/hyperlink" Target="https://www.upwork.com/jobs/~021996275551295383571" TargetMode="External"/><Relationship Id="rId109" Type="http://schemas.openxmlformats.org/officeDocument/2006/relationships/hyperlink" Target="https://www.upwork.com/jobs/~021996324883746924563" TargetMode="External"/><Relationship Id="rId108" Type="http://schemas.openxmlformats.org/officeDocument/2006/relationships/hyperlink" Target="https://www.upwork.com/jobs/~021996322282237697425" TargetMode="External"/><Relationship Id="rId48" Type="http://schemas.openxmlformats.org/officeDocument/2006/relationships/hyperlink" Target="https://www.upwork.com/jobs/~021992676383227876040" TargetMode="External"/><Relationship Id="rId47" Type="http://schemas.openxmlformats.org/officeDocument/2006/relationships/hyperlink" Target="https://www.upwork.com/jobs/~021991968619080673775" TargetMode="External"/><Relationship Id="rId49" Type="http://schemas.openxmlformats.org/officeDocument/2006/relationships/hyperlink" Target="https://www.upwork.com/jobs/~021992758621766059606" TargetMode="External"/><Relationship Id="rId103" Type="http://schemas.openxmlformats.org/officeDocument/2006/relationships/hyperlink" Target="https://www.upwork.com/jobs/~021996228293970992529" TargetMode="External"/><Relationship Id="rId102" Type="http://schemas.openxmlformats.org/officeDocument/2006/relationships/hyperlink" Target="https://tillamook.com/" TargetMode="External"/><Relationship Id="rId101" Type="http://schemas.openxmlformats.org/officeDocument/2006/relationships/hyperlink" Target="https://www.upwork.com/jobs/~021995995541533760676" TargetMode="External"/><Relationship Id="rId100" Type="http://schemas.openxmlformats.org/officeDocument/2006/relationships/hyperlink" Target="https://www.upwork.com/jobs/~021995948189980695716" TargetMode="External"/><Relationship Id="rId31" Type="http://schemas.openxmlformats.org/officeDocument/2006/relationships/hyperlink" Target="https://www.upwork.com/jobs/~021991175806494334223" TargetMode="External"/><Relationship Id="rId30" Type="http://schemas.openxmlformats.org/officeDocument/2006/relationships/hyperlink" Target="https://www.upwork.com/jobs/~021991175199939255567" TargetMode="External"/><Relationship Id="rId33" Type="http://schemas.openxmlformats.org/officeDocument/2006/relationships/hyperlink" Target="https://www.squaresigns.com/" TargetMode="External"/><Relationship Id="rId32" Type="http://schemas.openxmlformats.org/officeDocument/2006/relationships/hyperlink" Target="https://www.upwork.com/jobs/~021991199238138587631" TargetMode="External"/><Relationship Id="rId35" Type="http://schemas.openxmlformats.org/officeDocument/2006/relationships/hyperlink" Target="https://www.upwork.com/jobs/~021991236083066905214" TargetMode="External"/><Relationship Id="rId34" Type="http://schemas.openxmlformats.org/officeDocument/2006/relationships/hyperlink" Target="https://www.upwork.com/jobs/~021991205040743155286" TargetMode="External"/><Relationship Id="rId37" Type="http://schemas.openxmlformats.org/officeDocument/2006/relationships/hyperlink" Target="https://www.upwork.com/jobs/~021991521283647899222" TargetMode="External"/><Relationship Id="rId36" Type="http://schemas.openxmlformats.org/officeDocument/2006/relationships/hyperlink" Target="https://www.upwork.com/jobs/~021991296536183725327" TargetMode="External"/><Relationship Id="rId39" Type="http://schemas.openxmlformats.org/officeDocument/2006/relationships/hyperlink" Target="https://www.upwork.com/jobs/~021991544270961812094" TargetMode="External"/><Relationship Id="rId174" Type="http://schemas.openxmlformats.org/officeDocument/2006/relationships/drawing" Target="../drawings/drawing2.xml"/><Relationship Id="rId38" Type="http://schemas.openxmlformats.org/officeDocument/2006/relationships/hyperlink" Target="https://www.upwork.com/jobs/~021991530904203782639" TargetMode="External"/><Relationship Id="rId173" Type="http://schemas.openxmlformats.org/officeDocument/2006/relationships/hyperlink" Target="https://www.upwork.com/jobs/~022001719253051291888" TargetMode="External"/><Relationship Id="rId20" Type="http://schemas.openxmlformats.org/officeDocument/2006/relationships/hyperlink" Target="https://www.upwork.com/jobs/~021988648556116641280" TargetMode="External"/><Relationship Id="rId22" Type="http://schemas.openxmlformats.org/officeDocument/2006/relationships/hyperlink" Target="https://www.upwork.com/jobs/~021988659547830757691" TargetMode="External"/><Relationship Id="rId21" Type="http://schemas.openxmlformats.org/officeDocument/2006/relationships/hyperlink" Target="https://www.upwork.com/jobs/~021988655640447092224" TargetMode="External"/><Relationship Id="rId24" Type="http://schemas.openxmlformats.org/officeDocument/2006/relationships/hyperlink" Target="https://www.upwork.com/jobs/~021989858353319386881" TargetMode="External"/><Relationship Id="rId23" Type="http://schemas.openxmlformats.org/officeDocument/2006/relationships/hyperlink" Target="https://www.upwork.com/jobs/~021988630211049332124" TargetMode="External"/><Relationship Id="rId129" Type="http://schemas.openxmlformats.org/officeDocument/2006/relationships/hyperlink" Target="https://www.upwork.com/jobs/~021998057891616611821" TargetMode="External"/><Relationship Id="rId128" Type="http://schemas.openxmlformats.org/officeDocument/2006/relationships/hyperlink" Target="https://github.com/anttonio-dent" TargetMode="External"/><Relationship Id="rId127" Type="http://schemas.openxmlformats.org/officeDocument/2006/relationships/hyperlink" Target="https://www.upwork.com/jobs/~021998034805771915301" TargetMode="External"/><Relationship Id="rId126" Type="http://schemas.openxmlformats.org/officeDocument/2006/relationships/hyperlink" Target="https://www.upwork.com/jobs/~021997453362997234706" TargetMode="External"/><Relationship Id="rId26" Type="http://schemas.openxmlformats.org/officeDocument/2006/relationships/hyperlink" Target="https://www.upwork.com/jobs/~021990471140466292707" TargetMode="External"/><Relationship Id="rId121" Type="http://schemas.openxmlformats.org/officeDocument/2006/relationships/hyperlink" Target="https://www.upwork.com/jobs/~021996962993924578705" TargetMode="External"/><Relationship Id="rId25" Type="http://schemas.openxmlformats.org/officeDocument/2006/relationships/hyperlink" Target="https://www.upwork.com/jobs/~021990195367150179651" TargetMode="External"/><Relationship Id="rId120" Type="http://schemas.openxmlformats.org/officeDocument/2006/relationships/hyperlink" Target="https://www.upwork.com/jobs/~021996988010592996370" TargetMode="External"/><Relationship Id="rId28" Type="http://schemas.openxmlformats.org/officeDocument/2006/relationships/hyperlink" Target="https://www.upwork.com/jobs/~021990530499770644451" TargetMode="External"/><Relationship Id="rId27" Type="http://schemas.openxmlformats.org/officeDocument/2006/relationships/hyperlink" Target="https://www.upwork.com/jobs/~021990514179666671587" TargetMode="External"/><Relationship Id="rId125" Type="http://schemas.openxmlformats.org/officeDocument/2006/relationships/hyperlink" Target="https://www.upwork.com/jobs/~021997356224334269458" TargetMode="External"/><Relationship Id="rId29" Type="http://schemas.openxmlformats.org/officeDocument/2006/relationships/hyperlink" Target="https://www.upwork.com/jobs/~021990534604917956052" TargetMode="External"/><Relationship Id="rId124" Type="http://schemas.openxmlformats.org/officeDocument/2006/relationships/hyperlink" Target="https://www.upwork.com/jobs/~021997338810207383727" TargetMode="External"/><Relationship Id="rId123" Type="http://schemas.openxmlformats.org/officeDocument/2006/relationships/hyperlink" Target="https://www.upwork.com/jobs/~021997019796719012882" TargetMode="External"/><Relationship Id="rId122" Type="http://schemas.openxmlformats.org/officeDocument/2006/relationships/hyperlink" Target="https://www.upwork.com/jobs/~021997011708853495827" TargetMode="External"/><Relationship Id="rId95" Type="http://schemas.openxmlformats.org/officeDocument/2006/relationships/hyperlink" Target="https://www.upwork.com/jobs/~021995867113517927076" TargetMode="External"/><Relationship Id="rId94" Type="http://schemas.openxmlformats.org/officeDocument/2006/relationships/hyperlink" Target="http://oppizi.com/" TargetMode="External"/><Relationship Id="rId97" Type="http://schemas.openxmlformats.org/officeDocument/2006/relationships/hyperlink" Target="https://www.upwork.com/jobs/~021995885748081844489" TargetMode="External"/><Relationship Id="rId96" Type="http://schemas.openxmlformats.org/officeDocument/2006/relationships/hyperlink" Target="https://www.upwork.com/jobs/~021995887575145832713" TargetMode="External"/><Relationship Id="rId11" Type="http://schemas.openxmlformats.org/officeDocument/2006/relationships/hyperlink" Target="https://www.upwork.com/jobs/~021988241986014502186" TargetMode="External"/><Relationship Id="rId99" Type="http://schemas.openxmlformats.org/officeDocument/2006/relationships/hyperlink" Target="https://www.upwork.com/jobs/~021995947707480546468" TargetMode="External"/><Relationship Id="rId10" Type="http://schemas.openxmlformats.org/officeDocument/2006/relationships/hyperlink" Target="https://www.upwork.com/jobs/~021987970239109042481" TargetMode="External"/><Relationship Id="rId98" Type="http://schemas.openxmlformats.org/officeDocument/2006/relationships/hyperlink" Target="https://www.upwork.com/jobs/~021995904034999820553" TargetMode="External"/><Relationship Id="rId13" Type="http://schemas.openxmlformats.org/officeDocument/2006/relationships/hyperlink" Target="https://www.upwork.com/jobs/~021988255176903493483" TargetMode="External"/><Relationship Id="rId12" Type="http://schemas.openxmlformats.org/officeDocument/2006/relationships/hyperlink" Target="https://www.upwork.com/jobs/~021988249957498655025" TargetMode="External"/><Relationship Id="rId91" Type="http://schemas.openxmlformats.org/officeDocument/2006/relationships/hyperlink" Target="https://www.upwork.com/jobs/~021995551002985731959" TargetMode="External"/><Relationship Id="rId90" Type="http://schemas.openxmlformats.org/officeDocument/2006/relationships/hyperlink" Target="https://www.upwork.com/jobs/~021995447682900137847" TargetMode="External"/><Relationship Id="rId93" Type="http://schemas.openxmlformats.org/officeDocument/2006/relationships/hyperlink" Target="https://www.upwork.com/jobs/~021995590379778578295" TargetMode="External"/><Relationship Id="rId92" Type="http://schemas.openxmlformats.org/officeDocument/2006/relationships/hyperlink" Target="https://www.upwork.com/jobs/~021995553476643624823" TargetMode="External"/><Relationship Id="rId118" Type="http://schemas.openxmlformats.org/officeDocument/2006/relationships/hyperlink" Target="https://www.upwork.com/jobs/~021996928307081457839" TargetMode="External"/><Relationship Id="rId117" Type="http://schemas.openxmlformats.org/officeDocument/2006/relationships/hyperlink" Target="https://www.upwork.com/jobs/~021996906200603699219" TargetMode="External"/><Relationship Id="rId116" Type="http://schemas.openxmlformats.org/officeDocument/2006/relationships/hyperlink" Target="https://www.upwork.com/jobs/~021996653738455731218" TargetMode="External"/><Relationship Id="rId115" Type="http://schemas.openxmlformats.org/officeDocument/2006/relationships/hyperlink" Target="https://www.upwork.com/jobs/~021996635508566009875" TargetMode="External"/><Relationship Id="rId119" Type="http://schemas.openxmlformats.org/officeDocument/2006/relationships/hyperlink" Target="https://oppizi.com/" TargetMode="External"/><Relationship Id="rId15" Type="http://schemas.openxmlformats.org/officeDocument/2006/relationships/hyperlink" Target="https://www.upwork.com/jobs/~021988258199453130026" TargetMode="External"/><Relationship Id="rId110" Type="http://schemas.openxmlformats.org/officeDocument/2006/relationships/hyperlink" Target="https://www.upwork.com/jobs/~021996554854542871570" TargetMode="External"/><Relationship Id="rId14" Type="http://schemas.openxmlformats.org/officeDocument/2006/relationships/hyperlink" Target="https://www.upwork.com/jobs/~021988257850251841841" TargetMode="External"/><Relationship Id="rId17" Type="http://schemas.openxmlformats.org/officeDocument/2006/relationships/hyperlink" Target="https://www.upwork.com/jobs/~021988595831827370289" TargetMode="External"/><Relationship Id="rId16" Type="http://schemas.openxmlformats.org/officeDocument/2006/relationships/hyperlink" Target="https://www.upwork.com/jobs/~021988263143870337329" TargetMode="External"/><Relationship Id="rId19" Type="http://schemas.openxmlformats.org/officeDocument/2006/relationships/hyperlink" Target="https://www.upwork.com/jobs/~021988626169023733148" TargetMode="External"/><Relationship Id="rId114" Type="http://schemas.openxmlformats.org/officeDocument/2006/relationships/hyperlink" Target="https://www.upwork.com/jobs/~021996579335351445523" TargetMode="External"/><Relationship Id="rId18" Type="http://schemas.openxmlformats.org/officeDocument/2006/relationships/hyperlink" Target="https://www.upwork.com/jobs/~021988614023035523377" TargetMode="External"/><Relationship Id="rId113" Type="http://schemas.openxmlformats.org/officeDocument/2006/relationships/hyperlink" Target="https://www.upwork.com/jobs/~021996587592530369937" TargetMode="External"/><Relationship Id="rId112" Type="http://schemas.openxmlformats.org/officeDocument/2006/relationships/hyperlink" Target="https://www.upwork.com/jobs/~021996618935407161519" TargetMode="External"/><Relationship Id="rId111" Type="http://schemas.openxmlformats.org/officeDocument/2006/relationships/hyperlink" Target="https://www.upwork.com/jobs/~021996594297844796434" TargetMode="External"/><Relationship Id="rId84" Type="http://schemas.openxmlformats.org/officeDocument/2006/relationships/hyperlink" Target="https://www.upwork.com/jobs/~021994511875601914700" TargetMode="External"/><Relationship Id="rId83" Type="http://schemas.openxmlformats.org/officeDocument/2006/relationships/hyperlink" Target="https://github.com/anttonio-dent." TargetMode="External"/><Relationship Id="rId86" Type="http://schemas.openxmlformats.org/officeDocument/2006/relationships/hyperlink" Target="https://www.upwork.com/jobs/~021995498955632200356" TargetMode="External"/><Relationship Id="rId85" Type="http://schemas.openxmlformats.org/officeDocument/2006/relationships/hyperlink" Target="https://www.upwork.com/jobs/~021994924033231368459" TargetMode="External"/><Relationship Id="rId88" Type="http://schemas.openxmlformats.org/officeDocument/2006/relationships/hyperlink" Target="https://www.upwork.com/jobs/~021995516154883263140" TargetMode="External"/><Relationship Id="rId150" Type="http://schemas.openxmlformats.org/officeDocument/2006/relationships/hyperlink" Target="https://www.upwork.com/jobs/~021999149405097835888" TargetMode="External"/><Relationship Id="rId87" Type="http://schemas.openxmlformats.org/officeDocument/2006/relationships/hyperlink" Target="https://github.com/anttonio-dent" TargetMode="External"/><Relationship Id="rId89" Type="http://schemas.openxmlformats.org/officeDocument/2006/relationships/hyperlink" Target="https://www.upwork.com/jobs/~021995466080660671140" TargetMode="External"/><Relationship Id="rId80" Type="http://schemas.openxmlformats.org/officeDocument/2006/relationships/hyperlink" Target="https://www.upwork.com/jobs/~021994140384171248696" TargetMode="External"/><Relationship Id="rId82" Type="http://schemas.openxmlformats.org/officeDocument/2006/relationships/hyperlink" Target="https://www.upwork.com/jobs/~021994498028571005352" TargetMode="External"/><Relationship Id="rId81" Type="http://schemas.openxmlformats.org/officeDocument/2006/relationships/hyperlink" Target="https://www.upwork.com/jobs/~021994412869496396620" TargetMode="External"/><Relationship Id="rId1" Type="http://schemas.openxmlformats.org/officeDocument/2006/relationships/hyperlink" Target="https://www.upwork.com/jobs/~021986084041699865321" TargetMode="External"/><Relationship Id="rId2" Type="http://schemas.openxmlformats.org/officeDocument/2006/relationships/hyperlink" Target="https://www.upwork.com/jobs/~021986169913669563113" TargetMode="External"/><Relationship Id="rId3" Type="http://schemas.openxmlformats.org/officeDocument/2006/relationships/hyperlink" Target="https://www.upwork.com/jobs/~021986472444294383388" TargetMode="External"/><Relationship Id="rId149" Type="http://schemas.openxmlformats.org/officeDocument/2006/relationships/hyperlink" Target="https://www.upwork.com/jobs/~021999124924662048270" TargetMode="External"/><Relationship Id="rId4" Type="http://schemas.openxmlformats.org/officeDocument/2006/relationships/hyperlink" Target="https://www.upwork.com/jobs/~021986476290679152933" TargetMode="External"/><Relationship Id="rId148" Type="http://schemas.openxmlformats.org/officeDocument/2006/relationships/hyperlink" Target="https://www.upwork.com/jobs/~021999129414618342926" TargetMode="External"/><Relationship Id="rId9" Type="http://schemas.openxmlformats.org/officeDocument/2006/relationships/hyperlink" Target="https://www.upwork.com/jobs/~021987962328084097248" TargetMode="External"/><Relationship Id="rId143" Type="http://schemas.openxmlformats.org/officeDocument/2006/relationships/hyperlink" Target="https://www.upwork.com/jobs/~021998665607182471205" TargetMode="External"/><Relationship Id="rId142" Type="http://schemas.openxmlformats.org/officeDocument/2006/relationships/hyperlink" Target="https://www.upwork.com/jobs/~021998752237123247851" TargetMode="External"/><Relationship Id="rId141" Type="http://schemas.openxmlformats.org/officeDocument/2006/relationships/hyperlink" Target="https://www.upwork.com/jobs/~021998544859236059916" TargetMode="External"/><Relationship Id="rId140" Type="http://schemas.openxmlformats.org/officeDocument/2006/relationships/hyperlink" Target="https://www.upwork.com/jobs/~021998455468979740141" TargetMode="External"/><Relationship Id="rId5" Type="http://schemas.openxmlformats.org/officeDocument/2006/relationships/hyperlink" Target="https://www.upwork.com/jobs/~021986807577224464156" TargetMode="External"/><Relationship Id="rId147" Type="http://schemas.openxmlformats.org/officeDocument/2006/relationships/hyperlink" Target="https://www.upwork.com/jobs/~021999129414618342926" TargetMode="External"/><Relationship Id="rId6" Type="http://schemas.openxmlformats.org/officeDocument/2006/relationships/hyperlink" Target="https://www.upwork.com/jobs/~021986804478946059629" TargetMode="External"/><Relationship Id="rId146" Type="http://schemas.openxmlformats.org/officeDocument/2006/relationships/hyperlink" Target="https://www.upwork.com/jobs/~021998828342735363565" TargetMode="External"/><Relationship Id="rId7" Type="http://schemas.openxmlformats.org/officeDocument/2006/relationships/hyperlink" Target="https://www.upwork.com/jobs/~021987893120673078570" TargetMode="External"/><Relationship Id="rId145" Type="http://schemas.openxmlformats.org/officeDocument/2006/relationships/hyperlink" Target="https://www.upwork.com/jobs/~021998797073095510796" TargetMode="External"/><Relationship Id="rId8" Type="http://schemas.openxmlformats.org/officeDocument/2006/relationships/hyperlink" Target="https://www.upwork.com/jobs/~021987926481305822347" TargetMode="External"/><Relationship Id="rId144" Type="http://schemas.openxmlformats.org/officeDocument/2006/relationships/hyperlink" Target="https://www.upwork.com/jobs/~021998758232469774059" TargetMode="External"/><Relationship Id="rId73" Type="http://schemas.openxmlformats.org/officeDocument/2006/relationships/hyperlink" Target="https://www.upwork.com/jobs/~021993770844021430701" TargetMode="External"/><Relationship Id="rId72" Type="http://schemas.openxmlformats.org/officeDocument/2006/relationships/hyperlink" Target="https://www.upwork.com/jobs/~021993765425630779821" TargetMode="External"/><Relationship Id="rId75" Type="http://schemas.openxmlformats.org/officeDocument/2006/relationships/hyperlink" Target="https://www.upwork.com/jobs/~021993806432409852333" TargetMode="External"/><Relationship Id="rId74" Type="http://schemas.openxmlformats.org/officeDocument/2006/relationships/hyperlink" Target="https://oppizi.com/" TargetMode="External"/><Relationship Id="rId77" Type="http://schemas.openxmlformats.org/officeDocument/2006/relationships/hyperlink" Target="https://www.upwork.com/jobs/~021994044566076509240" TargetMode="External"/><Relationship Id="rId76" Type="http://schemas.openxmlformats.org/officeDocument/2006/relationships/hyperlink" Target="https://www.upwork.com/jobs/~021994070672954646741" TargetMode="External"/><Relationship Id="rId79" Type="http://schemas.openxmlformats.org/officeDocument/2006/relationships/hyperlink" Target="https://www.upwork.com/jobs/~021994110016557965525" TargetMode="External"/><Relationship Id="rId78" Type="http://schemas.openxmlformats.org/officeDocument/2006/relationships/hyperlink" Target="https://www.upwork.com/jobs/~021994099601694286037" TargetMode="External"/><Relationship Id="rId71" Type="http://schemas.openxmlformats.org/officeDocument/2006/relationships/hyperlink" Target="https://www.upwork.com/jobs/~021993753589100109159" TargetMode="External"/><Relationship Id="rId70" Type="http://schemas.openxmlformats.org/officeDocument/2006/relationships/hyperlink" Target="https://www.upwork.com/jobs/~021993734292821819556" TargetMode="External"/><Relationship Id="rId139" Type="http://schemas.openxmlformats.org/officeDocument/2006/relationships/hyperlink" Target="https://www.upwork.com/jobs/~021998515417516695021" TargetMode="External"/><Relationship Id="rId138" Type="http://schemas.openxmlformats.org/officeDocument/2006/relationships/hyperlink" Target="https://www.upwork.com/jobs/~021998469585206431781" TargetMode="External"/><Relationship Id="rId137" Type="http://schemas.openxmlformats.org/officeDocument/2006/relationships/hyperlink" Target="https://www.upwork.com/jobs/~021998425229977689835" TargetMode="External"/><Relationship Id="rId132" Type="http://schemas.openxmlformats.org/officeDocument/2006/relationships/hyperlink" Target="https://www.upwork.com/jobs/~021998096985298542315" TargetMode="External"/><Relationship Id="rId131" Type="http://schemas.openxmlformats.org/officeDocument/2006/relationships/hyperlink" Target="https://www.upwork.com/jobs/~021998097833898106349" TargetMode="External"/><Relationship Id="rId130" Type="http://schemas.openxmlformats.org/officeDocument/2006/relationships/hyperlink" Target="https://www.upwork.com/jobs/~021998077751125527308" TargetMode="External"/><Relationship Id="rId136" Type="http://schemas.openxmlformats.org/officeDocument/2006/relationships/hyperlink" Target="https://www.upwork.com/jobs/~021998431550156283627" TargetMode="External"/><Relationship Id="rId135" Type="http://schemas.openxmlformats.org/officeDocument/2006/relationships/hyperlink" Target="https://www.upwork.com/jobs/~021998442010939203307" TargetMode="External"/><Relationship Id="rId134" Type="http://schemas.openxmlformats.org/officeDocument/2006/relationships/hyperlink" Target="https://www.upwork.com/jobs/~021998175225795026667" TargetMode="External"/><Relationship Id="rId133" Type="http://schemas.openxmlformats.org/officeDocument/2006/relationships/hyperlink" Target="https://www.upwork.com/jobs/~021998162029830971115" TargetMode="External"/><Relationship Id="rId62" Type="http://schemas.openxmlformats.org/officeDocument/2006/relationships/hyperlink" Target="https://siliconvalleykitchenandbath.com/" TargetMode="External"/><Relationship Id="rId61" Type="http://schemas.openxmlformats.org/officeDocument/2006/relationships/hyperlink" Target="https://www.upwork.com/jobs/~021993398032113792958" TargetMode="External"/><Relationship Id="rId64" Type="http://schemas.openxmlformats.org/officeDocument/2006/relationships/hyperlink" Target="https://www.upwork.com/jobs/~021993403774212644074" TargetMode="External"/><Relationship Id="rId63" Type="http://schemas.openxmlformats.org/officeDocument/2006/relationships/hyperlink" Target="https://www.upwork.com/jobs/~021993407502261461630" TargetMode="External"/><Relationship Id="rId66" Type="http://schemas.openxmlformats.org/officeDocument/2006/relationships/hyperlink" Target="https://oppizi.com/" TargetMode="External"/><Relationship Id="rId172" Type="http://schemas.openxmlformats.org/officeDocument/2006/relationships/hyperlink" Target="https://www.upwork.com/jobs/~022001697712343267568" TargetMode="External"/><Relationship Id="rId65" Type="http://schemas.openxmlformats.org/officeDocument/2006/relationships/hyperlink" Target="https://www.upwork.com/jobs/~021993455400931529416" TargetMode="External"/><Relationship Id="rId171" Type="http://schemas.openxmlformats.org/officeDocument/2006/relationships/hyperlink" Target="https://www.upwork.com/jobs/~022001695938824576369" TargetMode="External"/><Relationship Id="rId68" Type="http://schemas.openxmlformats.org/officeDocument/2006/relationships/hyperlink" Target="https://www.upwork.com/jobs/~021993698622321508516" TargetMode="External"/><Relationship Id="rId170" Type="http://schemas.openxmlformats.org/officeDocument/2006/relationships/hyperlink" Target="https://www.upwork.com/jobs/~022001674086093076720" TargetMode="External"/><Relationship Id="rId67" Type="http://schemas.openxmlformats.org/officeDocument/2006/relationships/hyperlink" Target="https://www.squaresigns.com/" TargetMode="External"/><Relationship Id="rId60" Type="http://schemas.openxmlformats.org/officeDocument/2006/relationships/hyperlink" Target="https://rothys.com/" TargetMode="External"/><Relationship Id="rId165" Type="http://schemas.openxmlformats.org/officeDocument/2006/relationships/hyperlink" Target="https://www.upwork.com/jobs/~022001356878947203312" TargetMode="External"/><Relationship Id="rId69" Type="http://schemas.openxmlformats.org/officeDocument/2006/relationships/hyperlink" Target="https://www.upwork.com/jobs/~021993727839823256935" TargetMode="External"/><Relationship Id="rId164" Type="http://schemas.openxmlformats.org/officeDocument/2006/relationships/hyperlink" Target="https://www.upwork.com/jobs/~022001312353841210821" TargetMode="External"/><Relationship Id="rId163" Type="http://schemas.openxmlformats.org/officeDocument/2006/relationships/hyperlink" Target="https://www.upwork.com/jobs/~022001333422046230768" TargetMode="External"/><Relationship Id="rId162" Type="http://schemas.openxmlformats.org/officeDocument/2006/relationships/hyperlink" Target="https://www.upwork.com/jobs/~022000929844410775947" TargetMode="External"/><Relationship Id="rId169" Type="http://schemas.openxmlformats.org/officeDocument/2006/relationships/hyperlink" Target="https://www.upwork.com/jobs/~022001653431414995184" TargetMode="External"/><Relationship Id="rId168" Type="http://schemas.openxmlformats.org/officeDocument/2006/relationships/hyperlink" Target="https://www.upwork.com/jobs/~022001658510071606073" TargetMode="External"/><Relationship Id="rId167" Type="http://schemas.openxmlformats.org/officeDocument/2006/relationships/hyperlink" Target="https://www.upwork.com/jobs/~022001378427379017157" TargetMode="External"/><Relationship Id="rId166" Type="http://schemas.openxmlformats.org/officeDocument/2006/relationships/hyperlink" Target="https://www.upwork.com/jobs/~022001363633047907129" TargetMode="External"/><Relationship Id="rId51" Type="http://schemas.openxmlformats.org/officeDocument/2006/relationships/hyperlink" Target="https://www.upwork.com/jobs/~021992792280636229206" TargetMode="External"/><Relationship Id="rId50" Type="http://schemas.openxmlformats.org/officeDocument/2006/relationships/hyperlink" Target="https://www.francisuricchio.com/" TargetMode="External"/><Relationship Id="rId53" Type="http://schemas.openxmlformats.org/officeDocument/2006/relationships/hyperlink" Target="https://www.upwork.com/jobs/~021992966306342303678" TargetMode="External"/><Relationship Id="rId52" Type="http://schemas.openxmlformats.org/officeDocument/2006/relationships/hyperlink" Target="https://www.upwork.com/jobs/~021992927739683508936" TargetMode="External"/><Relationship Id="rId55" Type="http://schemas.openxmlformats.org/officeDocument/2006/relationships/hyperlink" Target="https://www.upwork.com/jobs/~021993034084608833470" TargetMode="External"/><Relationship Id="rId161" Type="http://schemas.openxmlformats.org/officeDocument/2006/relationships/hyperlink" Target="https://www.upwork.com/nx/proposals/2000724480757346305" TargetMode="External"/><Relationship Id="rId54" Type="http://schemas.openxmlformats.org/officeDocument/2006/relationships/hyperlink" Target="https://www.upwork.com/jobs/~021993011423686136520" TargetMode="External"/><Relationship Id="rId160" Type="http://schemas.openxmlformats.org/officeDocument/2006/relationships/hyperlink" Target="https://www.upwork.com/jobs/~022000706972044427705" TargetMode="External"/><Relationship Id="rId57" Type="http://schemas.openxmlformats.org/officeDocument/2006/relationships/hyperlink" Target="https://www.upwork.com/jobs/~021993323438560648426" TargetMode="External"/><Relationship Id="rId56" Type="http://schemas.openxmlformats.org/officeDocument/2006/relationships/hyperlink" Target="https://www.upwork.com/jobs/~021993080062578303614" TargetMode="External"/><Relationship Id="rId159" Type="http://schemas.openxmlformats.org/officeDocument/2006/relationships/hyperlink" Target="https://www.upwork.com/jobs/~022000623908118919563" TargetMode="External"/><Relationship Id="rId59" Type="http://schemas.openxmlformats.org/officeDocument/2006/relationships/hyperlink" Target="https://www.upwork.com/jobs/~021993336539208939454" TargetMode="External"/><Relationship Id="rId154" Type="http://schemas.openxmlformats.org/officeDocument/2006/relationships/hyperlink" Target="https://www.upwork.com/jobs/~021999259972097198002" TargetMode="External"/><Relationship Id="rId58" Type="http://schemas.openxmlformats.org/officeDocument/2006/relationships/hyperlink" Target="https://www.squaresigns.com/" TargetMode="External"/><Relationship Id="rId153" Type="http://schemas.openxmlformats.org/officeDocument/2006/relationships/hyperlink" Target="https://www.upwork.com/jobs/~021999221250364474715" TargetMode="External"/><Relationship Id="rId152" Type="http://schemas.openxmlformats.org/officeDocument/2006/relationships/hyperlink" Target="https://www.upwork.com/jobs/~021999192818660963171" TargetMode="External"/><Relationship Id="rId151" Type="http://schemas.openxmlformats.org/officeDocument/2006/relationships/hyperlink" Target="https://www.upwork.com/jobs/~021999173703510408560" TargetMode="External"/><Relationship Id="rId158" Type="http://schemas.openxmlformats.org/officeDocument/2006/relationships/hyperlink" Target="https://www.upwork.com/jobs/~022000607722761442410" TargetMode="External"/><Relationship Id="rId157" Type="http://schemas.openxmlformats.org/officeDocument/2006/relationships/hyperlink" Target="https://www.upwork.com/jobs/~022000643193044404817" TargetMode="External"/><Relationship Id="rId156" Type="http://schemas.openxmlformats.org/officeDocument/2006/relationships/hyperlink" Target="https://www.upwork.com/jobs/~022000589740601594986" TargetMode="External"/><Relationship Id="rId155" Type="http://schemas.openxmlformats.org/officeDocument/2006/relationships/hyperlink" Target="https://www.upwork.com/jobs/~021999971193882608988"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augusta-paintball.com/" TargetMode="External"/><Relationship Id="rId42" Type="http://schemas.openxmlformats.org/officeDocument/2006/relationships/hyperlink" Target="https://sunsetpediatrics.net/" TargetMode="External"/><Relationship Id="rId41" Type="http://schemas.openxmlformats.org/officeDocument/2006/relationships/hyperlink" Target="https://somerset.supremeproductionz.com/" TargetMode="External"/><Relationship Id="rId44" Type="http://schemas.openxmlformats.org/officeDocument/2006/relationships/hyperlink" Target="https://stayatgalaxy.com/" TargetMode="External"/><Relationship Id="rId43" Type="http://schemas.openxmlformats.org/officeDocument/2006/relationships/hyperlink" Target="https://catrinatequila.com/" TargetMode="External"/><Relationship Id="rId46" Type="http://schemas.openxmlformats.org/officeDocument/2006/relationships/hyperlink" Target="https://morningwatchphoto.com/" TargetMode="External"/><Relationship Id="rId45" Type="http://schemas.openxmlformats.org/officeDocument/2006/relationships/hyperlink" Target="https://newrhodesconstruction.com" TargetMode="External"/><Relationship Id="rId107" Type="http://schemas.openxmlformats.org/officeDocument/2006/relationships/hyperlink" Target="https://www.reddoorguys.com/" TargetMode="External"/><Relationship Id="rId106" Type="http://schemas.openxmlformats.org/officeDocument/2006/relationships/hyperlink" Target="https://cavabuys.com/" TargetMode="External"/><Relationship Id="rId105" Type="http://schemas.openxmlformats.org/officeDocument/2006/relationships/hyperlink" Target="https://www.housebuyersofamerica.com/" TargetMode="External"/><Relationship Id="rId104" Type="http://schemas.openxmlformats.org/officeDocument/2006/relationships/hyperlink" Target="https://www.expresshomebuyers.com/" TargetMode="External"/><Relationship Id="rId109" Type="http://schemas.openxmlformats.org/officeDocument/2006/relationships/hyperlink" Target="https://sell.opendoor.com/" TargetMode="External"/><Relationship Id="rId108" Type="http://schemas.openxmlformats.org/officeDocument/2006/relationships/hyperlink" Target="https://www.casaoffers.com/" TargetMode="External"/><Relationship Id="rId48" Type="http://schemas.openxmlformats.org/officeDocument/2006/relationships/hyperlink" Target="https://proto-seal.com/" TargetMode="External"/><Relationship Id="rId47" Type="http://schemas.openxmlformats.org/officeDocument/2006/relationships/hyperlink" Target="https://privacyverified.nl/" TargetMode="External"/><Relationship Id="rId49" Type="http://schemas.openxmlformats.org/officeDocument/2006/relationships/hyperlink" Target="http://garagedoorinstalls.com/" TargetMode="External"/><Relationship Id="rId103" Type="http://schemas.openxmlformats.org/officeDocument/2006/relationships/hyperlink" Target="https://littlesunshinesdubai.com/" TargetMode="External"/><Relationship Id="rId102" Type="http://schemas.openxmlformats.org/officeDocument/2006/relationships/hyperlink" Target="https://www.discoveredfoods.com/" TargetMode="External"/><Relationship Id="rId101" Type="http://schemas.openxmlformats.org/officeDocument/2006/relationships/hyperlink" Target="https://www.chobani.com/" TargetMode="External"/><Relationship Id="rId100" Type="http://schemas.openxmlformats.org/officeDocument/2006/relationships/hyperlink" Target="https://www.pomwonderful.com/" TargetMode="External"/><Relationship Id="rId31" Type="http://schemas.openxmlformats.org/officeDocument/2006/relationships/hyperlink" Target="https://sagesandcitrine.com/" TargetMode="External"/><Relationship Id="rId30" Type="http://schemas.openxmlformats.org/officeDocument/2006/relationships/hyperlink" Target="https://be.one.apparel.f5capitaldebtfund.com/" TargetMode="External"/><Relationship Id="rId33" Type="http://schemas.openxmlformats.org/officeDocument/2006/relationships/hyperlink" Target="https://accodelades.com/" TargetMode="External"/><Relationship Id="rId32" Type="http://schemas.openxmlformats.org/officeDocument/2006/relationships/hyperlink" Target="https://unmatchedconsulting.net/" TargetMode="External"/><Relationship Id="rId182" Type="http://schemas.openxmlformats.org/officeDocument/2006/relationships/drawing" Target="../drawings/drawing4.xml"/><Relationship Id="rId35" Type="http://schemas.openxmlformats.org/officeDocument/2006/relationships/hyperlink" Target="https://orthopedicsurgeries.com/" TargetMode="External"/><Relationship Id="rId181" Type="http://schemas.openxmlformats.org/officeDocument/2006/relationships/hyperlink" Target="http://exploratoryglory.com/" TargetMode="External"/><Relationship Id="rId34" Type="http://schemas.openxmlformats.org/officeDocument/2006/relationships/hyperlink" Target="https://wordpress-689730-3608979.cloudwaysapps.com/" TargetMode="External"/><Relationship Id="rId180" Type="http://schemas.openxmlformats.org/officeDocument/2006/relationships/hyperlink" Target="http://middleclasshomes.net/" TargetMode="External"/><Relationship Id="rId37" Type="http://schemas.openxmlformats.org/officeDocument/2006/relationships/hyperlink" Target="https://skipsfoodtruck.com/" TargetMode="External"/><Relationship Id="rId176" Type="http://schemas.openxmlformats.org/officeDocument/2006/relationships/hyperlink" Target="http://troopmessenger.com/" TargetMode="External"/><Relationship Id="rId36" Type="http://schemas.openxmlformats.org/officeDocument/2006/relationships/hyperlink" Target="https://siliconvalleykitchenandbath.com/" TargetMode="External"/><Relationship Id="rId175" Type="http://schemas.openxmlformats.org/officeDocument/2006/relationships/hyperlink" Target="http://animasmarketing.com/" TargetMode="External"/><Relationship Id="rId39" Type="http://schemas.openxmlformats.org/officeDocument/2006/relationships/hyperlink" Target="https://masterartsgraphicsinc.com/" TargetMode="External"/><Relationship Id="rId174" Type="http://schemas.openxmlformats.org/officeDocument/2006/relationships/hyperlink" Target="http://www.computertechreviews.com/" TargetMode="External"/><Relationship Id="rId38" Type="http://schemas.openxmlformats.org/officeDocument/2006/relationships/hyperlink" Target="https://thrivewithrebecca.com/" TargetMode="External"/><Relationship Id="rId173" Type="http://schemas.openxmlformats.org/officeDocument/2006/relationships/hyperlink" Target="http://ppcexpo.com/" TargetMode="External"/><Relationship Id="rId179" Type="http://schemas.openxmlformats.org/officeDocument/2006/relationships/hyperlink" Target="http://rapidhomedirect.com/" TargetMode="External"/><Relationship Id="rId178" Type="http://schemas.openxmlformats.org/officeDocument/2006/relationships/hyperlink" Target="http://businessinsiderrs.com/" TargetMode="External"/><Relationship Id="rId177" Type="http://schemas.openxmlformats.org/officeDocument/2006/relationships/hyperlink" Target="http://sunnylast.com/" TargetMode="External"/><Relationship Id="rId20" Type="http://schemas.openxmlformats.org/officeDocument/2006/relationships/hyperlink" Target="https://www.carolinerandell.co.uk/" TargetMode="External"/><Relationship Id="rId22" Type="http://schemas.openxmlformats.org/officeDocument/2006/relationships/hyperlink" Target="https://pratesi.com/" TargetMode="External"/><Relationship Id="rId21" Type="http://schemas.openxmlformats.org/officeDocument/2006/relationships/hyperlink" Target="https://nyrahbeauty.com/" TargetMode="External"/><Relationship Id="rId24" Type="http://schemas.openxmlformats.org/officeDocument/2006/relationships/hyperlink" Target="https://morphe.coaching.f5capitaldebtfund.com/" TargetMode="External"/><Relationship Id="rId23" Type="http://schemas.openxmlformats.org/officeDocument/2006/relationships/hyperlink" Target="https://neuralsourcing.com/" TargetMode="External"/><Relationship Id="rId129" Type="http://schemas.openxmlformats.org/officeDocument/2006/relationships/hyperlink" Target="http://pitchero.com/" TargetMode="External"/><Relationship Id="rId128" Type="http://schemas.openxmlformats.org/officeDocument/2006/relationships/hyperlink" Target="http://itsreleased.co.uk/" TargetMode="External"/><Relationship Id="rId127" Type="http://schemas.openxmlformats.org/officeDocument/2006/relationships/hyperlink" Target="http://lovetechai.com/" TargetMode="External"/><Relationship Id="rId126" Type="http://schemas.openxmlformats.org/officeDocument/2006/relationships/hyperlink" Target="http://diseasefix.com/" TargetMode="External"/><Relationship Id="rId26" Type="http://schemas.openxmlformats.org/officeDocument/2006/relationships/hyperlink" Target="https://growthrepublic.com.au/" TargetMode="External"/><Relationship Id="rId121" Type="http://schemas.openxmlformats.org/officeDocument/2006/relationships/hyperlink" Target="https://sunyday.net/" TargetMode="External"/><Relationship Id="rId25" Type="http://schemas.openxmlformats.org/officeDocument/2006/relationships/hyperlink" Target="https://www.resolvedtech.com/" TargetMode="External"/><Relationship Id="rId120" Type="http://schemas.openxmlformats.org/officeDocument/2006/relationships/hyperlink" Target="https://www.mimecast.com/" TargetMode="External"/><Relationship Id="rId28" Type="http://schemas.openxmlformats.org/officeDocument/2006/relationships/hyperlink" Target="https://evacaod.buddingsol.com/" TargetMode="External"/><Relationship Id="rId27" Type="http://schemas.openxmlformats.org/officeDocument/2006/relationships/hyperlink" Target="https://fantasycompanion.f5capitaldebtfund.com/" TargetMode="External"/><Relationship Id="rId125" Type="http://schemas.openxmlformats.org/officeDocument/2006/relationships/hyperlink" Target="https://osnap.com/" TargetMode="External"/><Relationship Id="rId29" Type="http://schemas.openxmlformats.org/officeDocument/2006/relationships/hyperlink" Target="https://aspiring.leaders.f5capitaldebtfund.com/" TargetMode="External"/><Relationship Id="rId124" Type="http://schemas.openxmlformats.org/officeDocument/2006/relationships/hyperlink" Target="https://www.jeffcopublicschools.org/" TargetMode="External"/><Relationship Id="rId123" Type="http://schemas.openxmlformats.org/officeDocument/2006/relationships/hyperlink" Target="https://healthy.kaiserpermanente.org/" TargetMode="External"/><Relationship Id="rId122" Type="http://schemas.openxmlformats.org/officeDocument/2006/relationships/hyperlink" Target="https://www.rabobank.com/" TargetMode="External"/><Relationship Id="rId95" Type="http://schemas.openxmlformats.org/officeDocument/2006/relationships/hyperlink" Target="https://wsalamoon.com/" TargetMode="External"/><Relationship Id="rId94" Type="http://schemas.openxmlformats.org/officeDocument/2006/relationships/hyperlink" Target="https://silveroak.com/" TargetMode="External"/><Relationship Id="rId97" Type="http://schemas.openxmlformats.org/officeDocument/2006/relationships/hyperlink" Target="https://www.snoozeeatery.com/" TargetMode="External"/><Relationship Id="rId96" Type="http://schemas.openxmlformats.org/officeDocument/2006/relationships/hyperlink" Target="https://www.dominos.is/" TargetMode="External"/><Relationship Id="rId11" Type="http://schemas.openxmlformats.org/officeDocument/2006/relationships/hyperlink" Target="https://esprovisions.com/" TargetMode="External"/><Relationship Id="rId99" Type="http://schemas.openxmlformats.org/officeDocument/2006/relationships/hyperlink" Target="https://lebonnet.com/" TargetMode="External"/><Relationship Id="rId10" Type="http://schemas.openxmlformats.org/officeDocument/2006/relationships/hyperlink" Target="https://peavey.com/" TargetMode="External"/><Relationship Id="rId98" Type="http://schemas.openxmlformats.org/officeDocument/2006/relationships/hyperlink" Target="https://www.tillamook.com/" TargetMode="External"/><Relationship Id="rId13" Type="http://schemas.openxmlformats.org/officeDocument/2006/relationships/hyperlink" Target="https://oqium.com/" TargetMode="External"/><Relationship Id="rId12" Type="http://schemas.openxmlformats.org/officeDocument/2006/relationships/hyperlink" Target="https://www.maxbone.com/" TargetMode="External"/><Relationship Id="rId91" Type="http://schemas.openxmlformats.org/officeDocument/2006/relationships/hyperlink" Target="https://www.gardnermuseum.org/" TargetMode="External"/><Relationship Id="rId90" Type="http://schemas.openxmlformats.org/officeDocument/2006/relationships/hyperlink" Target="https://shop.qcterme.com/" TargetMode="External"/><Relationship Id="rId93" Type="http://schemas.openxmlformats.org/officeDocument/2006/relationships/hyperlink" Target="https://www.smart-propylaia.com" TargetMode="External"/><Relationship Id="rId92" Type="http://schemas.openxmlformats.org/officeDocument/2006/relationships/hyperlink" Target="https://ravecoffee.co.uk/" TargetMode="External"/><Relationship Id="rId118" Type="http://schemas.openxmlformats.org/officeDocument/2006/relationships/hyperlink" Target="https://www.digitalmarketingagency.com/" TargetMode="External"/><Relationship Id="rId117" Type="http://schemas.openxmlformats.org/officeDocument/2006/relationships/hyperlink" Target="https://soho.com.au/" TargetMode="External"/><Relationship Id="rId116" Type="http://schemas.openxmlformats.org/officeDocument/2006/relationships/hyperlink" Target="https://www.seocalling.com/" TargetMode="External"/><Relationship Id="rId115" Type="http://schemas.openxmlformats.org/officeDocument/2006/relationships/hyperlink" Target="https://opsmatters.com/" TargetMode="External"/><Relationship Id="rId119" Type="http://schemas.openxmlformats.org/officeDocument/2006/relationships/hyperlink" Target="https://www.eivindholum.com/" TargetMode="External"/><Relationship Id="rId15" Type="http://schemas.openxmlformats.org/officeDocument/2006/relationships/hyperlink" Target="https://oakandeden.com/" TargetMode="External"/><Relationship Id="rId110" Type="http://schemas.openxmlformats.org/officeDocument/2006/relationships/hyperlink" Target="https://cleveroffers.com/" TargetMode="External"/><Relationship Id="rId14" Type="http://schemas.openxmlformats.org/officeDocument/2006/relationships/hyperlink" Target="https://www.giftshire.com/" TargetMode="External"/><Relationship Id="rId17" Type="http://schemas.openxmlformats.org/officeDocument/2006/relationships/hyperlink" Target="https://www.calpaktravel.com/" TargetMode="External"/><Relationship Id="rId16" Type="http://schemas.openxmlformats.org/officeDocument/2006/relationships/hyperlink" Target="https://www.rabobank.com/" TargetMode="External"/><Relationship Id="rId19" Type="http://schemas.openxmlformats.org/officeDocument/2006/relationships/hyperlink" Target="https://londonundercover.co.uk/" TargetMode="External"/><Relationship Id="rId114" Type="http://schemas.openxmlformats.org/officeDocument/2006/relationships/hyperlink" Target="https://cheqmark.io/" TargetMode="External"/><Relationship Id="rId18" Type="http://schemas.openxmlformats.org/officeDocument/2006/relationships/hyperlink" Target="https://e-liquids.com/" TargetMode="External"/><Relationship Id="rId113" Type="http://schemas.openxmlformats.org/officeDocument/2006/relationships/hyperlink" Target="https://thesocialcat.com/" TargetMode="External"/><Relationship Id="rId112" Type="http://schemas.openxmlformats.org/officeDocument/2006/relationships/hyperlink" Target="https://anna.money/" TargetMode="External"/><Relationship Id="rId111" Type="http://schemas.openxmlformats.org/officeDocument/2006/relationships/hyperlink" Target="https://www.careeraddict.com/" TargetMode="External"/><Relationship Id="rId84" Type="http://schemas.openxmlformats.org/officeDocument/2006/relationships/hyperlink" Target="https://www.rascalsbaby.com/" TargetMode="External"/><Relationship Id="rId83" Type="http://schemas.openxmlformats.org/officeDocument/2006/relationships/hyperlink" Target="https://watchhouse.com/" TargetMode="External"/><Relationship Id="rId86" Type="http://schemas.openxmlformats.org/officeDocument/2006/relationships/hyperlink" Target="https://rothys.com/" TargetMode="External"/><Relationship Id="rId85" Type="http://schemas.openxmlformats.org/officeDocument/2006/relationships/hyperlink" Target="https://visualalloy.com/" TargetMode="External"/><Relationship Id="rId88" Type="http://schemas.openxmlformats.org/officeDocument/2006/relationships/hyperlink" Target="https://ouraring.com/" TargetMode="External"/><Relationship Id="rId150" Type="http://schemas.openxmlformats.org/officeDocument/2006/relationships/hyperlink" Target="http://bellengineering.net/" TargetMode="External"/><Relationship Id="rId87" Type="http://schemas.openxmlformats.org/officeDocument/2006/relationships/hyperlink" Target="https://happyhabitat.com/" TargetMode="External"/><Relationship Id="rId89" Type="http://schemas.openxmlformats.org/officeDocument/2006/relationships/hyperlink" Target="http://www.squaresigns.com" TargetMode="External"/><Relationship Id="rId80" Type="http://schemas.openxmlformats.org/officeDocument/2006/relationships/hyperlink" Target="https://www.wappalyzer.com/technologies/ecommerce/salesforce-commerce-cloud/?utm_source=popup&amp;utm_medium=extension&amp;utm_campaign=wappalyzer" TargetMode="External"/><Relationship Id="rId82" Type="http://schemas.openxmlformats.org/officeDocument/2006/relationships/hyperlink" Target="https://www.paperandtea.com/" TargetMode="External"/><Relationship Id="rId81" Type="http://schemas.openxmlformats.org/officeDocument/2006/relationships/hyperlink" Target="https://www.louxibiza.com/" TargetMode="External"/><Relationship Id="rId1" Type="http://schemas.openxmlformats.org/officeDocument/2006/relationships/hyperlink" Target="https://seaislandcoffee.com/" TargetMode="External"/><Relationship Id="rId2" Type="http://schemas.openxmlformats.org/officeDocument/2006/relationships/hyperlink" Target="https://90seconds.com/" TargetMode="External"/><Relationship Id="rId3" Type="http://schemas.openxmlformats.org/officeDocument/2006/relationships/hyperlink" Target="https://pockittv.com/" TargetMode="External"/><Relationship Id="rId149" Type="http://schemas.openxmlformats.org/officeDocument/2006/relationships/hyperlink" Target="http://kayawell.com/" TargetMode="External"/><Relationship Id="rId4" Type="http://schemas.openxmlformats.org/officeDocument/2006/relationships/hyperlink" Target="https://www.thinkinggifts.com/" TargetMode="External"/><Relationship Id="rId148" Type="http://schemas.openxmlformats.org/officeDocument/2006/relationships/hyperlink" Target="http://store.outrightcrm.com/" TargetMode="External"/><Relationship Id="rId9" Type="http://schemas.openxmlformats.org/officeDocument/2006/relationships/hyperlink" Target="https://www.thirsty.com.sg/" TargetMode="External"/><Relationship Id="rId143" Type="http://schemas.openxmlformats.org/officeDocument/2006/relationships/hyperlink" Target="http://designsvalley.com/" TargetMode="External"/><Relationship Id="rId142" Type="http://schemas.openxmlformats.org/officeDocument/2006/relationships/hyperlink" Target="http://sunyday.net/" TargetMode="External"/><Relationship Id="rId141" Type="http://schemas.openxmlformats.org/officeDocument/2006/relationships/hyperlink" Target="http://advertisingavengers.co.uk/" TargetMode="External"/><Relationship Id="rId140" Type="http://schemas.openxmlformats.org/officeDocument/2006/relationships/hyperlink" Target="http://kingcomix.us/" TargetMode="External"/><Relationship Id="rId5" Type="http://schemas.openxmlformats.org/officeDocument/2006/relationships/hyperlink" Target="https://oppizi.com/" TargetMode="External"/><Relationship Id="rId147" Type="http://schemas.openxmlformats.org/officeDocument/2006/relationships/hyperlink" Target="http://diseasefix.com/" TargetMode="External"/><Relationship Id="rId6" Type="http://schemas.openxmlformats.org/officeDocument/2006/relationships/hyperlink" Target="https://us.foursigmatic.com/" TargetMode="External"/><Relationship Id="rId146" Type="http://schemas.openxmlformats.org/officeDocument/2006/relationships/hyperlink" Target="http://yourhealthmagazine.net/" TargetMode="External"/><Relationship Id="rId7" Type="http://schemas.openxmlformats.org/officeDocument/2006/relationships/hyperlink" Target="https://sazy.com/" TargetMode="External"/><Relationship Id="rId145" Type="http://schemas.openxmlformats.org/officeDocument/2006/relationships/hyperlink" Target="http://ginnastic.pk/" TargetMode="External"/><Relationship Id="rId8" Type="http://schemas.openxmlformats.org/officeDocument/2006/relationships/hyperlink" Target="https://sentimental.bike/" TargetMode="External"/><Relationship Id="rId144" Type="http://schemas.openxmlformats.org/officeDocument/2006/relationships/hyperlink" Target="http://bellengineering.net/" TargetMode="External"/><Relationship Id="rId73" Type="http://schemas.openxmlformats.org/officeDocument/2006/relationships/hyperlink" Target="https://hotboxcookies.com/" TargetMode="External"/><Relationship Id="rId72" Type="http://schemas.openxmlformats.org/officeDocument/2006/relationships/hyperlink" Target="https://www.bob-snail.com/" TargetMode="External"/><Relationship Id="rId75" Type="http://schemas.openxmlformats.org/officeDocument/2006/relationships/hyperlink" Target="https://www.giftshire.com/" TargetMode="External"/><Relationship Id="rId74" Type="http://schemas.openxmlformats.org/officeDocument/2006/relationships/hyperlink" Target="https://matelibre.com/" TargetMode="External"/><Relationship Id="rId77" Type="http://schemas.openxmlformats.org/officeDocument/2006/relationships/hyperlink" Target="https://fortycreekwhisky.com/" TargetMode="External"/><Relationship Id="rId76" Type="http://schemas.openxmlformats.org/officeDocument/2006/relationships/hyperlink" Target="https://frederikbagger.com/" TargetMode="External"/><Relationship Id="rId79" Type="http://schemas.openxmlformats.org/officeDocument/2006/relationships/hyperlink" Target="https://www.guerlain.com/" TargetMode="External"/><Relationship Id="rId78" Type="http://schemas.openxmlformats.org/officeDocument/2006/relationships/hyperlink" Target="https://gameofcups.tilda.ws/" TargetMode="External"/><Relationship Id="rId71" Type="http://schemas.openxmlformats.org/officeDocument/2006/relationships/hyperlink" Target="https://www.blok-knives.co.uk/" TargetMode="External"/><Relationship Id="rId70" Type="http://schemas.openxmlformats.org/officeDocument/2006/relationships/hyperlink" Target="https://nyetimber.com/" TargetMode="External"/><Relationship Id="rId139" Type="http://schemas.openxmlformats.org/officeDocument/2006/relationships/hyperlink" Target="http://kingcomix.us/" TargetMode="External"/><Relationship Id="rId138" Type="http://schemas.openxmlformats.org/officeDocument/2006/relationships/hyperlink" Target="http://thenewordermagazine.com/" TargetMode="External"/><Relationship Id="rId137" Type="http://schemas.openxmlformats.org/officeDocument/2006/relationships/hyperlink" Target="http://ukpostcode.org/" TargetMode="External"/><Relationship Id="rId132" Type="http://schemas.openxmlformats.org/officeDocument/2006/relationships/hyperlink" Target="http://dsnews.co.uk/" TargetMode="External"/><Relationship Id="rId131" Type="http://schemas.openxmlformats.org/officeDocument/2006/relationships/hyperlink" Target="http://siit.co/" TargetMode="External"/><Relationship Id="rId130" Type="http://schemas.openxmlformats.org/officeDocument/2006/relationships/hyperlink" Target="http://dutable.com/" TargetMode="External"/><Relationship Id="rId136" Type="http://schemas.openxmlformats.org/officeDocument/2006/relationships/hyperlink" Target="http://omgflix.co.uk/" TargetMode="External"/><Relationship Id="rId135" Type="http://schemas.openxmlformats.org/officeDocument/2006/relationships/hyperlink" Target="http://techinfobusiness.com/" TargetMode="External"/><Relationship Id="rId134" Type="http://schemas.openxmlformats.org/officeDocument/2006/relationships/hyperlink" Target="http://timebusinessnews.com/" TargetMode="External"/><Relationship Id="rId133" Type="http://schemas.openxmlformats.org/officeDocument/2006/relationships/hyperlink" Target="http://sfm-compile.com/" TargetMode="External"/><Relationship Id="rId62" Type="http://schemas.openxmlformats.org/officeDocument/2006/relationships/hyperlink" Target="http://campcompass.com/" TargetMode="External"/><Relationship Id="rId61" Type="http://schemas.openxmlformats.org/officeDocument/2006/relationships/hyperlink" Target="https://homesmart-usa.com/" TargetMode="External"/><Relationship Id="rId64" Type="http://schemas.openxmlformats.org/officeDocument/2006/relationships/hyperlink" Target="https://firetheboss.com/" TargetMode="External"/><Relationship Id="rId63" Type="http://schemas.openxmlformats.org/officeDocument/2006/relationships/hyperlink" Target="https://www.falcon-llc.com/" TargetMode="External"/><Relationship Id="rId66" Type="http://schemas.openxmlformats.org/officeDocument/2006/relationships/hyperlink" Target="https://cruxprime.com/" TargetMode="External"/><Relationship Id="rId172" Type="http://schemas.openxmlformats.org/officeDocument/2006/relationships/hyperlink" Target="http://portotheme.com/" TargetMode="External"/><Relationship Id="rId65" Type="http://schemas.openxmlformats.org/officeDocument/2006/relationships/hyperlink" Target="https://journal.faraboutique.com/" TargetMode="External"/><Relationship Id="rId171" Type="http://schemas.openxmlformats.org/officeDocument/2006/relationships/hyperlink" Target="http://fieldpromax.com/" TargetMode="External"/><Relationship Id="rId68" Type="http://schemas.openxmlformats.org/officeDocument/2006/relationships/hyperlink" Target="https://letters.app/" TargetMode="External"/><Relationship Id="rId170" Type="http://schemas.openxmlformats.org/officeDocument/2006/relationships/hyperlink" Target="http://socialchamp.com/" TargetMode="External"/><Relationship Id="rId67" Type="http://schemas.openxmlformats.org/officeDocument/2006/relationships/hyperlink" Target="https://trumotionma.com/" TargetMode="External"/><Relationship Id="rId60" Type="http://schemas.openxmlformats.org/officeDocument/2006/relationships/hyperlink" Target="http://webuyfobs.com/" TargetMode="External"/><Relationship Id="rId165" Type="http://schemas.openxmlformats.org/officeDocument/2006/relationships/hyperlink" Target="http://techzeel.net/" TargetMode="External"/><Relationship Id="rId69" Type="http://schemas.openxmlformats.org/officeDocument/2006/relationships/hyperlink" Target="https://bloomscroll.com/" TargetMode="External"/><Relationship Id="rId164" Type="http://schemas.openxmlformats.org/officeDocument/2006/relationships/hyperlink" Target="http://newskysecurity.com/" TargetMode="External"/><Relationship Id="rId163" Type="http://schemas.openxmlformats.org/officeDocument/2006/relationships/hyperlink" Target="http://analyticsinsight.net/" TargetMode="External"/><Relationship Id="rId162" Type="http://schemas.openxmlformats.org/officeDocument/2006/relationships/hyperlink" Target="http://martal.ca/" TargetMode="External"/><Relationship Id="rId169" Type="http://schemas.openxmlformats.org/officeDocument/2006/relationships/hyperlink" Target="http://chartexpo.com/" TargetMode="External"/><Relationship Id="rId168" Type="http://schemas.openxmlformats.org/officeDocument/2006/relationships/hyperlink" Target="http://gracethemes.com/" TargetMode="External"/><Relationship Id="rId167" Type="http://schemas.openxmlformats.org/officeDocument/2006/relationships/hyperlink" Target="http://traffictail.com/" TargetMode="External"/><Relationship Id="rId166" Type="http://schemas.openxmlformats.org/officeDocument/2006/relationships/hyperlink" Target="http://forcreators.com/" TargetMode="External"/><Relationship Id="rId51" Type="http://schemas.openxmlformats.org/officeDocument/2006/relationships/hyperlink" Target="https://drloisfrankel.com/" TargetMode="External"/><Relationship Id="rId50" Type="http://schemas.openxmlformats.org/officeDocument/2006/relationships/hyperlink" Target="https://www.reels-agentur.ch/" TargetMode="External"/><Relationship Id="rId53" Type="http://schemas.openxmlformats.org/officeDocument/2006/relationships/hyperlink" Target="https://66hopelofts.com/" TargetMode="External"/><Relationship Id="rId52" Type="http://schemas.openxmlformats.org/officeDocument/2006/relationships/hyperlink" Target="https://juicemediallc.com/" TargetMode="External"/><Relationship Id="rId55" Type="http://schemas.openxmlformats.org/officeDocument/2006/relationships/hyperlink" Target="https://senioxford.co.uk/" TargetMode="External"/><Relationship Id="rId161" Type="http://schemas.openxmlformats.org/officeDocument/2006/relationships/hyperlink" Target="http://webweq.com/" TargetMode="External"/><Relationship Id="rId54" Type="http://schemas.openxmlformats.org/officeDocument/2006/relationships/hyperlink" Target="https://nisquallynests.com/" TargetMode="External"/><Relationship Id="rId160" Type="http://schemas.openxmlformats.org/officeDocument/2006/relationships/hyperlink" Target="http://dailynewshungary.com/" TargetMode="External"/><Relationship Id="rId57" Type="http://schemas.openxmlformats.org/officeDocument/2006/relationships/hyperlink" Target="http://mbalinwoko.com/" TargetMode="External"/><Relationship Id="rId56" Type="http://schemas.openxmlformats.org/officeDocument/2006/relationships/hyperlink" Target="https://paymentfinancial.net/" TargetMode="External"/><Relationship Id="rId159" Type="http://schemas.openxmlformats.org/officeDocument/2006/relationships/hyperlink" Target="http://prothotss.com/" TargetMode="External"/><Relationship Id="rId59" Type="http://schemas.openxmlformats.org/officeDocument/2006/relationships/hyperlink" Target="https://sprinklerrepairpros.com/" TargetMode="External"/><Relationship Id="rId154" Type="http://schemas.openxmlformats.org/officeDocument/2006/relationships/hyperlink" Target="http://kea-home.com/" TargetMode="External"/><Relationship Id="rId58" Type="http://schemas.openxmlformats.org/officeDocument/2006/relationships/hyperlink" Target="https://englishtoexcel.net/" TargetMode="External"/><Relationship Id="rId153" Type="http://schemas.openxmlformats.org/officeDocument/2006/relationships/hyperlink" Target="http://hackslifestyle.com/" TargetMode="External"/><Relationship Id="rId152" Type="http://schemas.openxmlformats.org/officeDocument/2006/relationships/hyperlink" Target="http://lawbhoomi.com/" TargetMode="External"/><Relationship Id="rId151" Type="http://schemas.openxmlformats.org/officeDocument/2006/relationships/hyperlink" Target="http://iicandm.org/" TargetMode="External"/><Relationship Id="rId158" Type="http://schemas.openxmlformats.org/officeDocument/2006/relationships/hyperlink" Target="http://shineyourlightblog.com/" TargetMode="External"/><Relationship Id="rId157" Type="http://schemas.openxmlformats.org/officeDocument/2006/relationships/hyperlink" Target="http://rsisinternational.org/" TargetMode="External"/><Relationship Id="rId156" Type="http://schemas.openxmlformats.org/officeDocument/2006/relationships/hyperlink" Target="http://greenecodream.com/" TargetMode="External"/><Relationship Id="rId155" Type="http://schemas.openxmlformats.org/officeDocument/2006/relationships/hyperlink" Target="http://kea-home.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runpod.io/"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pockittv.com/?" TargetMode="External"/><Relationship Id="rId2" Type="http://schemas.openxmlformats.org/officeDocument/2006/relationships/hyperlink" Target="http://pockittv.com/" TargetMode="External"/><Relationship Id="rId3" Type="http://schemas.openxmlformats.org/officeDocument/2006/relationships/hyperlink" Target="https://seaislandcoffee.com/" TargetMode="External"/><Relationship Id="rId4" Type="http://schemas.openxmlformats.org/officeDocument/2006/relationships/hyperlink" Target="https://londonundercover.co.uk/" TargetMode="External"/><Relationship Id="rId5" Type="http://schemas.openxmlformats.org/officeDocument/2006/relationships/hyperlink" Target="https://nyrahbeauty.com/" TargetMode="External"/><Relationship Id="rId6" Type="http://schemas.openxmlformats.org/officeDocument/2006/relationships/hyperlink" Target="https://pratesi.com/" TargetMode="Externa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1" Type="http://schemas.openxmlformats.org/officeDocument/2006/relationships/hyperlink" Target="https://github.com/jake-jorgovan" TargetMode="External"/><Relationship Id="rId10" Type="http://schemas.openxmlformats.org/officeDocument/2006/relationships/hyperlink" Target="https://github.com/vianney-morain" TargetMode="External"/><Relationship Id="rId13" Type="http://schemas.openxmlformats.org/officeDocument/2006/relationships/hyperlink" Target="https://github.com/erik-fr-andersson" TargetMode="External"/><Relationship Id="rId12" Type="http://schemas.openxmlformats.org/officeDocument/2006/relationships/hyperlink" Target="https://github.com/thomas-celek" TargetMode="External"/><Relationship Id="rId15" Type="http://schemas.openxmlformats.org/officeDocument/2006/relationships/hyperlink" Target="http://reid.al/" TargetMode="External"/><Relationship Id="rId14" Type="http://schemas.openxmlformats.org/officeDocument/2006/relationships/hyperlink" Target="https://outlook.live.com/mail/0/deeplink/compose?popoutv2=1&amp;to=amyrauphoto@gmail.com" TargetMode="External"/><Relationship Id="rId17" Type="http://schemas.openxmlformats.org/officeDocument/2006/relationships/hyperlink" Target="https://outlook.live.com/mail/0/" TargetMode="External"/><Relationship Id="rId16" Type="http://schemas.openxmlformats.org/officeDocument/2006/relationships/hyperlink" Target="http://signup.live.com/signup" TargetMode="External"/><Relationship Id="rId18" Type="http://schemas.openxmlformats.org/officeDocument/2006/relationships/drawing" Target="../drawings/drawing7.xml"/><Relationship Id="rId1" Type="http://schemas.openxmlformats.org/officeDocument/2006/relationships/hyperlink" Target="http://miketaylor036outlook.com/" TargetMode="External"/><Relationship Id="rId2" Type="http://schemas.openxmlformats.org/officeDocument/2006/relationships/hyperlink" Target="http://reid.al/" TargetMode="External"/><Relationship Id="rId3" Type="http://schemas.openxmlformats.org/officeDocument/2006/relationships/hyperlink" Target="https://github.com/mike-teiler" TargetMode="External"/><Relationship Id="rId4" Type="http://schemas.openxmlformats.org/officeDocument/2006/relationships/hyperlink" Target="https://github.com/anttonio-dent" TargetMode="External"/><Relationship Id="rId9" Type="http://schemas.openxmlformats.org/officeDocument/2006/relationships/hyperlink" Target="https://github.com/reid-al-harrison" TargetMode="External"/><Relationship Id="rId5" Type="http://schemas.openxmlformats.org/officeDocument/2006/relationships/hyperlink" Target="https://github.com/dachi-khelashvili" TargetMode="External"/><Relationship Id="rId6" Type="http://schemas.openxmlformats.org/officeDocument/2006/relationships/hyperlink" Target="https://github.com/seean-stevenson" TargetMode="External"/><Relationship Id="rId7" Type="http://schemas.openxmlformats.org/officeDocument/2006/relationships/hyperlink" Target="https://github.com/hector-monsegur" TargetMode="External"/><Relationship Id="rId8" Type="http://schemas.openxmlformats.org/officeDocument/2006/relationships/hyperlink" Target="https://github.com/mark-ab-veron" TargetMode="External"/></Relationships>
</file>

<file path=xl/worksheets/_rels/sheet8.xml.rels><?xml version="1.0" encoding="UTF-8" standalone="yes"?><Relationships xmlns="http://schemas.openxmlformats.org/package/2006/relationships"><Relationship Id="rId20" Type="http://schemas.openxmlformats.org/officeDocument/2006/relationships/hyperlink" Target="https://mimibelt.com/products/pregnancy-safety-belt" TargetMode="External"/><Relationship Id="rId22" Type="http://schemas.openxmlformats.org/officeDocument/2006/relationships/hyperlink" Target="https://cheqmark.io/" TargetMode="External"/><Relationship Id="rId21" Type="http://schemas.openxmlformats.org/officeDocument/2006/relationships/hyperlink" Target="https://anna.money/" TargetMode="External"/><Relationship Id="rId24" Type="http://schemas.openxmlformats.org/officeDocument/2006/relationships/hyperlink" Target="https://github.com/anttonio-dent" TargetMode="External"/><Relationship Id="rId23" Type="http://schemas.openxmlformats.org/officeDocument/2006/relationships/hyperlink" Target="https://github.com/dachi-khelashvili" TargetMode="External"/><Relationship Id="rId26" Type="http://schemas.openxmlformats.org/officeDocument/2006/relationships/drawing" Target="../drawings/drawing8.xml"/><Relationship Id="rId25" Type="http://schemas.openxmlformats.org/officeDocument/2006/relationships/hyperlink" Target="https://github.com/seean-stevenson" TargetMode="External"/><Relationship Id="rId11" Type="http://schemas.openxmlformats.org/officeDocument/2006/relationships/hyperlink" Target="https://rothys.com/" TargetMode="External"/><Relationship Id="rId10" Type="http://schemas.openxmlformats.org/officeDocument/2006/relationships/hyperlink" Target="https://90seconds.com/" TargetMode="External"/><Relationship Id="rId13" Type="http://schemas.openxmlformats.org/officeDocument/2006/relationships/hyperlink" Target="https://pockittv.com/" TargetMode="External"/><Relationship Id="rId12" Type="http://schemas.openxmlformats.org/officeDocument/2006/relationships/hyperlink" Target="https://www.smart-propylaia.com/" TargetMode="External"/><Relationship Id="rId15" Type="http://schemas.openxmlformats.org/officeDocument/2006/relationships/hyperlink" Target="https://nyetimber.com/" TargetMode="External"/><Relationship Id="rId14" Type="http://schemas.openxmlformats.org/officeDocument/2006/relationships/hyperlink" Target="https://www.squaresigns.com/" TargetMode="External"/><Relationship Id="rId17" Type="http://schemas.openxmlformats.org/officeDocument/2006/relationships/hyperlink" Target="https://oppizi.com/" TargetMode="External"/><Relationship Id="rId16" Type="http://schemas.openxmlformats.org/officeDocument/2006/relationships/hyperlink" Target="https://seaislandcoffee.com/" TargetMode="External"/><Relationship Id="rId19" Type="http://schemas.openxmlformats.org/officeDocument/2006/relationships/hyperlink" Target="https://aspiring.leaders.f5capitaldebtfund.com/" TargetMode="External"/><Relationship Id="rId18" Type="http://schemas.openxmlformats.org/officeDocument/2006/relationships/hyperlink" Target="https://www.paperandtea.com/" TargetMode="External"/><Relationship Id="rId1" Type="http://schemas.openxmlformats.org/officeDocument/2006/relationships/hyperlink" Target="https://pockittv.com/" TargetMode="External"/><Relationship Id="rId2" Type="http://schemas.openxmlformats.org/officeDocument/2006/relationships/hyperlink" Target="https://oppizi.com/" TargetMode="External"/><Relationship Id="rId3" Type="http://schemas.openxmlformats.org/officeDocument/2006/relationships/hyperlink" Target="https://www.scorchsoft.com/" TargetMode="External"/><Relationship Id="rId4" Type="http://schemas.openxmlformats.org/officeDocument/2006/relationships/hyperlink" Target="https://oppizi.com/" TargetMode="External"/><Relationship Id="rId9" Type="http://schemas.openxmlformats.org/officeDocument/2006/relationships/hyperlink" Target="https://www.iqlance.com/" TargetMode="External"/><Relationship Id="rId5" Type="http://schemas.openxmlformats.org/officeDocument/2006/relationships/hyperlink" Target="https://buildlab.co/" TargetMode="External"/><Relationship Id="rId6" Type="http://schemas.openxmlformats.org/officeDocument/2006/relationships/hyperlink" Target="https://element-software.co.uk/" TargetMode="External"/><Relationship Id="rId7" Type="http://schemas.openxmlformats.org/officeDocument/2006/relationships/hyperlink" Target="https://90seconds.com/" TargetMode="External"/><Relationship Id="rId8" Type="http://schemas.openxmlformats.org/officeDocument/2006/relationships/hyperlink" Target="https://www.thinknimble.com/"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40" Type="http://schemas.openxmlformats.org/officeDocument/2006/relationships/hyperlink" Target="https://www.upwork.com/jobs/~021982301167238052048" TargetMode="External"/><Relationship Id="rId42" Type="http://schemas.openxmlformats.org/officeDocument/2006/relationships/hyperlink" Target="https://www.upwork.com/jobs/~021983155688481584306" TargetMode="External"/><Relationship Id="rId41" Type="http://schemas.openxmlformats.org/officeDocument/2006/relationships/hyperlink" Target="https://www.upwork.com/jobs/~021982812261195851184" TargetMode="External"/><Relationship Id="rId44" Type="http://schemas.openxmlformats.org/officeDocument/2006/relationships/hyperlink" Target="https://www.upwork.com/jobs/~021983193693451633131" TargetMode="External"/><Relationship Id="rId43" Type="http://schemas.openxmlformats.org/officeDocument/2006/relationships/hyperlink" Target="https://www.upwork.com/jobs/~021983195994514093234" TargetMode="External"/><Relationship Id="rId46" Type="http://schemas.openxmlformats.org/officeDocument/2006/relationships/hyperlink" Target="https://www.upwork.com/jobs/~021983278093026811896" TargetMode="External"/><Relationship Id="rId45" Type="http://schemas.openxmlformats.org/officeDocument/2006/relationships/hyperlink" Target="https://www.upwork.com/jobs/~021983232552830943723" TargetMode="External"/><Relationship Id="rId107" Type="http://schemas.openxmlformats.org/officeDocument/2006/relationships/hyperlink" Target="https://www.upwork.com/jobs/~021988635390129276416" TargetMode="External"/><Relationship Id="rId106" Type="http://schemas.openxmlformats.org/officeDocument/2006/relationships/hyperlink" Target="https://www.upwork.com/jobs/~021988506311090330922" TargetMode="External"/><Relationship Id="rId105" Type="http://schemas.openxmlformats.org/officeDocument/2006/relationships/hyperlink" Target="https://www.upwork.com/jobs/~021988531060071816490" TargetMode="External"/><Relationship Id="rId104" Type="http://schemas.openxmlformats.org/officeDocument/2006/relationships/hyperlink" Target="https://www.upwork.com/jobs/~021988333598413197617" TargetMode="External"/><Relationship Id="rId109" Type="http://schemas.openxmlformats.org/officeDocument/2006/relationships/hyperlink" Target="https://www.upwork.com/jobs/~021988658837377528508" TargetMode="External"/><Relationship Id="rId108" Type="http://schemas.openxmlformats.org/officeDocument/2006/relationships/hyperlink" Target="https://90seconds.com/" TargetMode="External"/><Relationship Id="rId48" Type="http://schemas.openxmlformats.org/officeDocument/2006/relationships/hyperlink" Target="https://www.upwork.com/jobs/~021983586728467563060" TargetMode="External"/><Relationship Id="rId47" Type="http://schemas.openxmlformats.org/officeDocument/2006/relationships/hyperlink" Target="https://www.upwork.com/jobs/~021983295369361670635" TargetMode="External"/><Relationship Id="rId49" Type="http://schemas.openxmlformats.org/officeDocument/2006/relationships/hyperlink" Target="https://www.upwork.com/jobs/~021983589471578105264" TargetMode="External"/><Relationship Id="rId103" Type="http://schemas.openxmlformats.org/officeDocument/2006/relationships/hyperlink" Target="https://www.upwork.com/jobs/~021988327306307438443" TargetMode="External"/><Relationship Id="rId102" Type="http://schemas.openxmlformats.org/officeDocument/2006/relationships/hyperlink" Target="https://www.upwork.com/jobs/~021988263143870337329" TargetMode="External"/><Relationship Id="rId101" Type="http://schemas.openxmlformats.org/officeDocument/2006/relationships/hyperlink" Target="https://www.upwork.com/jobs/~021988244513003013995" TargetMode="External"/><Relationship Id="rId100" Type="http://schemas.openxmlformats.org/officeDocument/2006/relationships/hyperlink" Target="https://www.upwork.com/jobs/~021988233721183167627" TargetMode="External"/><Relationship Id="rId31" Type="http://schemas.openxmlformats.org/officeDocument/2006/relationships/hyperlink" Target="https://www.upwork.com/jobs/~021981370829717847758" TargetMode="External"/><Relationship Id="rId30" Type="http://schemas.openxmlformats.org/officeDocument/2006/relationships/hyperlink" Target="https://www.upwork.com/jobs/~021981125885452936889" TargetMode="External"/><Relationship Id="rId33" Type="http://schemas.openxmlformats.org/officeDocument/2006/relationships/hyperlink" Target="https://www.upwork.com/jobs/~021981463919446034656" TargetMode="External"/><Relationship Id="rId32" Type="http://schemas.openxmlformats.org/officeDocument/2006/relationships/hyperlink" Target="https://www.upwork.com/jobs/~021981447577372297440" TargetMode="External"/><Relationship Id="rId35" Type="http://schemas.openxmlformats.org/officeDocument/2006/relationships/hyperlink" Target="https://www.upwork.com/jobs/~021981503506251876576" TargetMode="External"/><Relationship Id="rId34" Type="http://schemas.openxmlformats.org/officeDocument/2006/relationships/hyperlink" Target="https://www.upwork.com/jobs/~021981480512051883378" TargetMode="External"/><Relationship Id="rId37" Type="http://schemas.openxmlformats.org/officeDocument/2006/relationships/hyperlink" Target="https://www.upwork.com/jobs/~021981797698514880874" TargetMode="External"/><Relationship Id="rId36" Type="http://schemas.openxmlformats.org/officeDocument/2006/relationships/hyperlink" Target="https://www.upwork.com/jobs/~021981759147740638578" TargetMode="External"/><Relationship Id="rId39" Type="http://schemas.openxmlformats.org/officeDocument/2006/relationships/hyperlink" Target="https://www.upwork.com/jobs/~021981837666319478130" TargetMode="External"/><Relationship Id="rId38" Type="http://schemas.openxmlformats.org/officeDocument/2006/relationships/hyperlink" Target="https://www.upwork.com/jobs/~021981824051193458034" TargetMode="External"/><Relationship Id="rId20" Type="http://schemas.openxmlformats.org/officeDocument/2006/relationships/hyperlink" Target="https://www.upwork.com/jobs/~021980386949380233831" TargetMode="External"/><Relationship Id="rId22" Type="http://schemas.openxmlformats.org/officeDocument/2006/relationships/hyperlink" Target="https://www.upwork.com/jobs/~021980712021279949666" TargetMode="External"/><Relationship Id="rId21" Type="http://schemas.openxmlformats.org/officeDocument/2006/relationships/hyperlink" Target="https://www.upwork.com/jobs/~021980700199045093991" TargetMode="External"/><Relationship Id="rId24" Type="http://schemas.openxmlformats.org/officeDocument/2006/relationships/hyperlink" Target="https://www.upwork.com/jobs/~021980758682050288231" TargetMode="External"/><Relationship Id="rId23" Type="http://schemas.openxmlformats.org/officeDocument/2006/relationships/hyperlink" Target="https://www.upwork.com/jobs/~021980721666774057826" TargetMode="External"/><Relationship Id="rId129" Type="http://schemas.openxmlformats.org/officeDocument/2006/relationships/hyperlink" Target="https://www.upwork.com/jobs/~021991207698916869718" TargetMode="External"/><Relationship Id="rId128" Type="http://schemas.openxmlformats.org/officeDocument/2006/relationships/hyperlink" Target="https://www.upwork.com/jobs/~021991197095947044438" TargetMode="External"/><Relationship Id="rId127" Type="http://schemas.openxmlformats.org/officeDocument/2006/relationships/hyperlink" Target="https://www.upwork.com/jobs/~021991195339751123439" TargetMode="External"/><Relationship Id="rId126" Type="http://schemas.openxmlformats.org/officeDocument/2006/relationships/hyperlink" Target="https://www.upwork.com/jobs/~021991045274522657406" TargetMode="External"/><Relationship Id="rId26" Type="http://schemas.openxmlformats.org/officeDocument/2006/relationships/hyperlink" Target="https://www.upwork.com/jobs/~021980960389316560156" TargetMode="External"/><Relationship Id="rId121" Type="http://schemas.openxmlformats.org/officeDocument/2006/relationships/hyperlink" Target="https://www.upwork.com/jobs/~021990843661884491350" TargetMode="External"/><Relationship Id="rId25" Type="http://schemas.openxmlformats.org/officeDocument/2006/relationships/hyperlink" Target="https://www.upwork.com/jobs/~021980782953310765922" TargetMode="External"/><Relationship Id="rId120" Type="http://schemas.openxmlformats.org/officeDocument/2006/relationships/hyperlink" Target="https://www.upwork.com/jobs/~021990851429865608985" TargetMode="External"/><Relationship Id="rId28" Type="http://schemas.openxmlformats.org/officeDocument/2006/relationships/hyperlink" Target="https://www.upwork.com/jobs/~021981013412940973561" TargetMode="External"/><Relationship Id="rId27" Type="http://schemas.openxmlformats.org/officeDocument/2006/relationships/hyperlink" Target="https://www.upwork.com/jobs/~021980997296929424226" TargetMode="External"/><Relationship Id="rId125" Type="http://schemas.openxmlformats.org/officeDocument/2006/relationships/hyperlink" Target="https://www.upwork.com/jobs/~021990916665578979707" TargetMode="External"/><Relationship Id="rId29" Type="http://schemas.openxmlformats.org/officeDocument/2006/relationships/hyperlink" Target="https://www.upwork.com/jobs/~021981108931439746721" TargetMode="External"/><Relationship Id="rId124" Type="http://schemas.openxmlformats.org/officeDocument/2006/relationships/hyperlink" Target="https://www.upwork.com/jobs/~021990882484218065327" TargetMode="External"/><Relationship Id="rId123" Type="http://schemas.openxmlformats.org/officeDocument/2006/relationships/hyperlink" Target="https://seaislandcoffee.com/" TargetMode="External"/><Relationship Id="rId122" Type="http://schemas.openxmlformats.org/officeDocument/2006/relationships/hyperlink" Target="https://www.upwork.com/jobs/~021990872508482881110" TargetMode="External"/><Relationship Id="rId95" Type="http://schemas.openxmlformats.org/officeDocument/2006/relationships/hyperlink" Target="http://90seconds.com/" TargetMode="External"/><Relationship Id="rId94" Type="http://schemas.openxmlformats.org/officeDocument/2006/relationships/hyperlink" Target="https://www.upwork.com/jobs/~021987987112608359563" TargetMode="External"/><Relationship Id="rId97" Type="http://schemas.openxmlformats.org/officeDocument/2006/relationships/hyperlink" Target="https://www.upwork.com/jobs/~021988004850816343338" TargetMode="External"/><Relationship Id="rId96" Type="http://schemas.openxmlformats.org/officeDocument/2006/relationships/hyperlink" Target="https://www.upwork.com/jobs/~021988006096310765419" TargetMode="External"/><Relationship Id="rId11" Type="http://schemas.openxmlformats.org/officeDocument/2006/relationships/hyperlink" Target="https://www.upwork.com/jobs/~021978915941756687174" TargetMode="External"/><Relationship Id="rId99" Type="http://schemas.openxmlformats.org/officeDocument/2006/relationships/hyperlink" Target="https://www.upwork.com/jobs/~021988126101252301963" TargetMode="External"/><Relationship Id="rId10" Type="http://schemas.openxmlformats.org/officeDocument/2006/relationships/hyperlink" Target="https://www.upwork.com/jobs/~021978877777230943046" TargetMode="External"/><Relationship Id="rId98" Type="http://schemas.openxmlformats.org/officeDocument/2006/relationships/hyperlink" Target="https://www.upwork.com/jobs/~021988154900611371313" TargetMode="External"/><Relationship Id="rId13" Type="http://schemas.openxmlformats.org/officeDocument/2006/relationships/hyperlink" Target="https://www.upwork.com/jobs/~021979770542450663673" TargetMode="External"/><Relationship Id="rId12" Type="http://schemas.openxmlformats.org/officeDocument/2006/relationships/hyperlink" Target="https://www.upwork.com/jobs/~021978923819345942898" TargetMode="External"/><Relationship Id="rId91" Type="http://schemas.openxmlformats.org/officeDocument/2006/relationships/hyperlink" Target="https://www.upwork.com/jobs/~021987905776129446193" TargetMode="External"/><Relationship Id="rId90" Type="http://schemas.openxmlformats.org/officeDocument/2006/relationships/hyperlink" Target="https://github.com/dachi-khelashvili/online-shop-backend." TargetMode="External"/><Relationship Id="rId93" Type="http://schemas.openxmlformats.org/officeDocument/2006/relationships/hyperlink" Target="https://seaislandcoffee.com/" TargetMode="External"/><Relationship Id="rId92" Type="http://schemas.openxmlformats.org/officeDocument/2006/relationships/hyperlink" Target="https://www.upwork.com/jobs/~021987967061087970443" TargetMode="External"/><Relationship Id="rId118" Type="http://schemas.openxmlformats.org/officeDocument/2006/relationships/hyperlink" Target="https://www.upwork.com/jobs/~021990520516400183267" TargetMode="External"/><Relationship Id="rId117" Type="http://schemas.openxmlformats.org/officeDocument/2006/relationships/hyperlink" Target="https://www.upwork.com/jobs/~021990518851594477012" TargetMode="External"/><Relationship Id="rId116" Type="http://schemas.openxmlformats.org/officeDocument/2006/relationships/hyperlink" Target="https://www.upwork.com/jobs/~021990416744605948570" TargetMode="External"/><Relationship Id="rId115" Type="http://schemas.openxmlformats.org/officeDocument/2006/relationships/hyperlink" Target="https://www.upwork.com/jobs/~021990388904466932296" TargetMode="External"/><Relationship Id="rId119" Type="http://schemas.openxmlformats.org/officeDocument/2006/relationships/hyperlink" Target="https://www.upwork.com/jobs/~021990563141706643427" TargetMode="External"/><Relationship Id="rId15" Type="http://schemas.openxmlformats.org/officeDocument/2006/relationships/hyperlink" Target="https://www.upwork.com/jobs/~021979757101929324793" TargetMode="External"/><Relationship Id="rId110" Type="http://schemas.openxmlformats.org/officeDocument/2006/relationships/hyperlink" Target="https://graphql-weather-app.vercel.app/" TargetMode="External"/><Relationship Id="rId14" Type="http://schemas.openxmlformats.org/officeDocument/2006/relationships/hyperlink" Target="https://www.upwork.com/jobs/~021979765456047563001" TargetMode="External"/><Relationship Id="rId17" Type="http://schemas.openxmlformats.org/officeDocument/2006/relationships/hyperlink" Target="https://www.upwork.com/jobs/~021980304644666611316" TargetMode="External"/><Relationship Id="rId16" Type="http://schemas.openxmlformats.org/officeDocument/2006/relationships/hyperlink" Target="https://www.upwork.com/jobs/~021980311930646406740" TargetMode="External"/><Relationship Id="rId19" Type="http://schemas.openxmlformats.org/officeDocument/2006/relationships/hyperlink" Target="https://www.upwork.com/jobs/~021980362841686858343" TargetMode="External"/><Relationship Id="rId114" Type="http://schemas.openxmlformats.org/officeDocument/2006/relationships/hyperlink" Target="https://www.upwork.com/jobs/~021990323537735905730" TargetMode="External"/><Relationship Id="rId18" Type="http://schemas.openxmlformats.org/officeDocument/2006/relationships/hyperlink" Target="https://www.upwork.com/jobs/~021980337290634735048" TargetMode="External"/><Relationship Id="rId113" Type="http://schemas.openxmlformats.org/officeDocument/2006/relationships/hyperlink" Target="https://www.upwork.com/jobs/~021988938471822340796" TargetMode="External"/><Relationship Id="rId112" Type="http://schemas.openxmlformats.org/officeDocument/2006/relationships/hyperlink" Target="https://www.upwork.com/jobs/~021988738490559170048" TargetMode="External"/><Relationship Id="rId111" Type="http://schemas.openxmlformats.org/officeDocument/2006/relationships/hyperlink" Target="https://www.upwork.com/jobs/~021988659547830757691" TargetMode="External"/><Relationship Id="rId84" Type="http://schemas.openxmlformats.org/officeDocument/2006/relationships/hyperlink" Target="https://www.upwork.com/jobs/~021986512284327135004" TargetMode="External"/><Relationship Id="rId83" Type="http://schemas.openxmlformats.org/officeDocument/2006/relationships/hyperlink" Target="http://90seconds.com/" TargetMode="External"/><Relationship Id="rId86" Type="http://schemas.openxmlformats.org/officeDocument/2006/relationships/hyperlink" Target="https://www.upwork.com/jobs/~021986549139306734259" TargetMode="External"/><Relationship Id="rId85" Type="http://schemas.openxmlformats.org/officeDocument/2006/relationships/hyperlink" Target="http://pockittv.com/" TargetMode="External"/><Relationship Id="rId88" Type="http://schemas.openxmlformats.org/officeDocument/2006/relationships/hyperlink" Target="https://www.upwork.com/jobs/~021986858003487573788" TargetMode="External"/><Relationship Id="rId150" Type="http://schemas.openxmlformats.org/officeDocument/2006/relationships/hyperlink" Target="https://www.upwork.com/jobs/~021993076210331744190" TargetMode="External"/><Relationship Id="rId87" Type="http://schemas.openxmlformats.org/officeDocument/2006/relationships/hyperlink" Target="https://www.upwork.com/jobs/~021986565719147726620" TargetMode="External"/><Relationship Id="rId89" Type="http://schemas.openxmlformats.org/officeDocument/2006/relationships/hyperlink" Target="https://www.upwork.com/jobs/~021987817539519079563" TargetMode="External"/><Relationship Id="rId80" Type="http://schemas.openxmlformats.org/officeDocument/2006/relationships/hyperlink" Target="https://www.upwork.com/jobs/~021986411130413429496" TargetMode="External"/><Relationship Id="rId82" Type="http://schemas.openxmlformats.org/officeDocument/2006/relationships/hyperlink" Target="https://www.upwork.com/jobs/~021986413986973528824" TargetMode="External"/><Relationship Id="rId81" Type="http://schemas.openxmlformats.org/officeDocument/2006/relationships/hyperlink" Target="https://github.com/dachi-khelashvili/online-shop-backend" TargetMode="External"/><Relationship Id="rId1" Type="http://schemas.openxmlformats.org/officeDocument/2006/relationships/hyperlink" Target="https://www.upwork.com/jobs/~021978468172968197271" TargetMode="External"/><Relationship Id="rId2" Type="http://schemas.openxmlformats.org/officeDocument/2006/relationships/hyperlink" Target="https://www.upwork.com/jobs/~021978493496008270573" TargetMode="External"/><Relationship Id="rId3" Type="http://schemas.openxmlformats.org/officeDocument/2006/relationships/hyperlink" Target="https://www.upwork.com/jobs/~021978509154431427309" TargetMode="External"/><Relationship Id="rId149" Type="http://schemas.openxmlformats.org/officeDocument/2006/relationships/hyperlink" Target="https://www.upwork.com/jobs/~021993035976475452030" TargetMode="External"/><Relationship Id="rId4" Type="http://schemas.openxmlformats.org/officeDocument/2006/relationships/hyperlink" Target="https://www.upwork.com/jobs/~021978516393305559878" TargetMode="External"/><Relationship Id="rId148" Type="http://schemas.openxmlformats.org/officeDocument/2006/relationships/hyperlink" Target="https://www.upwork.com/jobs/~021993030055237449662" TargetMode="External"/><Relationship Id="rId9" Type="http://schemas.openxmlformats.org/officeDocument/2006/relationships/hyperlink" Target="https://www.upwork.com/jobs/~021978865383493114226" TargetMode="External"/><Relationship Id="rId143" Type="http://schemas.openxmlformats.org/officeDocument/2006/relationships/hyperlink" Target="https://www.upwork.com/jobs/~021992867348737328726" TargetMode="External"/><Relationship Id="rId142" Type="http://schemas.openxmlformats.org/officeDocument/2006/relationships/hyperlink" Target="https://www.upwork.com/jobs/~021991943213215549014" TargetMode="External"/><Relationship Id="rId141" Type="http://schemas.openxmlformats.org/officeDocument/2006/relationships/hyperlink" Target="https://www.upwork.com/jobs/~021991958268803974742" TargetMode="External"/><Relationship Id="rId140" Type="http://schemas.openxmlformats.org/officeDocument/2006/relationships/hyperlink" Target="https://www.upwork.com/jobs/~021991871202769281662" TargetMode="External"/><Relationship Id="rId5" Type="http://schemas.openxmlformats.org/officeDocument/2006/relationships/hyperlink" Target="https://www.upwork.com/jobs/~021978564966956084080" TargetMode="External"/><Relationship Id="rId147" Type="http://schemas.openxmlformats.org/officeDocument/2006/relationships/hyperlink" Target="https://www.upwork.com/jobs/~021993006437245883080" TargetMode="External"/><Relationship Id="rId6" Type="http://schemas.openxmlformats.org/officeDocument/2006/relationships/hyperlink" Target="https://www.upwork.com/jobs/~021978561518298671984" TargetMode="External"/><Relationship Id="rId146" Type="http://schemas.openxmlformats.org/officeDocument/2006/relationships/hyperlink" Target="https://www.upwork.com/jobs/~021992955011857577918" TargetMode="External"/><Relationship Id="rId7" Type="http://schemas.openxmlformats.org/officeDocument/2006/relationships/hyperlink" Target="https://www.upwork.com/jobs/~021978579339181676935" TargetMode="External"/><Relationship Id="rId145" Type="http://schemas.openxmlformats.org/officeDocument/2006/relationships/hyperlink" Target="https://github.com/dachi-khelashvili." TargetMode="External"/><Relationship Id="rId8" Type="http://schemas.openxmlformats.org/officeDocument/2006/relationships/hyperlink" Target="https://www.upwork.com/jobs/~021978857530279631219" TargetMode="External"/><Relationship Id="rId144" Type="http://schemas.openxmlformats.org/officeDocument/2006/relationships/hyperlink" Target="https://www.upwork.com/jobs/~021992930129019708030" TargetMode="External"/><Relationship Id="rId73" Type="http://schemas.openxmlformats.org/officeDocument/2006/relationships/hyperlink" Target="https://www.upwork.com/jobs/~021985857426381913138" TargetMode="External"/><Relationship Id="rId72" Type="http://schemas.openxmlformats.org/officeDocument/2006/relationships/hyperlink" Target="https://www.upwork.com/jobs/~021985831111444677488" TargetMode="External"/><Relationship Id="rId75" Type="http://schemas.openxmlformats.org/officeDocument/2006/relationships/hyperlink" Target="https://www.upwork.com/jobs/~021986044468316001332" TargetMode="External"/><Relationship Id="rId74" Type="http://schemas.openxmlformats.org/officeDocument/2006/relationships/hyperlink" Target="https://www.upwork.com/jobs/~021986028495352937522" TargetMode="External"/><Relationship Id="rId77" Type="http://schemas.openxmlformats.org/officeDocument/2006/relationships/hyperlink" Target="https://www.upwork.com/jobs/~021986143063262081769" TargetMode="External"/><Relationship Id="rId76" Type="http://schemas.openxmlformats.org/officeDocument/2006/relationships/hyperlink" Target="http://seaislandcoffee.com/" TargetMode="External"/><Relationship Id="rId79" Type="http://schemas.openxmlformats.org/officeDocument/2006/relationships/hyperlink" Target="https://www.upwork.com/jobs/~021986206621878637620" TargetMode="External"/><Relationship Id="rId78" Type="http://schemas.openxmlformats.org/officeDocument/2006/relationships/hyperlink" Target="https://www.upwork.com/jobs/~021986177769734716466" TargetMode="External"/><Relationship Id="rId71" Type="http://schemas.openxmlformats.org/officeDocument/2006/relationships/hyperlink" Target="https://www.upwork.com/jobs/~021985736897453114224" TargetMode="External"/><Relationship Id="rId70" Type="http://schemas.openxmlformats.org/officeDocument/2006/relationships/hyperlink" Target="https://www.upwork.com/jobs/~021985689296226053848" TargetMode="External"/><Relationship Id="rId139" Type="http://schemas.openxmlformats.org/officeDocument/2006/relationships/hyperlink" Target="https://www.upwork.com/jobs/~021991711071335129726" TargetMode="External"/><Relationship Id="rId138" Type="http://schemas.openxmlformats.org/officeDocument/2006/relationships/hyperlink" Target="https://www.upwork.com/jobs/~021991650494148675158" TargetMode="External"/><Relationship Id="rId137" Type="http://schemas.openxmlformats.org/officeDocument/2006/relationships/hyperlink" Target="https://www.upwork.com/jobs/~021991633684984388879" TargetMode="External"/><Relationship Id="rId132" Type="http://schemas.openxmlformats.org/officeDocument/2006/relationships/hyperlink" Target="https://www.upwork.com/jobs/~021991385619610361103" TargetMode="External"/><Relationship Id="rId131" Type="http://schemas.openxmlformats.org/officeDocument/2006/relationships/hyperlink" Target="https://www.upwork.com/jobs/~021991266892848203350" TargetMode="External"/><Relationship Id="rId130" Type="http://schemas.openxmlformats.org/officeDocument/2006/relationships/hyperlink" Target="https://www.upwork.com/jobs/~021991229412403880574" TargetMode="External"/><Relationship Id="rId136" Type="http://schemas.openxmlformats.org/officeDocument/2006/relationships/hyperlink" Target="https://www.upwork.com/jobs/~021991601698840403215" TargetMode="External"/><Relationship Id="rId135" Type="http://schemas.openxmlformats.org/officeDocument/2006/relationships/hyperlink" Target="https://www.upwork.com/jobs/~021991593295019935318" TargetMode="External"/><Relationship Id="rId134" Type="http://schemas.openxmlformats.org/officeDocument/2006/relationships/hyperlink" Target="https://www.upwork.com/jobs/~021991556530846467670" TargetMode="External"/><Relationship Id="rId133" Type="http://schemas.openxmlformats.org/officeDocument/2006/relationships/hyperlink" Target="https://www.upwork.com/jobs/~021991375224792639983" TargetMode="External"/><Relationship Id="rId62" Type="http://schemas.openxmlformats.org/officeDocument/2006/relationships/hyperlink" Target="https://www.upwork.com/jobs/~021984352699874835064" TargetMode="External"/><Relationship Id="rId61" Type="http://schemas.openxmlformats.org/officeDocument/2006/relationships/hyperlink" Target="https://www.upwork.com/jobs/~021984284436079868536" TargetMode="External"/><Relationship Id="rId64" Type="http://schemas.openxmlformats.org/officeDocument/2006/relationships/hyperlink" Target="https://www.upwork.com/jobs/~021985336329682501403" TargetMode="External"/><Relationship Id="rId63" Type="http://schemas.openxmlformats.org/officeDocument/2006/relationships/hyperlink" Target="https://www.upwork.com/jobs/~021984855517370189550" TargetMode="External"/><Relationship Id="rId66" Type="http://schemas.openxmlformats.org/officeDocument/2006/relationships/hyperlink" Target="https://www.upwork.com/jobs/~021985399055833922168" TargetMode="External"/><Relationship Id="rId65" Type="http://schemas.openxmlformats.org/officeDocument/2006/relationships/hyperlink" Target="https://www.upwork.com/jobs/~021985378701069548152" TargetMode="External"/><Relationship Id="rId68" Type="http://schemas.openxmlformats.org/officeDocument/2006/relationships/hyperlink" Target="https://www.upwork.com/jobs/~021985459871441765232" TargetMode="External"/><Relationship Id="rId67" Type="http://schemas.openxmlformats.org/officeDocument/2006/relationships/hyperlink" Target="https://www.upwork.com/jobs/~021985490803642285851" TargetMode="External"/><Relationship Id="rId60" Type="http://schemas.openxmlformats.org/officeDocument/2006/relationships/hyperlink" Target="https://www.upwork.com/jobs/~021984248453241289779" TargetMode="External"/><Relationship Id="rId69" Type="http://schemas.openxmlformats.org/officeDocument/2006/relationships/hyperlink" Target="https://www.upwork.com/jobs/~021985602460841165680" TargetMode="External"/><Relationship Id="rId164" Type="http://schemas.openxmlformats.org/officeDocument/2006/relationships/drawing" Target="../drawings/drawing12.xml"/><Relationship Id="rId163" Type="http://schemas.openxmlformats.org/officeDocument/2006/relationships/hyperlink" Target="https://www.upwork.com/jobs/~021998890161340505581" TargetMode="External"/><Relationship Id="rId162" Type="http://schemas.openxmlformats.org/officeDocument/2006/relationships/hyperlink" Target="https://www.upwork.com/jobs/~021993443399639431102" TargetMode="External"/><Relationship Id="rId51" Type="http://schemas.openxmlformats.org/officeDocument/2006/relationships/hyperlink" Target="https://www.upwork.com/jobs/~021983598507446904240" TargetMode="External"/><Relationship Id="rId50" Type="http://schemas.openxmlformats.org/officeDocument/2006/relationships/hyperlink" Target="http://pockittv.com/" TargetMode="External"/><Relationship Id="rId53" Type="http://schemas.openxmlformats.org/officeDocument/2006/relationships/hyperlink" Target="https://www.upwork.com/jobs/~021983610026110812724" TargetMode="External"/><Relationship Id="rId52" Type="http://schemas.openxmlformats.org/officeDocument/2006/relationships/hyperlink" Target="https://seaislandcoffee.com/" TargetMode="External"/><Relationship Id="rId55" Type="http://schemas.openxmlformats.org/officeDocument/2006/relationships/hyperlink" Target="http://pockittv.com/" TargetMode="External"/><Relationship Id="rId161" Type="http://schemas.openxmlformats.org/officeDocument/2006/relationships/hyperlink" Target="https://90seconds.com/" TargetMode="External"/><Relationship Id="rId54" Type="http://schemas.openxmlformats.org/officeDocument/2006/relationships/hyperlink" Target="https://www.upwork.com/jobs/~021983648359435945301" TargetMode="External"/><Relationship Id="rId160" Type="http://schemas.openxmlformats.org/officeDocument/2006/relationships/hyperlink" Target="https://www.upwork.com/jobs/~021993380220595049160" TargetMode="External"/><Relationship Id="rId57" Type="http://schemas.openxmlformats.org/officeDocument/2006/relationships/hyperlink" Target="https://www.upwork.com/jobs/~021983798655113971029" TargetMode="External"/><Relationship Id="rId56" Type="http://schemas.openxmlformats.org/officeDocument/2006/relationships/hyperlink" Target="https://www.upwork.com/jobs/~021983656995990602292" TargetMode="External"/><Relationship Id="rId159" Type="http://schemas.openxmlformats.org/officeDocument/2006/relationships/hyperlink" Target="https://seaislandcoffee.com/" TargetMode="External"/><Relationship Id="rId59" Type="http://schemas.openxmlformats.org/officeDocument/2006/relationships/hyperlink" Target="https://www.upwork.com/jobs/~021984136908229746328" TargetMode="External"/><Relationship Id="rId154" Type="http://schemas.openxmlformats.org/officeDocument/2006/relationships/hyperlink" Target="https://www.upwork.com/jobs/~021993302543901696638" TargetMode="External"/><Relationship Id="rId58" Type="http://schemas.openxmlformats.org/officeDocument/2006/relationships/hyperlink" Target="https://www.upwork.com/jobs/~021983959157102505663" TargetMode="External"/><Relationship Id="rId153" Type="http://schemas.openxmlformats.org/officeDocument/2006/relationships/hyperlink" Target="https://github.com/dachi-khelashvili" TargetMode="External"/><Relationship Id="rId152" Type="http://schemas.openxmlformats.org/officeDocument/2006/relationships/hyperlink" Target="https://90seconds.com/" TargetMode="External"/><Relationship Id="rId151" Type="http://schemas.openxmlformats.org/officeDocument/2006/relationships/hyperlink" Target="https://www.upwork.com/jobs/~021993271115054883454" TargetMode="External"/><Relationship Id="rId158" Type="http://schemas.openxmlformats.org/officeDocument/2006/relationships/hyperlink" Target="https://www.upwork.com/jobs/~021993332374105723592" TargetMode="External"/><Relationship Id="rId157" Type="http://schemas.openxmlformats.org/officeDocument/2006/relationships/hyperlink" Target="http://givingtech.org/" TargetMode="External"/><Relationship Id="rId156" Type="http://schemas.openxmlformats.org/officeDocument/2006/relationships/hyperlink" Target="https://www.upwork.com/jobs/~021993304656337313002" TargetMode="External"/><Relationship Id="rId155" Type="http://schemas.openxmlformats.org/officeDocument/2006/relationships/hyperlink" Target="https://90seconds.com/" TargetMode="External"/></Relationships>
</file>

<file path=xl/worksheets/_rels/sheet13.xml.rels><?xml version="1.0" encoding="UTF-8" standalone="yes"?><Relationships xmlns="http://schemas.openxmlformats.org/package/2006/relationships"><Relationship Id="rId11" Type="http://schemas.openxmlformats.org/officeDocument/2006/relationships/drawing" Target="../drawings/drawing13.xml"/><Relationship Id="rId10" Type="http://schemas.openxmlformats.org/officeDocument/2006/relationships/hyperlink" Target="https://g.co/2sv" TargetMode="External"/><Relationship Id="rId1" Type="http://schemas.openxmlformats.org/officeDocument/2006/relationships/hyperlink" Target="http://reid.al/" TargetMode="External"/><Relationship Id="rId2" Type="http://schemas.openxmlformats.org/officeDocument/2006/relationships/hyperlink" Target="https://g.co/2sv" TargetMode="External"/><Relationship Id="rId3" Type="http://schemas.openxmlformats.org/officeDocument/2006/relationships/hyperlink" Target="https://g.co/2sv" TargetMode="External"/><Relationship Id="rId4" Type="http://schemas.openxmlformats.org/officeDocument/2006/relationships/hyperlink" Target="https://g.co/2sv" TargetMode="External"/><Relationship Id="rId9" Type="http://schemas.openxmlformats.org/officeDocument/2006/relationships/hyperlink" Target="https://g.co/2sv" TargetMode="External"/><Relationship Id="rId5" Type="http://schemas.openxmlformats.org/officeDocument/2006/relationships/hyperlink" Target="https://g.co/2sv" TargetMode="External"/><Relationship Id="rId6" Type="http://schemas.openxmlformats.org/officeDocument/2006/relationships/hyperlink" Target="https://g.co/2sv" TargetMode="External"/><Relationship Id="rId7" Type="http://schemas.openxmlformats.org/officeDocument/2006/relationships/hyperlink" Target="https://g.co/2sv" TargetMode="External"/><Relationship Id="rId8" Type="http://schemas.openxmlformats.org/officeDocument/2006/relationships/hyperlink" Target="https://g.co/2sv"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4" width="12.63"/>
    <col customWidth="1" min="5" max="5" width="16.0"/>
    <col customWidth="1" min="6" max="6" width="16.63"/>
    <col customWidth="1" min="7" max="7" width="14.63"/>
    <col customWidth="1" min="9" max="9" width="12.63"/>
    <col customWidth="1" min="10" max="10" width="6.25"/>
    <col customWidth="1" min="11" max="11" width="13.13"/>
    <col customWidth="1" min="12" max="12" width="45.75"/>
  </cols>
  <sheetData>
    <row r="1" ht="15.75" customHeight="1">
      <c r="A1" s="1" t="s">
        <v>0</v>
      </c>
      <c r="B1" s="2" t="s">
        <v>1</v>
      </c>
      <c r="C1" s="3" t="s">
        <v>2</v>
      </c>
      <c r="D1" s="3" t="s">
        <v>3</v>
      </c>
      <c r="E1" s="4" t="s">
        <v>4</v>
      </c>
      <c r="F1" s="4" t="s">
        <v>5</v>
      </c>
      <c r="G1" s="3" t="s">
        <v>6</v>
      </c>
      <c r="H1" s="3" t="s">
        <v>7</v>
      </c>
      <c r="I1" s="5"/>
      <c r="J1" s="5"/>
      <c r="K1" s="5"/>
      <c r="L1" s="5"/>
      <c r="M1" s="5"/>
      <c r="N1" s="5"/>
      <c r="O1" s="5"/>
      <c r="P1" s="5"/>
      <c r="Q1" s="5"/>
      <c r="R1" s="5"/>
      <c r="S1" s="5"/>
      <c r="T1" s="5"/>
      <c r="U1" s="5"/>
      <c r="V1" s="5"/>
      <c r="W1" s="5"/>
      <c r="X1" s="5"/>
      <c r="Y1" s="5"/>
      <c r="Z1" s="5"/>
      <c r="AA1" s="5"/>
      <c r="AB1" s="5"/>
    </row>
    <row r="2" ht="15.75" customHeight="1">
      <c r="A2" s="1">
        <v>1.0</v>
      </c>
      <c r="B2" s="2" t="s">
        <v>8</v>
      </c>
      <c r="C2" s="2"/>
      <c r="D2" s="2"/>
      <c r="E2" s="2" t="s">
        <v>9</v>
      </c>
      <c r="F2" s="6"/>
      <c r="G2" s="5"/>
      <c r="H2" s="5"/>
      <c r="I2" s="5"/>
      <c r="J2" s="5"/>
      <c r="K2" s="5"/>
      <c r="L2" s="5"/>
      <c r="M2" s="5"/>
      <c r="N2" s="5"/>
      <c r="O2" s="5"/>
      <c r="P2" s="5"/>
      <c r="Q2" s="5"/>
      <c r="R2" s="5"/>
      <c r="S2" s="5"/>
      <c r="T2" s="5"/>
      <c r="U2" s="5"/>
      <c r="V2" s="5"/>
      <c r="W2" s="5"/>
      <c r="X2" s="5"/>
      <c r="Y2" s="5"/>
      <c r="Z2" s="5"/>
      <c r="AA2" s="5"/>
      <c r="AB2" s="5"/>
    </row>
    <row r="3" ht="15.75" customHeight="1">
      <c r="A3" s="1">
        <v>2.0</v>
      </c>
      <c r="B3" s="2" t="s">
        <v>10</v>
      </c>
      <c r="C3" s="2" t="s">
        <v>11</v>
      </c>
      <c r="D3" s="2" t="s">
        <v>12</v>
      </c>
      <c r="E3" s="2"/>
      <c r="F3" s="6"/>
      <c r="G3" s="5"/>
      <c r="H3" s="5"/>
      <c r="I3" s="5"/>
      <c r="J3" s="5"/>
      <c r="K3" s="5"/>
      <c r="L3" s="5"/>
      <c r="M3" s="5"/>
      <c r="N3" s="5"/>
      <c r="O3" s="5"/>
      <c r="P3" s="5"/>
      <c r="Q3" s="5"/>
      <c r="R3" s="5"/>
      <c r="S3" s="5"/>
      <c r="T3" s="5"/>
      <c r="U3" s="5"/>
      <c r="V3" s="5"/>
      <c r="W3" s="5"/>
      <c r="X3" s="5"/>
      <c r="Y3" s="5"/>
      <c r="Z3" s="5"/>
      <c r="AA3" s="5"/>
      <c r="AB3" s="5"/>
    </row>
    <row r="4" ht="15.75" customHeight="1">
      <c r="A4" s="1">
        <v>3.0</v>
      </c>
      <c r="B4" s="2" t="s">
        <v>10</v>
      </c>
      <c r="C4" s="2" t="s">
        <v>13</v>
      </c>
      <c r="D4" s="2" t="s">
        <v>14</v>
      </c>
      <c r="E4" s="2"/>
      <c r="F4" s="6"/>
      <c r="G4" s="5"/>
      <c r="H4" s="5"/>
      <c r="I4" s="5"/>
      <c r="J4" s="5"/>
      <c r="K4" s="5"/>
      <c r="L4" s="5"/>
      <c r="M4" s="5"/>
      <c r="N4" s="5"/>
      <c r="O4" s="5"/>
      <c r="P4" s="5"/>
      <c r="Q4" s="5"/>
      <c r="R4" s="5"/>
      <c r="S4" s="5"/>
      <c r="T4" s="5"/>
      <c r="U4" s="5"/>
      <c r="V4" s="5"/>
      <c r="W4" s="5"/>
      <c r="X4" s="5"/>
      <c r="Y4" s="5"/>
      <c r="Z4" s="5"/>
      <c r="AA4" s="5"/>
      <c r="AB4" s="5"/>
    </row>
    <row r="5" ht="15.75" customHeight="1">
      <c r="A5" s="1">
        <v>4.0</v>
      </c>
      <c r="B5" s="2" t="s">
        <v>8</v>
      </c>
      <c r="C5" s="2"/>
      <c r="D5" s="2"/>
      <c r="E5" s="2" t="s">
        <v>15</v>
      </c>
      <c r="F5" s="6"/>
      <c r="G5" s="5"/>
      <c r="H5" s="5"/>
      <c r="I5" s="5"/>
      <c r="J5" s="5"/>
      <c r="K5" s="5"/>
      <c r="L5" s="5"/>
      <c r="M5" s="5"/>
      <c r="N5" s="5"/>
      <c r="O5" s="5"/>
      <c r="P5" s="5"/>
      <c r="Q5" s="5"/>
      <c r="R5" s="5"/>
      <c r="S5" s="5"/>
      <c r="T5" s="5"/>
      <c r="U5" s="5"/>
      <c r="V5" s="5"/>
      <c r="W5" s="5"/>
      <c r="X5" s="5"/>
      <c r="Y5" s="5"/>
      <c r="Z5" s="5"/>
      <c r="AA5" s="5"/>
      <c r="AB5" s="5"/>
    </row>
    <row r="6" ht="15.75" customHeight="1">
      <c r="A6" s="1"/>
      <c r="B6" s="7"/>
      <c r="C6" s="2"/>
      <c r="D6" s="2"/>
      <c r="E6" s="2"/>
      <c r="F6" s="6"/>
      <c r="G6" s="5"/>
      <c r="H6" s="5"/>
      <c r="I6" s="5"/>
      <c r="J6" s="5"/>
      <c r="K6" s="5"/>
      <c r="L6" s="5"/>
      <c r="M6" s="5"/>
      <c r="N6" s="5"/>
      <c r="O6" s="5"/>
      <c r="P6" s="5"/>
      <c r="Q6" s="5"/>
      <c r="R6" s="5"/>
      <c r="S6" s="5"/>
      <c r="T6" s="5"/>
      <c r="U6" s="5"/>
      <c r="V6" s="5"/>
      <c r="W6" s="5"/>
      <c r="X6" s="5"/>
      <c r="Y6" s="5"/>
      <c r="Z6" s="5"/>
      <c r="AA6" s="5"/>
      <c r="AB6" s="5"/>
    </row>
    <row r="7" ht="15.75" customHeight="1">
      <c r="A7" s="1"/>
      <c r="B7" s="7"/>
      <c r="C7" s="2"/>
      <c r="D7" s="2"/>
      <c r="E7" s="2"/>
      <c r="F7" s="6"/>
      <c r="G7" s="5"/>
      <c r="H7" s="5"/>
      <c r="I7" s="5"/>
      <c r="J7" s="5"/>
      <c r="K7" s="5"/>
      <c r="L7" s="5"/>
      <c r="M7" s="5"/>
      <c r="N7" s="5"/>
      <c r="O7" s="5"/>
      <c r="P7" s="5"/>
      <c r="Q7" s="5"/>
      <c r="R7" s="5"/>
      <c r="S7" s="5"/>
      <c r="T7" s="5"/>
      <c r="U7" s="5"/>
      <c r="V7" s="5"/>
      <c r="W7" s="5"/>
      <c r="X7" s="5"/>
      <c r="Y7" s="5"/>
      <c r="Z7" s="5"/>
      <c r="AA7" s="5"/>
      <c r="AB7" s="5"/>
    </row>
    <row r="8" ht="15.75" customHeight="1">
      <c r="A8" s="8"/>
      <c r="B8" s="7"/>
      <c r="C8" s="2"/>
      <c r="D8" s="2"/>
      <c r="E8" s="2"/>
      <c r="F8" s="6"/>
      <c r="G8" s="5"/>
      <c r="H8" s="5"/>
      <c r="I8" s="5"/>
      <c r="J8" s="5"/>
      <c r="K8" s="5"/>
      <c r="L8" s="5"/>
      <c r="M8" s="5"/>
      <c r="N8" s="5"/>
      <c r="O8" s="5"/>
      <c r="P8" s="5"/>
      <c r="Q8" s="5"/>
      <c r="R8" s="5"/>
      <c r="S8" s="5"/>
      <c r="T8" s="5"/>
      <c r="U8" s="5"/>
      <c r="V8" s="5"/>
      <c r="W8" s="5"/>
      <c r="X8" s="5"/>
      <c r="Y8" s="5"/>
      <c r="Z8" s="5"/>
      <c r="AA8" s="5"/>
      <c r="AB8" s="5"/>
    </row>
    <row r="9" ht="15.75" customHeight="1">
      <c r="A9" s="8"/>
      <c r="B9" s="7"/>
      <c r="C9" s="5"/>
      <c r="D9" s="5"/>
      <c r="E9" s="6"/>
      <c r="F9" s="6"/>
      <c r="G9" s="5"/>
      <c r="H9" s="5"/>
      <c r="I9" s="5"/>
      <c r="J9" s="5"/>
      <c r="K9" s="5"/>
      <c r="L9" s="5"/>
      <c r="M9" s="5"/>
      <c r="N9" s="5"/>
      <c r="O9" s="5"/>
      <c r="P9" s="5"/>
      <c r="Q9" s="5"/>
      <c r="R9" s="5"/>
      <c r="S9" s="5"/>
      <c r="T9" s="5"/>
      <c r="U9" s="5"/>
      <c r="V9" s="5"/>
      <c r="W9" s="5"/>
      <c r="X9" s="5"/>
      <c r="Y9" s="5"/>
      <c r="Z9" s="5"/>
      <c r="AA9" s="5"/>
      <c r="AB9" s="5"/>
    </row>
    <row r="10" ht="15.75" customHeight="1">
      <c r="A10" s="8"/>
      <c r="B10" s="7"/>
      <c r="C10" s="5"/>
      <c r="D10" s="5"/>
      <c r="E10" s="6"/>
      <c r="F10" s="6"/>
      <c r="G10" s="5"/>
      <c r="H10" s="5"/>
      <c r="I10" s="5"/>
      <c r="J10" s="5"/>
      <c r="K10" s="5"/>
      <c r="L10" s="5"/>
      <c r="M10" s="5"/>
      <c r="N10" s="5"/>
      <c r="O10" s="5"/>
      <c r="P10" s="5"/>
      <c r="Q10" s="5"/>
      <c r="R10" s="5"/>
      <c r="S10" s="5"/>
      <c r="T10" s="5"/>
      <c r="U10" s="5"/>
      <c r="V10" s="5"/>
      <c r="W10" s="5"/>
      <c r="X10" s="5"/>
      <c r="Y10" s="5"/>
      <c r="Z10" s="5"/>
      <c r="AA10" s="5"/>
      <c r="AB10" s="5"/>
    </row>
    <row r="11" ht="15.75" customHeight="1">
      <c r="A11" s="8"/>
      <c r="B11" s="7"/>
      <c r="C11" s="5"/>
      <c r="D11" s="5"/>
      <c r="E11" s="6"/>
      <c r="F11" s="6"/>
      <c r="G11" s="5"/>
      <c r="H11" s="5"/>
      <c r="I11" s="5"/>
      <c r="J11" s="5"/>
      <c r="K11" s="5"/>
      <c r="L11" s="5"/>
      <c r="M11" s="5"/>
      <c r="N11" s="5"/>
      <c r="O11" s="5"/>
      <c r="P11" s="5"/>
      <c r="Q11" s="5"/>
      <c r="R11" s="5"/>
      <c r="S11" s="5"/>
      <c r="T11" s="5"/>
      <c r="U11" s="5"/>
      <c r="V11" s="5"/>
      <c r="W11" s="5"/>
      <c r="X11" s="5"/>
      <c r="Y11" s="5"/>
      <c r="Z11" s="5"/>
      <c r="AA11" s="5"/>
      <c r="AB11" s="5"/>
    </row>
    <row r="12" ht="15.75" customHeight="1">
      <c r="A12" s="8"/>
      <c r="B12" s="7"/>
      <c r="C12" s="5"/>
      <c r="D12" s="5"/>
      <c r="E12" s="6"/>
      <c r="F12" s="6"/>
      <c r="G12" s="5"/>
      <c r="H12" s="5"/>
      <c r="I12" s="5"/>
      <c r="J12" s="5"/>
      <c r="K12" s="5"/>
      <c r="L12" s="5"/>
      <c r="M12" s="5"/>
      <c r="N12" s="5"/>
      <c r="O12" s="5"/>
      <c r="P12" s="5"/>
      <c r="Q12" s="5"/>
      <c r="R12" s="5"/>
      <c r="S12" s="5"/>
      <c r="T12" s="5"/>
      <c r="U12" s="5"/>
      <c r="V12" s="5"/>
      <c r="W12" s="5"/>
      <c r="X12" s="5"/>
      <c r="Y12" s="5"/>
      <c r="Z12" s="5"/>
      <c r="AA12" s="5"/>
      <c r="AB12" s="5"/>
    </row>
    <row r="13" ht="15.75" customHeight="1">
      <c r="A13" s="8"/>
      <c r="B13" s="7"/>
      <c r="C13" s="5"/>
      <c r="D13" s="5"/>
      <c r="E13" s="6"/>
      <c r="F13" s="6"/>
      <c r="G13" s="5"/>
      <c r="H13" s="5"/>
      <c r="I13" s="5"/>
      <c r="J13" s="5"/>
      <c r="K13" s="5"/>
      <c r="L13" s="3"/>
      <c r="M13" s="5"/>
      <c r="N13" s="5"/>
      <c r="O13" s="5"/>
      <c r="P13" s="5"/>
      <c r="Q13" s="5"/>
      <c r="R13" s="5"/>
      <c r="S13" s="5"/>
      <c r="T13" s="5"/>
      <c r="U13" s="5"/>
      <c r="V13" s="5"/>
      <c r="W13" s="5"/>
      <c r="X13" s="5"/>
      <c r="Y13" s="5"/>
      <c r="Z13" s="5"/>
      <c r="AA13" s="5"/>
      <c r="AB13" s="5"/>
    </row>
    <row r="14" ht="15.75" customHeight="1">
      <c r="A14" s="8"/>
      <c r="B14" s="7"/>
      <c r="C14" s="5"/>
      <c r="D14" s="5"/>
      <c r="E14" s="6"/>
      <c r="F14" s="6"/>
      <c r="G14" s="5"/>
      <c r="H14" s="5"/>
      <c r="I14" s="5"/>
      <c r="J14" s="5"/>
      <c r="K14" s="5"/>
      <c r="L14" s="5"/>
      <c r="M14" s="5"/>
      <c r="N14" s="5"/>
      <c r="O14" s="5"/>
      <c r="P14" s="5"/>
      <c r="Q14" s="5"/>
      <c r="R14" s="5"/>
      <c r="S14" s="5"/>
      <c r="T14" s="5"/>
      <c r="U14" s="5"/>
      <c r="V14" s="5"/>
      <c r="W14" s="5"/>
      <c r="X14" s="5"/>
      <c r="Y14" s="5"/>
      <c r="Z14" s="5"/>
      <c r="AA14" s="5"/>
      <c r="AB14" s="5"/>
    </row>
    <row r="15" ht="15.75" customHeight="1">
      <c r="A15" s="8"/>
      <c r="B15" s="7"/>
      <c r="C15" s="5"/>
      <c r="D15" s="5"/>
      <c r="E15" s="6"/>
      <c r="F15" s="6"/>
      <c r="G15" s="9"/>
      <c r="H15" s="5"/>
      <c r="I15" s="5"/>
      <c r="J15" s="5"/>
      <c r="K15" s="5"/>
      <c r="L15" s="5"/>
      <c r="M15" s="5"/>
      <c r="N15" s="5"/>
      <c r="O15" s="5"/>
      <c r="P15" s="5"/>
      <c r="Q15" s="5"/>
      <c r="R15" s="5"/>
      <c r="S15" s="5"/>
      <c r="T15" s="5"/>
      <c r="U15" s="5"/>
      <c r="V15" s="5"/>
      <c r="W15" s="5"/>
      <c r="X15" s="5"/>
      <c r="Y15" s="5"/>
      <c r="Z15" s="5"/>
      <c r="AA15" s="5"/>
      <c r="AB15" s="5"/>
    </row>
    <row r="16" ht="15.75" customHeight="1">
      <c r="A16" s="8"/>
      <c r="B16" s="7"/>
      <c r="C16" s="5"/>
      <c r="D16" s="5"/>
      <c r="E16" s="6"/>
      <c r="F16" s="6"/>
      <c r="G16" s="5"/>
      <c r="H16" s="5"/>
      <c r="I16" s="5"/>
      <c r="J16" s="5"/>
      <c r="K16" s="5"/>
      <c r="L16" s="5"/>
      <c r="M16" s="5"/>
      <c r="N16" s="5"/>
      <c r="O16" s="5"/>
      <c r="P16" s="5"/>
      <c r="Q16" s="5"/>
      <c r="R16" s="5"/>
      <c r="S16" s="5"/>
      <c r="T16" s="5"/>
      <c r="U16" s="5"/>
      <c r="V16" s="5"/>
      <c r="W16" s="5"/>
      <c r="X16" s="5"/>
      <c r="Y16" s="5"/>
      <c r="Z16" s="5"/>
      <c r="AA16" s="5"/>
      <c r="AB16" s="5"/>
    </row>
    <row r="17" ht="15.75" customHeight="1">
      <c r="A17" s="8"/>
      <c r="B17" s="7"/>
      <c r="C17" s="5"/>
      <c r="D17" s="5"/>
      <c r="E17" s="6"/>
      <c r="F17" s="6"/>
      <c r="G17" s="5"/>
      <c r="H17" s="5"/>
      <c r="I17" s="5"/>
      <c r="J17" s="5"/>
      <c r="K17" s="5"/>
      <c r="L17" s="5"/>
      <c r="M17" s="5"/>
      <c r="N17" s="5"/>
      <c r="O17" s="5"/>
      <c r="P17" s="5"/>
      <c r="Q17" s="5"/>
      <c r="R17" s="5"/>
      <c r="S17" s="5"/>
      <c r="T17" s="5"/>
      <c r="U17" s="5"/>
      <c r="V17" s="5"/>
      <c r="W17" s="5"/>
      <c r="X17" s="5"/>
      <c r="Y17" s="5"/>
      <c r="Z17" s="5"/>
      <c r="AA17" s="5"/>
      <c r="AB17" s="5"/>
    </row>
    <row r="18" ht="15.75" customHeight="1">
      <c r="A18" s="8"/>
      <c r="B18" s="7"/>
      <c r="C18" s="5"/>
      <c r="D18" s="5"/>
      <c r="E18" s="6"/>
      <c r="F18" s="6"/>
      <c r="G18" s="5"/>
      <c r="H18" s="5"/>
      <c r="I18" s="5"/>
      <c r="J18" s="5"/>
      <c r="K18" s="5"/>
      <c r="L18" s="5"/>
      <c r="M18" s="5"/>
      <c r="N18" s="5"/>
      <c r="O18" s="5"/>
      <c r="P18" s="5"/>
      <c r="Q18" s="5"/>
      <c r="R18" s="5"/>
      <c r="S18" s="5"/>
      <c r="T18" s="5"/>
      <c r="U18" s="5"/>
      <c r="V18" s="5"/>
      <c r="W18" s="5"/>
      <c r="X18" s="5"/>
      <c r="Y18" s="5"/>
      <c r="Z18" s="5"/>
      <c r="AA18" s="5"/>
      <c r="AB18" s="5"/>
    </row>
    <row r="19" ht="15.75" customHeight="1">
      <c r="A19" s="8"/>
      <c r="B19" s="7"/>
      <c r="C19" s="5"/>
      <c r="D19" s="5"/>
      <c r="E19" s="6"/>
      <c r="F19" s="6"/>
      <c r="G19" s="5"/>
      <c r="H19" s="5"/>
      <c r="I19" s="5"/>
      <c r="J19" s="5"/>
      <c r="K19" s="5"/>
      <c r="L19" s="5"/>
      <c r="M19" s="5"/>
      <c r="N19" s="5"/>
      <c r="O19" s="5"/>
      <c r="P19" s="5"/>
      <c r="Q19" s="5"/>
      <c r="R19" s="5"/>
      <c r="S19" s="5"/>
      <c r="T19" s="5"/>
      <c r="U19" s="5"/>
      <c r="V19" s="5"/>
      <c r="W19" s="5"/>
      <c r="X19" s="5"/>
      <c r="Y19" s="5"/>
      <c r="Z19" s="5"/>
      <c r="AA19" s="5"/>
      <c r="AB19" s="5"/>
    </row>
    <row r="20" ht="15.75" customHeight="1">
      <c r="A20" s="8"/>
      <c r="B20" s="7"/>
      <c r="C20" s="5"/>
      <c r="D20" s="5"/>
      <c r="E20" s="6"/>
      <c r="F20" s="6"/>
      <c r="G20" s="5"/>
      <c r="H20" s="9"/>
      <c r="I20" s="5"/>
      <c r="J20" s="5"/>
      <c r="K20" s="5"/>
      <c r="L20" s="5"/>
      <c r="M20" s="5"/>
      <c r="N20" s="5"/>
      <c r="O20" s="5"/>
      <c r="P20" s="5"/>
      <c r="Q20" s="5"/>
      <c r="R20" s="5"/>
      <c r="S20" s="5"/>
      <c r="T20" s="5"/>
      <c r="U20" s="5"/>
      <c r="V20" s="5"/>
      <c r="W20" s="5"/>
      <c r="X20" s="5"/>
      <c r="Y20" s="5"/>
      <c r="Z20" s="5"/>
      <c r="AA20" s="5"/>
      <c r="AB20" s="5"/>
    </row>
    <row r="21" ht="15.75" customHeight="1">
      <c r="A21" s="8"/>
      <c r="B21" s="7"/>
      <c r="C21" s="5"/>
      <c r="D21" s="5"/>
      <c r="E21" s="6"/>
      <c r="F21" s="6"/>
      <c r="G21" s="5"/>
      <c r="H21" s="9"/>
      <c r="I21" s="5"/>
      <c r="J21" s="5"/>
      <c r="K21" s="5"/>
      <c r="L21" s="5"/>
      <c r="M21" s="5"/>
      <c r="N21" s="5"/>
      <c r="O21" s="5"/>
      <c r="P21" s="5"/>
      <c r="Q21" s="5"/>
      <c r="R21" s="5"/>
      <c r="S21" s="5"/>
      <c r="T21" s="5"/>
      <c r="U21" s="5"/>
      <c r="V21" s="5"/>
      <c r="W21" s="5"/>
      <c r="X21" s="5"/>
      <c r="Y21" s="5"/>
      <c r="Z21" s="5"/>
      <c r="AA21" s="5"/>
      <c r="AB21" s="5"/>
    </row>
    <row r="22" ht="15.75" customHeight="1">
      <c r="A22" s="8"/>
      <c r="B22" s="7"/>
      <c r="C22" s="5"/>
      <c r="D22" s="5"/>
      <c r="E22" s="6"/>
      <c r="F22" s="6"/>
      <c r="G22" s="5"/>
      <c r="H22" s="5"/>
      <c r="I22" s="5"/>
      <c r="J22" s="5"/>
      <c r="K22" s="5"/>
      <c r="L22" s="5"/>
      <c r="M22" s="5"/>
      <c r="N22" s="5"/>
      <c r="O22" s="5"/>
      <c r="P22" s="5"/>
      <c r="Q22" s="5"/>
      <c r="R22" s="5"/>
      <c r="S22" s="5"/>
      <c r="T22" s="5"/>
      <c r="U22" s="5"/>
      <c r="V22" s="5"/>
      <c r="W22" s="5"/>
      <c r="X22" s="5"/>
      <c r="Y22" s="5"/>
      <c r="Z22" s="5"/>
      <c r="AA22" s="5"/>
      <c r="AB22" s="5"/>
    </row>
    <row r="23" ht="15.75" customHeight="1">
      <c r="A23" s="8"/>
      <c r="B23" s="7"/>
      <c r="C23" s="5"/>
      <c r="D23" s="5"/>
      <c r="E23" s="6"/>
      <c r="F23" s="6"/>
      <c r="G23" s="5"/>
      <c r="H23" s="5"/>
      <c r="I23" s="5"/>
      <c r="J23" s="5"/>
      <c r="K23" s="5"/>
      <c r="L23" s="5"/>
      <c r="M23" s="5"/>
      <c r="N23" s="5"/>
      <c r="O23" s="5"/>
      <c r="P23" s="5"/>
      <c r="Q23" s="5"/>
      <c r="R23" s="5"/>
      <c r="S23" s="5"/>
      <c r="T23" s="5"/>
      <c r="U23" s="5"/>
      <c r="V23" s="5"/>
      <c r="W23" s="5"/>
      <c r="X23" s="5"/>
      <c r="Y23" s="5"/>
      <c r="Z23" s="5"/>
      <c r="AA23" s="5"/>
      <c r="AB23" s="5"/>
    </row>
    <row r="24" ht="15.75" customHeight="1">
      <c r="A24" s="8"/>
      <c r="B24" s="7"/>
      <c r="C24" s="5"/>
      <c r="D24" s="5"/>
      <c r="E24" s="6"/>
      <c r="F24" s="6"/>
      <c r="G24" s="5"/>
      <c r="H24" s="5"/>
      <c r="I24" s="5"/>
      <c r="J24" s="5"/>
      <c r="K24" s="5"/>
      <c r="L24" s="5"/>
      <c r="M24" s="5"/>
      <c r="N24" s="5"/>
      <c r="O24" s="5"/>
      <c r="P24" s="5"/>
      <c r="Q24" s="5"/>
      <c r="R24" s="5"/>
      <c r="S24" s="5"/>
      <c r="T24" s="5"/>
      <c r="U24" s="5"/>
      <c r="V24" s="5"/>
      <c r="W24" s="5"/>
      <c r="X24" s="5"/>
      <c r="Y24" s="5"/>
      <c r="Z24" s="5"/>
      <c r="AA24" s="5"/>
      <c r="AB24" s="5"/>
    </row>
    <row r="25" ht="15.75" customHeight="1">
      <c r="A25" s="8"/>
      <c r="B25" s="7"/>
      <c r="C25" s="5"/>
      <c r="D25" s="5"/>
      <c r="E25" s="6"/>
      <c r="F25" s="6"/>
      <c r="G25" s="5"/>
      <c r="H25" s="5"/>
      <c r="I25" s="5"/>
      <c r="J25" s="5"/>
      <c r="K25" s="5"/>
      <c r="L25" s="5"/>
      <c r="M25" s="5"/>
      <c r="N25" s="5"/>
      <c r="O25" s="5"/>
      <c r="P25" s="5"/>
      <c r="Q25" s="5"/>
      <c r="R25" s="5"/>
      <c r="S25" s="5"/>
      <c r="T25" s="5"/>
      <c r="U25" s="5"/>
      <c r="V25" s="5"/>
      <c r="W25" s="5"/>
      <c r="X25" s="5"/>
      <c r="Y25" s="5"/>
      <c r="Z25" s="5"/>
      <c r="AA25" s="5"/>
      <c r="AB25" s="5"/>
    </row>
    <row r="26" ht="15.75" customHeight="1">
      <c r="A26" s="8"/>
      <c r="B26" s="7"/>
      <c r="C26" s="5"/>
      <c r="D26" s="5"/>
      <c r="E26" s="6"/>
      <c r="F26" s="6"/>
      <c r="G26" s="5"/>
      <c r="H26" s="5"/>
      <c r="I26" s="5"/>
      <c r="J26" s="5"/>
      <c r="K26" s="5"/>
      <c r="L26" s="5"/>
      <c r="M26" s="5"/>
      <c r="N26" s="5"/>
      <c r="O26" s="5"/>
      <c r="P26" s="5"/>
      <c r="Q26" s="5"/>
      <c r="R26" s="5"/>
      <c r="S26" s="5"/>
      <c r="T26" s="5"/>
      <c r="U26" s="5"/>
      <c r="V26" s="5"/>
      <c r="W26" s="5"/>
      <c r="X26" s="5"/>
      <c r="Y26" s="5"/>
      <c r="Z26" s="5"/>
      <c r="AA26" s="5"/>
      <c r="AB26" s="5"/>
    </row>
    <row r="27" ht="15.75" customHeight="1">
      <c r="A27" s="8"/>
      <c r="B27" s="7"/>
      <c r="C27" s="5"/>
      <c r="D27" s="5"/>
      <c r="E27" s="6"/>
      <c r="F27" s="6"/>
      <c r="G27" s="5"/>
      <c r="H27" s="5"/>
      <c r="I27" s="5"/>
      <c r="J27" s="5"/>
      <c r="K27" s="5"/>
      <c r="L27" s="5"/>
      <c r="M27" s="5"/>
      <c r="N27" s="5"/>
      <c r="O27" s="5"/>
      <c r="P27" s="5"/>
      <c r="Q27" s="5"/>
      <c r="R27" s="5"/>
      <c r="S27" s="5"/>
      <c r="T27" s="5"/>
      <c r="U27" s="5"/>
      <c r="V27" s="5"/>
      <c r="W27" s="5"/>
      <c r="X27" s="5"/>
      <c r="Y27" s="5"/>
      <c r="Z27" s="5"/>
      <c r="AA27" s="5"/>
      <c r="AB27" s="5"/>
    </row>
    <row r="28" ht="15.75" customHeight="1">
      <c r="A28" s="8"/>
      <c r="B28" s="7"/>
      <c r="C28" s="5"/>
      <c r="D28" s="5"/>
      <c r="E28" s="6"/>
      <c r="F28" s="6"/>
      <c r="G28" s="5"/>
      <c r="H28" s="5"/>
      <c r="I28" s="5"/>
      <c r="J28" s="5"/>
      <c r="K28" s="5"/>
      <c r="L28" s="5"/>
      <c r="M28" s="5"/>
      <c r="N28" s="5"/>
      <c r="O28" s="5"/>
      <c r="P28" s="5"/>
      <c r="Q28" s="5"/>
      <c r="R28" s="5"/>
      <c r="S28" s="5"/>
      <c r="T28" s="5"/>
      <c r="U28" s="5"/>
      <c r="V28" s="5"/>
      <c r="W28" s="5"/>
      <c r="X28" s="5"/>
      <c r="Y28" s="5"/>
      <c r="Z28" s="5"/>
      <c r="AA28" s="5"/>
      <c r="AB28" s="5"/>
    </row>
    <row r="29" ht="15.75" customHeight="1">
      <c r="A29" s="8"/>
      <c r="B29" s="7"/>
      <c r="C29" s="5"/>
      <c r="D29" s="5"/>
      <c r="E29" s="6"/>
      <c r="F29" s="6"/>
      <c r="G29" s="5"/>
      <c r="H29" s="5"/>
      <c r="I29" s="5"/>
      <c r="J29" s="5"/>
      <c r="K29" s="5"/>
      <c r="L29" s="5"/>
      <c r="M29" s="5"/>
      <c r="N29" s="5"/>
      <c r="O29" s="5"/>
      <c r="P29" s="5"/>
      <c r="Q29" s="5"/>
      <c r="R29" s="5"/>
      <c r="S29" s="5"/>
      <c r="T29" s="5"/>
      <c r="U29" s="5"/>
      <c r="V29" s="5"/>
      <c r="W29" s="5"/>
      <c r="X29" s="5"/>
      <c r="Y29" s="5"/>
      <c r="Z29" s="5"/>
      <c r="AA29" s="5"/>
      <c r="AB29" s="5"/>
    </row>
    <row r="30" ht="15.75" customHeight="1">
      <c r="A30" s="8"/>
      <c r="B30" s="7"/>
      <c r="C30" s="5"/>
      <c r="D30" s="5"/>
      <c r="E30" s="10"/>
      <c r="F30" s="10"/>
      <c r="G30" s="5"/>
      <c r="H30" s="5"/>
      <c r="I30" s="5"/>
      <c r="J30" s="5"/>
      <c r="K30" s="5"/>
      <c r="L30" s="5"/>
      <c r="M30" s="5"/>
      <c r="N30" s="5"/>
      <c r="O30" s="5"/>
      <c r="P30" s="5"/>
      <c r="Q30" s="5"/>
      <c r="R30" s="5"/>
      <c r="S30" s="5"/>
      <c r="T30" s="5"/>
      <c r="U30" s="5"/>
      <c r="V30" s="5"/>
      <c r="W30" s="5"/>
      <c r="X30" s="5"/>
      <c r="Y30" s="5"/>
      <c r="Z30" s="5"/>
      <c r="AA30" s="5"/>
      <c r="AB30" s="5"/>
    </row>
    <row r="31" ht="15.75" customHeight="1">
      <c r="A31" s="8"/>
      <c r="B31" s="7"/>
      <c r="C31" s="5"/>
      <c r="D31" s="5"/>
      <c r="E31" s="6"/>
      <c r="F31" s="6"/>
      <c r="G31" s="5"/>
      <c r="H31" s="5"/>
      <c r="I31" s="5"/>
      <c r="J31" s="5"/>
      <c r="K31" s="5"/>
      <c r="L31" s="5"/>
      <c r="M31" s="5"/>
      <c r="N31" s="5"/>
      <c r="O31" s="5"/>
      <c r="P31" s="5"/>
      <c r="Q31" s="5"/>
      <c r="R31" s="5"/>
      <c r="S31" s="5"/>
      <c r="T31" s="5"/>
      <c r="U31" s="5"/>
      <c r="V31" s="5"/>
      <c r="W31" s="5"/>
      <c r="X31" s="5"/>
      <c r="Y31" s="5"/>
      <c r="Z31" s="5"/>
      <c r="AA31" s="5"/>
      <c r="AB31" s="5"/>
    </row>
    <row r="32" ht="15.75" customHeight="1">
      <c r="A32" s="8"/>
      <c r="B32" s="7"/>
      <c r="C32" s="5"/>
      <c r="D32" s="5"/>
      <c r="E32" s="10"/>
      <c r="F32" s="10"/>
      <c r="G32" s="5"/>
      <c r="H32" s="5"/>
      <c r="I32" s="5"/>
      <c r="J32" s="5"/>
      <c r="K32" s="5"/>
      <c r="L32" s="5"/>
      <c r="M32" s="5"/>
      <c r="N32" s="5"/>
      <c r="O32" s="5"/>
      <c r="P32" s="5"/>
      <c r="Q32" s="5"/>
      <c r="R32" s="5"/>
      <c r="S32" s="5"/>
      <c r="T32" s="5"/>
      <c r="U32" s="5"/>
      <c r="V32" s="5"/>
      <c r="W32" s="5"/>
      <c r="X32" s="5"/>
      <c r="Y32" s="5"/>
      <c r="Z32" s="5"/>
      <c r="AA32" s="5"/>
      <c r="AB32" s="5"/>
    </row>
    <row r="33" ht="15.75" customHeight="1">
      <c r="A33" s="8"/>
      <c r="B33" s="7"/>
      <c r="C33" s="11"/>
      <c r="D33" s="5"/>
      <c r="E33" s="6"/>
      <c r="F33" s="6"/>
      <c r="G33" s="5"/>
      <c r="H33" s="5"/>
      <c r="I33" s="5"/>
      <c r="J33" s="5"/>
      <c r="K33" s="5"/>
      <c r="L33" s="5"/>
      <c r="M33" s="5"/>
      <c r="N33" s="5"/>
      <c r="O33" s="5"/>
      <c r="P33" s="5"/>
      <c r="Q33" s="5"/>
      <c r="R33" s="5"/>
      <c r="S33" s="5"/>
      <c r="T33" s="5"/>
      <c r="U33" s="5"/>
      <c r="V33" s="5"/>
      <c r="W33" s="5"/>
      <c r="X33" s="5"/>
      <c r="Y33" s="5"/>
      <c r="Z33" s="5"/>
      <c r="AA33" s="5"/>
      <c r="AB33" s="5"/>
    </row>
    <row r="34" ht="15.75" customHeight="1">
      <c r="A34" s="8"/>
      <c r="B34" s="7"/>
      <c r="C34" s="5"/>
      <c r="D34" s="5"/>
      <c r="E34" s="10"/>
      <c r="F34" s="10"/>
      <c r="G34" s="5"/>
      <c r="H34" s="5"/>
      <c r="I34" s="5"/>
      <c r="J34" s="5"/>
      <c r="K34" s="5"/>
      <c r="L34" s="5"/>
      <c r="M34" s="5"/>
      <c r="N34" s="5"/>
      <c r="O34" s="5"/>
      <c r="P34" s="5"/>
      <c r="Q34" s="5"/>
      <c r="R34" s="5"/>
      <c r="S34" s="5"/>
      <c r="T34" s="5"/>
      <c r="U34" s="5"/>
      <c r="V34" s="5"/>
      <c r="W34" s="5"/>
      <c r="X34" s="5"/>
      <c r="Y34" s="5"/>
      <c r="Z34" s="5"/>
      <c r="AA34" s="5"/>
      <c r="AB34" s="5"/>
    </row>
    <row r="35" ht="15.75" customHeight="1">
      <c r="A35" s="8"/>
      <c r="B35" s="7"/>
      <c r="C35" s="5"/>
      <c r="D35" s="5"/>
      <c r="E35" s="10"/>
      <c r="F35" s="10"/>
      <c r="G35" s="5"/>
      <c r="H35" s="5"/>
      <c r="I35" s="5"/>
      <c r="J35" s="5"/>
      <c r="K35" s="5"/>
      <c r="L35" s="5"/>
      <c r="M35" s="5"/>
      <c r="N35" s="5"/>
      <c r="O35" s="5"/>
      <c r="P35" s="5"/>
      <c r="Q35" s="5"/>
      <c r="R35" s="5"/>
      <c r="S35" s="5"/>
      <c r="T35" s="5"/>
      <c r="U35" s="5"/>
      <c r="V35" s="5"/>
      <c r="W35" s="5"/>
      <c r="X35" s="5"/>
      <c r="Y35" s="5"/>
      <c r="Z35" s="5"/>
      <c r="AA35" s="5"/>
      <c r="AB35" s="5"/>
    </row>
    <row r="36" ht="15.75" customHeight="1">
      <c r="A36" s="8"/>
      <c r="B36" s="7"/>
      <c r="C36" s="5"/>
      <c r="D36" s="5"/>
      <c r="E36" s="10"/>
      <c r="F36" s="10"/>
      <c r="G36" s="5"/>
      <c r="H36" s="5"/>
      <c r="I36" s="5"/>
      <c r="J36" s="5"/>
      <c r="K36" s="5"/>
      <c r="L36" s="5"/>
      <c r="M36" s="5"/>
      <c r="N36" s="5"/>
      <c r="O36" s="5"/>
      <c r="P36" s="5"/>
      <c r="Q36" s="5"/>
      <c r="R36" s="5"/>
      <c r="S36" s="5"/>
      <c r="T36" s="5"/>
      <c r="U36" s="5"/>
      <c r="V36" s="5"/>
      <c r="W36" s="5"/>
      <c r="X36" s="5"/>
      <c r="Y36" s="5"/>
      <c r="Z36" s="5"/>
      <c r="AA36" s="5"/>
      <c r="AB36" s="5"/>
    </row>
    <row r="37" ht="15.75" customHeight="1">
      <c r="A37" s="8"/>
      <c r="B37" s="7"/>
      <c r="C37" s="5"/>
      <c r="D37" s="5"/>
      <c r="E37" s="10"/>
      <c r="F37" s="10"/>
      <c r="G37" s="5"/>
      <c r="H37" s="5"/>
      <c r="I37" s="5"/>
      <c r="J37" s="5"/>
      <c r="K37" s="5"/>
      <c r="L37" s="5"/>
      <c r="M37" s="5"/>
      <c r="N37" s="5"/>
      <c r="O37" s="5"/>
      <c r="P37" s="5"/>
      <c r="Q37" s="5"/>
      <c r="R37" s="5"/>
      <c r="S37" s="5"/>
      <c r="T37" s="5"/>
      <c r="U37" s="5"/>
      <c r="V37" s="5"/>
      <c r="W37" s="5"/>
      <c r="X37" s="5"/>
      <c r="Y37" s="5"/>
      <c r="Z37" s="5"/>
      <c r="AA37" s="5"/>
      <c r="AB37" s="5"/>
    </row>
    <row r="38" ht="15.75" customHeight="1">
      <c r="A38" s="8"/>
      <c r="B38" s="7"/>
      <c r="C38" s="5"/>
      <c r="D38" s="5"/>
      <c r="E38" s="10"/>
      <c r="F38" s="10"/>
      <c r="G38" s="5"/>
      <c r="H38" s="5"/>
      <c r="I38" s="5"/>
      <c r="J38" s="5"/>
      <c r="K38" s="5"/>
      <c r="L38" s="5"/>
      <c r="M38" s="5"/>
      <c r="N38" s="5"/>
      <c r="O38" s="5"/>
      <c r="P38" s="5"/>
      <c r="Q38" s="5"/>
      <c r="R38" s="5"/>
      <c r="S38" s="5"/>
      <c r="T38" s="5"/>
      <c r="U38" s="5"/>
      <c r="V38" s="5"/>
      <c r="W38" s="5"/>
      <c r="X38" s="5"/>
      <c r="Y38" s="5"/>
      <c r="Z38" s="5"/>
      <c r="AA38" s="5"/>
      <c r="AB38" s="5"/>
    </row>
    <row r="39" ht="15.75" customHeight="1">
      <c r="A39" s="8"/>
      <c r="B39" s="7"/>
      <c r="C39" s="5"/>
      <c r="D39" s="5"/>
      <c r="E39" s="10"/>
      <c r="F39" s="10"/>
      <c r="G39" s="5"/>
      <c r="H39" s="5"/>
      <c r="I39" s="5"/>
      <c r="J39" s="5"/>
      <c r="K39" s="5"/>
      <c r="L39" s="5"/>
      <c r="M39" s="5"/>
      <c r="N39" s="5"/>
      <c r="O39" s="5"/>
      <c r="P39" s="5"/>
      <c r="Q39" s="5"/>
      <c r="R39" s="5"/>
      <c r="S39" s="5"/>
      <c r="T39" s="5"/>
      <c r="U39" s="5"/>
      <c r="V39" s="5"/>
      <c r="W39" s="5"/>
      <c r="X39" s="5"/>
      <c r="Y39" s="5"/>
      <c r="Z39" s="5"/>
      <c r="AA39" s="5"/>
      <c r="AB39" s="5"/>
    </row>
    <row r="40" ht="15.75" customHeight="1">
      <c r="A40" s="8"/>
      <c r="B40" s="7"/>
      <c r="C40" s="5"/>
      <c r="D40" s="5"/>
      <c r="E40" s="10"/>
      <c r="F40" s="10"/>
      <c r="G40" s="5"/>
      <c r="H40" s="5"/>
      <c r="I40" s="5"/>
      <c r="J40" s="5"/>
      <c r="K40" s="5"/>
      <c r="L40" s="5"/>
      <c r="M40" s="5"/>
      <c r="N40" s="5"/>
      <c r="O40" s="5"/>
      <c r="P40" s="5"/>
      <c r="Q40" s="5"/>
      <c r="R40" s="5"/>
      <c r="S40" s="5"/>
      <c r="T40" s="5"/>
      <c r="U40" s="5"/>
      <c r="V40" s="5"/>
      <c r="W40" s="5"/>
      <c r="X40" s="5"/>
      <c r="Y40" s="5"/>
      <c r="Z40" s="5"/>
      <c r="AA40" s="5"/>
      <c r="AB40" s="5"/>
    </row>
    <row r="41" ht="15.75" customHeight="1">
      <c r="A41" s="8"/>
      <c r="B41" s="7"/>
      <c r="C41" s="5"/>
      <c r="D41" s="5"/>
      <c r="E41" s="6"/>
      <c r="F41" s="6"/>
      <c r="G41" s="5"/>
      <c r="H41" s="5"/>
      <c r="I41" s="5"/>
      <c r="J41" s="5"/>
      <c r="K41" s="5"/>
      <c r="L41" s="5"/>
      <c r="M41" s="5"/>
      <c r="N41" s="5"/>
      <c r="O41" s="5"/>
      <c r="P41" s="5"/>
      <c r="Q41" s="5"/>
      <c r="R41" s="5"/>
      <c r="S41" s="5"/>
      <c r="T41" s="5"/>
      <c r="U41" s="5"/>
      <c r="V41" s="5"/>
      <c r="W41" s="5"/>
      <c r="X41" s="5"/>
      <c r="Y41" s="5"/>
      <c r="Z41" s="5"/>
      <c r="AA41" s="5"/>
      <c r="AB41" s="5"/>
    </row>
    <row r="42" ht="15.75" customHeight="1">
      <c r="A42" s="8"/>
      <c r="B42" s="7"/>
      <c r="C42" s="5"/>
      <c r="D42" s="5"/>
      <c r="E42" s="6"/>
      <c r="F42" s="6"/>
      <c r="G42" s="5"/>
      <c r="H42" s="5"/>
      <c r="I42" s="5"/>
      <c r="J42" s="5"/>
      <c r="K42" s="5"/>
      <c r="L42" s="5"/>
      <c r="M42" s="5"/>
      <c r="N42" s="5"/>
      <c r="O42" s="5"/>
      <c r="P42" s="5"/>
      <c r="Q42" s="5"/>
      <c r="R42" s="5"/>
      <c r="S42" s="5"/>
      <c r="T42" s="5"/>
      <c r="U42" s="5"/>
      <c r="V42" s="5"/>
      <c r="W42" s="5"/>
      <c r="X42" s="5"/>
      <c r="Y42" s="5"/>
      <c r="Z42" s="5"/>
      <c r="AA42" s="5"/>
      <c r="AB42" s="5"/>
    </row>
    <row r="43" ht="15.75" customHeight="1">
      <c r="A43" s="8"/>
      <c r="B43" s="7"/>
      <c r="C43" s="5"/>
      <c r="D43" s="5"/>
      <c r="E43" s="6"/>
      <c r="F43" s="6"/>
      <c r="G43" s="5"/>
      <c r="H43" s="5"/>
      <c r="I43" s="5"/>
      <c r="J43" s="5"/>
      <c r="K43" s="5"/>
      <c r="L43" s="5"/>
      <c r="M43" s="5"/>
      <c r="N43" s="5"/>
      <c r="O43" s="5"/>
      <c r="P43" s="5"/>
      <c r="Q43" s="5"/>
      <c r="R43" s="5"/>
      <c r="S43" s="5"/>
      <c r="T43" s="5"/>
      <c r="U43" s="5"/>
      <c r="V43" s="5"/>
      <c r="W43" s="5"/>
      <c r="X43" s="5"/>
      <c r="Y43" s="5"/>
      <c r="Z43" s="5"/>
      <c r="AA43" s="5"/>
      <c r="AB43" s="5"/>
    </row>
    <row r="44" ht="15.75" customHeight="1">
      <c r="A44" s="8"/>
      <c r="B44" s="7"/>
      <c r="C44" s="5"/>
      <c r="D44" s="5"/>
      <c r="E44" s="6"/>
      <c r="F44" s="6"/>
      <c r="G44" s="5"/>
      <c r="H44" s="5"/>
      <c r="I44" s="5"/>
      <c r="J44" s="5"/>
      <c r="K44" s="5"/>
      <c r="L44" s="5"/>
      <c r="M44" s="5"/>
      <c r="N44" s="5"/>
      <c r="O44" s="5"/>
      <c r="P44" s="5"/>
      <c r="Q44" s="5"/>
      <c r="R44" s="5"/>
      <c r="S44" s="5"/>
      <c r="T44" s="5"/>
      <c r="U44" s="5"/>
      <c r="V44" s="5"/>
      <c r="W44" s="5"/>
      <c r="X44" s="5"/>
      <c r="Y44" s="5"/>
      <c r="Z44" s="5"/>
      <c r="AA44" s="5"/>
      <c r="AB44" s="5"/>
    </row>
    <row r="45" ht="15.75" customHeight="1">
      <c r="A45" s="8"/>
      <c r="B45" s="7"/>
      <c r="C45" s="5"/>
      <c r="D45" s="5"/>
      <c r="E45" s="10"/>
      <c r="F45" s="10"/>
      <c r="G45" s="5"/>
      <c r="H45" s="5"/>
      <c r="I45" s="5"/>
      <c r="J45" s="5"/>
      <c r="K45" s="5"/>
      <c r="L45" s="5"/>
      <c r="M45" s="5"/>
      <c r="N45" s="5"/>
      <c r="O45" s="5"/>
      <c r="P45" s="5"/>
      <c r="Q45" s="5"/>
      <c r="R45" s="5"/>
      <c r="S45" s="5"/>
      <c r="T45" s="5"/>
      <c r="U45" s="5"/>
      <c r="V45" s="5"/>
      <c r="W45" s="5"/>
      <c r="X45" s="5"/>
      <c r="Y45" s="5"/>
      <c r="Z45" s="5"/>
      <c r="AA45" s="5"/>
      <c r="AB45" s="5"/>
    </row>
    <row r="46" ht="15.75" customHeight="1">
      <c r="A46" s="8"/>
      <c r="B46" s="7"/>
      <c r="C46" s="5"/>
      <c r="D46" s="5"/>
      <c r="E46" s="10"/>
      <c r="F46" s="10"/>
      <c r="G46" s="5"/>
      <c r="H46" s="5"/>
      <c r="I46" s="5"/>
      <c r="J46" s="5"/>
      <c r="K46" s="5"/>
      <c r="L46" s="5"/>
      <c r="M46" s="5"/>
      <c r="N46" s="5"/>
      <c r="O46" s="5"/>
      <c r="P46" s="5"/>
      <c r="Q46" s="5"/>
      <c r="R46" s="5"/>
      <c r="S46" s="5"/>
      <c r="T46" s="5"/>
      <c r="U46" s="5"/>
      <c r="V46" s="5"/>
      <c r="W46" s="5"/>
      <c r="X46" s="5"/>
      <c r="Y46" s="5"/>
      <c r="Z46" s="5"/>
      <c r="AA46" s="5"/>
      <c r="AB46" s="5"/>
    </row>
    <row r="47" ht="15.75" customHeight="1">
      <c r="A47" s="8"/>
      <c r="B47" s="7"/>
      <c r="C47" s="5"/>
      <c r="D47" s="5"/>
      <c r="E47" s="10"/>
      <c r="F47" s="10"/>
      <c r="G47" s="5"/>
      <c r="H47" s="5"/>
      <c r="I47" s="5"/>
      <c r="J47" s="5"/>
      <c r="K47" s="5"/>
      <c r="L47" s="5"/>
      <c r="M47" s="5"/>
      <c r="N47" s="5"/>
      <c r="O47" s="5"/>
      <c r="P47" s="5"/>
      <c r="Q47" s="5"/>
      <c r="R47" s="5"/>
      <c r="S47" s="5"/>
      <c r="T47" s="5"/>
      <c r="U47" s="5"/>
      <c r="V47" s="5"/>
      <c r="W47" s="5"/>
      <c r="X47" s="5"/>
      <c r="Y47" s="5"/>
      <c r="Z47" s="5"/>
      <c r="AA47" s="5"/>
      <c r="AB47" s="5"/>
    </row>
    <row r="48" ht="15.75" customHeight="1">
      <c r="A48" s="8"/>
      <c r="B48" s="7"/>
      <c r="C48" s="5"/>
      <c r="D48" s="5"/>
      <c r="E48" s="10"/>
      <c r="F48" s="10"/>
      <c r="G48" s="5"/>
      <c r="H48" s="5"/>
      <c r="I48" s="5"/>
      <c r="J48" s="5"/>
      <c r="K48" s="5"/>
      <c r="L48" s="5"/>
      <c r="M48" s="5"/>
      <c r="N48" s="5"/>
      <c r="O48" s="5"/>
      <c r="P48" s="5"/>
      <c r="Q48" s="5"/>
      <c r="R48" s="5"/>
      <c r="S48" s="5"/>
      <c r="T48" s="5"/>
      <c r="U48" s="5"/>
      <c r="V48" s="5"/>
      <c r="W48" s="5"/>
      <c r="X48" s="5"/>
      <c r="Y48" s="5"/>
      <c r="Z48" s="5"/>
      <c r="AA48" s="5"/>
      <c r="AB48" s="5"/>
    </row>
    <row r="49" ht="15.75" customHeight="1">
      <c r="A49" s="8"/>
      <c r="B49" s="7"/>
      <c r="C49" s="5"/>
      <c r="D49" s="5"/>
      <c r="E49" s="6"/>
      <c r="F49" s="6"/>
      <c r="G49" s="5"/>
      <c r="H49" s="5"/>
      <c r="I49" s="5"/>
      <c r="J49" s="5"/>
      <c r="K49" s="5"/>
      <c r="L49" s="5"/>
      <c r="M49" s="5"/>
      <c r="N49" s="5"/>
      <c r="O49" s="5"/>
      <c r="P49" s="5"/>
      <c r="Q49" s="5"/>
      <c r="R49" s="5"/>
      <c r="S49" s="5"/>
      <c r="T49" s="5"/>
      <c r="U49" s="5"/>
      <c r="V49" s="5"/>
      <c r="W49" s="5"/>
      <c r="X49" s="5"/>
      <c r="Y49" s="5"/>
      <c r="Z49" s="5"/>
      <c r="AA49" s="5"/>
      <c r="AB49" s="5"/>
    </row>
    <row r="50" ht="15.75" customHeight="1">
      <c r="A50" s="8"/>
      <c r="B50" s="7"/>
      <c r="C50" s="5"/>
      <c r="D50" s="5"/>
      <c r="E50" s="10"/>
      <c r="F50" s="10"/>
      <c r="G50" s="5"/>
      <c r="H50" s="5"/>
      <c r="I50" s="5"/>
      <c r="J50" s="5"/>
      <c r="K50" s="5"/>
      <c r="L50" s="5"/>
      <c r="M50" s="5"/>
      <c r="N50" s="5"/>
      <c r="O50" s="5"/>
      <c r="P50" s="5"/>
      <c r="Q50" s="5"/>
      <c r="R50" s="5"/>
      <c r="S50" s="5"/>
      <c r="T50" s="5"/>
      <c r="U50" s="5"/>
      <c r="V50" s="5"/>
      <c r="W50" s="5"/>
      <c r="X50" s="5"/>
      <c r="Y50" s="5"/>
      <c r="Z50" s="5"/>
      <c r="AA50" s="5"/>
      <c r="AB50" s="5"/>
    </row>
    <row r="51" ht="15.75" customHeight="1">
      <c r="A51" s="8"/>
      <c r="B51" s="7"/>
      <c r="C51" s="5"/>
      <c r="D51" s="5"/>
      <c r="E51" s="10"/>
      <c r="F51" s="10"/>
      <c r="G51" s="5"/>
      <c r="H51" s="5"/>
      <c r="I51" s="5"/>
      <c r="J51" s="5"/>
      <c r="K51" s="5"/>
      <c r="L51" s="5"/>
      <c r="M51" s="5"/>
      <c r="N51" s="5"/>
      <c r="O51" s="5"/>
      <c r="P51" s="5"/>
      <c r="Q51" s="5"/>
      <c r="R51" s="5"/>
      <c r="S51" s="5"/>
      <c r="T51" s="5"/>
      <c r="U51" s="5"/>
      <c r="V51" s="5"/>
      <c r="W51" s="5"/>
      <c r="X51" s="5"/>
      <c r="Y51" s="5"/>
      <c r="Z51" s="5"/>
      <c r="AA51" s="5"/>
      <c r="AB51" s="5"/>
    </row>
    <row r="52" ht="15.75" customHeight="1">
      <c r="A52" s="8"/>
      <c r="B52" s="7"/>
      <c r="C52" s="5"/>
      <c r="D52" s="5"/>
      <c r="E52" s="6"/>
      <c r="F52" s="6"/>
      <c r="G52" s="5"/>
      <c r="H52" s="5"/>
      <c r="I52" s="5"/>
      <c r="J52" s="5"/>
      <c r="K52" s="5"/>
      <c r="L52" s="5"/>
      <c r="M52" s="5"/>
      <c r="N52" s="5"/>
      <c r="O52" s="5"/>
      <c r="P52" s="5"/>
      <c r="Q52" s="5"/>
      <c r="R52" s="5"/>
      <c r="S52" s="5"/>
      <c r="T52" s="5"/>
      <c r="U52" s="5"/>
      <c r="V52" s="5"/>
      <c r="W52" s="5"/>
      <c r="X52" s="5"/>
      <c r="Y52" s="5"/>
      <c r="Z52" s="5"/>
      <c r="AA52" s="5"/>
      <c r="AB52" s="5"/>
    </row>
    <row r="53" ht="15.75" customHeight="1">
      <c r="A53" s="8"/>
      <c r="B53" s="7"/>
      <c r="C53" s="11"/>
      <c r="D53" s="5"/>
      <c r="E53" s="10"/>
      <c r="F53" s="10"/>
      <c r="G53" s="5"/>
      <c r="H53" s="5"/>
      <c r="I53" s="5"/>
      <c r="J53" s="5"/>
      <c r="K53" s="5"/>
      <c r="L53" s="5"/>
      <c r="M53" s="5"/>
      <c r="N53" s="5"/>
      <c r="O53" s="5"/>
      <c r="P53" s="5"/>
      <c r="Q53" s="5"/>
      <c r="R53" s="5"/>
      <c r="S53" s="5"/>
      <c r="T53" s="5"/>
      <c r="U53" s="5"/>
      <c r="V53" s="5"/>
      <c r="W53" s="5"/>
      <c r="X53" s="5"/>
      <c r="Y53" s="5"/>
      <c r="Z53" s="5"/>
      <c r="AA53" s="5"/>
      <c r="AB53" s="5"/>
    </row>
    <row r="54" ht="15.75" customHeight="1">
      <c r="A54" s="8"/>
      <c r="B54" s="7"/>
      <c r="C54" s="5"/>
      <c r="D54" s="5"/>
      <c r="E54" s="10"/>
      <c r="F54" s="10"/>
      <c r="G54" s="5"/>
      <c r="H54" s="5"/>
      <c r="I54" s="5"/>
      <c r="J54" s="5"/>
      <c r="K54" s="5"/>
      <c r="L54" s="5"/>
      <c r="M54" s="5"/>
      <c r="N54" s="5"/>
      <c r="O54" s="5"/>
      <c r="P54" s="5"/>
      <c r="Q54" s="5"/>
      <c r="R54" s="5"/>
      <c r="S54" s="5"/>
      <c r="T54" s="5"/>
      <c r="U54" s="5"/>
      <c r="V54" s="5"/>
      <c r="W54" s="5"/>
      <c r="X54" s="5"/>
      <c r="Y54" s="5"/>
      <c r="Z54" s="5"/>
      <c r="AA54" s="5"/>
      <c r="AB54" s="5"/>
    </row>
    <row r="55" ht="15.75" customHeight="1">
      <c r="A55" s="8"/>
      <c r="B55" s="7"/>
      <c r="C55" s="5"/>
      <c r="D55" s="5"/>
      <c r="E55" s="10"/>
      <c r="F55" s="10"/>
      <c r="G55" s="5"/>
      <c r="H55" s="5"/>
      <c r="I55" s="5"/>
      <c r="J55" s="5"/>
      <c r="K55" s="5"/>
      <c r="L55" s="5"/>
      <c r="M55" s="5"/>
      <c r="N55" s="5"/>
      <c r="O55" s="5"/>
      <c r="P55" s="5"/>
      <c r="Q55" s="5"/>
      <c r="R55" s="5"/>
      <c r="S55" s="5"/>
      <c r="T55" s="5"/>
      <c r="U55" s="5"/>
      <c r="V55" s="5"/>
      <c r="W55" s="5"/>
      <c r="X55" s="5"/>
      <c r="Y55" s="5"/>
      <c r="Z55" s="5"/>
      <c r="AA55" s="5"/>
      <c r="AB55" s="5"/>
    </row>
    <row r="56" ht="15.75" customHeight="1">
      <c r="A56" s="8"/>
      <c r="B56" s="7"/>
      <c r="C56" s="5"/>
      <c r="D56" s="5"/>
      <c r="E56" s="10"/>
      <c r="F56" s="10"/>
      <c r="G56" s="5"/>
      <c r="H56" s="5"/>
      <c r="I56" s="5"/>
      <c r="J56" s="5"/>
      <c r="K56" s="5"/>
      <c r="L56" s="5"/>
      <c r="M56" s="5"/>
      <c r="N56" s="5"/>
      <c r="O56" s="5"/>
      <c r="P56" s="5"/>
      <c r="Q56" s="5"/>
      <c r="R56" s="5"/>
      <c r="S56" s="5"/>
      <c r="T56" s="5"/>
      <c r="U56" s="5"/>
      <c r="V56" s="5"/>
      <c r="W56" s="5"/>
      <c r="X56" s="5"/>
      <c r="Y56" s="5"/>
      <c r="Z56" s="5"/>
      <c r="AA56" s="5"/>
      <c r="AB56" s="5"/>
    </row>
    <row r="57" ht="15.75" customHeight="1">
      <c r="A57" s="8"/>
      <c r="B57" s="7"/>
      <c r="C57" s="5"/>
      <c r="D57" s="5"/>
      <c r="E57" s="6"/>
      <c r="F57" s="6"/>
      <c r="G57" s="5"/>
      <c r="H57" s="5"/>
      <c r="I57" s="5"/>
      <c r="J57" s="5"/>
      <c r="K57" s="5"/>
      <c r="L57" s="5"/>
      <c r="M57" s="5"/>
      <c r="N57" s="5"/>
      <c r="O57" s="5"/>
      <c r="P57" s="5"/>
      <c r="Q57" s="5"/>
      <c r="R57" s="5"/>
      <c r="S57" s="5"/>
      <c r="T57" s="5"/>
      <c r="U57" s="5"/>
      <c r="V57" s="5"/>
      <c r="W57" s="5"/>
      <c r="X57" s="5"/>
      <c r="Y57" s="5"/>
      <c r="Z57" s="5"/>
      <c r="AA57" s="5"/>
      <c r="AB57" s="5"/>
    </row>
    <row r="58" ht="15.75" customHeight="1">
      <c r="A58" s="8"/>
      <c r="B58" s="7"/>
      <c r="C58" s="5"/>
      <c r="D58" s="5"/>
      <c r="E58" s="6"/>
      <c r="F58" s="6"/>
      <c r="G58" s="5"/>
      <c r="H58" s="5"/>
      <c r="I58" s="5"/>
      <c r="J58" s="5"/>
      <c r="K58" s="5"/>
      <c r="L58" s="5"/>
      <c r="M58" s="5"/>
      <c r="N58" s="5"/>
      <c r="O58" s="5"/>
      <c r="P58" s="5"/>
      <c r="Q58" s="5"/>
      <c r="R58" s="5"/>
      <c r="S58" s="5"/>
      <c r="T58" s="5"/>
      <c r="U58" s="5"/>
      <c r="V58" s="5"/>
      <c r="W58" s="5"/>
      <c r="X58" s="5"/>
      <c r="Y58" s="5"/>
      <c r="Z58" s="5"/>
      <c r="AA58" s="5"/>
      <c r="AB58" s="5"/>
    </row>
    <row r="59" ht="15.75" customHeight="1">
      <c r="A59" s="8"/>
      <c r="B59" s="7"/>
      <c r="C59" s="5"/>
      <c r="D59" s="5"/>
      <c r="E59" s="6"/>
      <c r="F59" s="6"/>
      <c r="G59" s="5"/>
      <c r="H59" s="5"/>
      <c r="I59" s="5"/>
      <c r="J59" s="5"/>
      <c r="K59" s="5"/>
      <c r="L59" s="5"/>
      <c r="M59" s="5"/>
      <c r="N59" s="5"/>
      <c r="O59" s="5"/>
      <c r="P59" s="5"/>
      <c r="Q59" s="5"/>
      <c r="R59" s="5"/>
      <c r="S59" s="5"/>
      <c r="T59" s="5"/>
      <c r="U59" s="5"/>
      <c r="V59" s="5"/>
      <c r="W59" s="5"/>
      <c r="X59" s="5"/>
      <c r="Y59" s="5"/>
      <c r="Z59" s="5"/>
      <c r="AA59" s="5"/>
      <c r="AB59" s="5"/>
    </row>
    <row r="60" ht="15.75" customHeight="1">
      <c r="A60" s="8"/>
      <c r="B60" s="7"/>
      <c r="C60" s="5"/>
      <c r="D60" s="5"/>
      <c r="E60" s="6"/>
      <c r="F60" s="6"/>
      <c r="G60" s="5"/>
      <c r="H60" s="5"/>
      <c r="I60" s="5"/>
      <c r="J60" s="5"/>
      <c r="K60" s="5"/>
      <c r="L60" s="5"/>
      <c r="M60" s="5"/>
      <c r="N60" s="5"/>
      <c r="O60" s="5"/>
      <c r="P60" s="5"/>
      <c r="Q60" s="5"/>
      <c r="R60" s="5"/>
      <c r="S60" s="5"/>
      <c r="T60" s="5"/>
      <c r="U60" s="5"/>
      <c r="V60" s="5"/>
      <c r="W60" s="5"/>
      <c r="X60" s="5"/>
      <c r="Y60" s="5"/>
      <c r="Z60" s="5"/>
      <c r="AA60" s="5"/>
      <c r="AB60" s="5"/>
    </row>
    <row r="61" ht="15.75" customHeight="1">
      <c r="A61" s="8"/>
      <c r="B61" s="7"/>
      <c r="C61" s="5"/>
      <c r="D61" s="5"/>
      <c r="E61" s="6"/>
      <c r="F61" s="6"/>
      <c r="G61" s="5"/>
      <c r="H61" s="5"/>
      <c r="I61" s="5"/>
      <c r="J61" s="5"/>
      <c r="K61" s="5"/>
      <c r="L61" s="5"/>
      <c r="M61" s="5"/>
      <c r="N61" s="5"/>
      <c r="O61" s="5"/>
      <c r="P61" s="5"/>
      <c r="Q61" s="5"/>
      <c r="R61" s="5"/>
      <c r="S61" s="5"/>
      <c r="T61" s="5"/>
      <c r="U61" s="5"/>
      <c r="V61" s="5"/>
      <c r="W61" s="5"/>
      <c r="X61" s="5"/>
      <c r="Y61" s="5"/>
      <c r="Z61" s="5"/>
      <c r="AA61" s="5"/>
      <c r="AB61" s="5"/>
    </row>
    <row r="62" ht="15.75" customHeight="1">
      <c r="A62" s="8"/>
      <c r="B62" s="7"/>
      <c r="C62" s="5"/>
      <c r="D62" s="5"/>
      <c r="E62" s="6"/>
      <c r="F62" s="6"/>
      <c r="G62" s="5"/>
      <c r="H62" s="5"/>
      <c r="I62" s="5"/>
      <c r="J62" s="5"/>
      <c r="K62" s="5"/>
      <c r="L62" s="5"/>
      <c r="M62" s="5"/>
      <c r="N62" s="5"/>
      <c r="O62" s="5"/>
      <c r="P62" s="5"/>
      <c r="Q62" s="5"/>
      <c r="R62" s="5"/>
      <c r="S62" s="5"/>
      <c r="T62" s="5"/>
      <c r="U62" s="5"/>
      <c r="V62" s="5"/>
      <c r="W62" s="5"/>
      <c r="X62" s="5"/>
      <c r="Y62" s="5"/>
      <c r="Z62" s="5"/>
      <c r="AA62" s="5"/>
      <c r="AB62" s="5"/>
    </row>
    <row r="63" ht="15.75" customHeight="1">
      <c r="A63" s="8"/>
      <c r="B63" s="7"/>
      <c r="C63" s="5"/>
      <c r="D63" s="5"/>
      <c r="E63" s="6"/>
      <c r="F63" s="6"/>
      <c r="G63" s="5"/>
      <c r="H63" s="5"/>
      <c r="I63" s="5"/>
      <c r="J63" s="5"/>
      <c r="K63" s="5"/>
      <c r="L63" s="5"/>
      <c r="M63" s="5"/>
      <c r="N63" s="5"/>
      <c r="O63" s="5"/>
      <c r="P63" s="5"/>
      <c r="Q63" s="5"/>
      <c r="R63" s="5"/>
      <c r="S63" s="5"/>
      <c r="T63" s="5"/>
      <c r="U63" s="5"/>
      <c r="V63" s="5"/>
      <c r="W63" s="5"/>
      <c r="X63" s="5"/>
      <c r="Y63" s="5"/>
      <c r="Z63" s="5"/>
      <c r="AA63" s="5"/>
      <c r="AB63" s="5"/>
    </row>
    <row r="64" ht="15.75" customHeight="1">
      <c r="A64" s="8"/>
      <c r="B64" s="7"/>
      <c r="C64" s="5"/>
      <c r="D64" s="5"/>
      <c r="E64" s="6"/>
      <c r="F64" s="6"/>
      <c r="G64" s="5"/>
      <c r="H64" s="5"/>
      <c r="I64" s="5"/>
      <c r="J64" s="5"/>
      <c r="K64" s="5"/>
      <c r="L64" s="5"/>
      <c r="M64" s="5"/>
      <c r="N64" s="5"/>
      <c r="O64" s="5"/>
      <c r="P64" s="5"/>
      <c r="Q64" s="5"/>
      <c r="R64" s="5"/>
      <c r="S64" s="5"/>
      <c r="T64" s="5"/>
      <c r="U64" s="5"/>
      <c r="V64" s="5"/>
      <c r="W64" s="5"/>
      <c r="X64" s="5"/>
      <c r="Y64" s="5"/>
      <c r="Z64" s="5"/>
      <c r="AA64" s="5"/>
      <c r="AB64" s="5"/>
    </row>
    <row r="65" ht="15.75" customHeight="1">
      <c r="A65" s="8"/>
      <c r="B65" s="7"/>
      <c r="C65" s="5"/>
      <c r="D65" s="5"/>
      <c r="E65" s="6"/>
      <c r="F65" s="6"/>
      <c r="G65" s="5"/>
      <c r="H65" s="5"/>
      <c r="I65" s="5"/>
      <c r="J65" s="5"/>
      <c r="K65" s="5"/>
      <c r="L65" s="5"/>
      <c r="M65" s="5"/>
      <c r="N65" s="5"/>
      <c r="O65" s="5"/>
      <c r="P65" s="5"/>
      <c r="Q65" s="5"/>
      <c r="R65" s="5"/>
      <c r="S65" s="5"/>
      <c r="T65" s="5"/>
      <c r="U65" s="5"/>
      <c r="V65" s="5"/>
      <c r="W65" s="5"/>
      <c r="X65" s="5"/>
      <c r="Y65" s="5"/>
      <c r="Z65" s="5"/>
      <c r="AA65" s="5"/>
      <c r="AB65" s="5"/>
    </row>
    <row r="66" ht="15.75" customHeight="1">
      <c r="A66" s="8"/>
      <c r="B66" s="7"/>
      <c r="C66" s="5"/>
      <c r="D66" s="5"/>
      <c r="E66" s="6"/>
      <c r="F66" s="6"/>
      <c r="G66" s="5"/>
      <c r="H66" s="5"/>
      <c r="I66" s="5"/>
      <c r="J66" s="5"/>
      <c r="K66" s="5"/>
      <c r="L66" s="5"/>
      <c r="M66" s="5"/>
      <c r="N66" s="5"/>
      <c r="O66" s="5"/>
      <c r="P66" s="5"/>
      <c r="Q66" s="5"/>
      <c r="R66" s="5"/>
      <c r="S66" s="5"/>
      <c r="T66" s="5"/>
      <c r="U66" s="5"/>
      <c r="V66" s="5"/>
      <c r="W66" s="5"/>
      <c r="X66" s="5"/>
      <c r="Y66" s="5"/>
      <c r="Z66" s="5"/>
      <c r="AA66" s="5"/>
      <c r="AB66" s="5"/>
    </row>
    <row r="67" ht="15.75" customHeight="1">
      <c r="A67" s="8"/>
      <c r="B67" s="7"/>
      <c r="C67" s="5"/>
      <c r="D67" s="5"/>
      <c r="E67" s="6"/>
      <c r="F67" s="6"/>
      <c r="G67" s="5"/>
      <c r="H67" s="5"/>
      <c r="I67" s="5"/>
      <c r="J67" s="5"/>
      <c r="K67" s="5"/>
      <c r="L67" s="5"/>
      <c r="M67" s="5"/>
      <c r="N67" s="5"/>
      <c r="O67" s="5"/>
      <c r="P67" s="5"/>
      <c r="Q67" s="5"/>
      <c r="R67" s="5"/>
      <c r="S67" s="5"/>
      <c r="T67" s="5"/>
      <c r="U67" s="5"/>
      <c r="V67" s="5"/>
      <c r="W67" s="5"/>
      <c r="X67" s="5"/>
      <c r="Y67" s="5"/>
      <c r="Z67" s="5"/>
      <c r="AA67" s="5"/>
      <c r="AB67" s="5"/>
    </row>
    <row r="68" ht="15.75" customHeight="1">
      <c r="A68" s="8"/>
      <c r="B68" s="7"/>
      <c r="C68" s="5"/>
      <c r="D68" s="5"/>
      <c r="E68" s="6"/>
      <c r="F68" s="6"/>
      <c r="G68" s="5"/>
      <c r="H68" s="5"/>
      <c r="I68" s="5"/>
      <c r="J68" s="5"/>
      <c r="K68" s="5"/>
      <c r="L68" s="5"/>
      <c r="M68" s="5"/>
      <c r="N68" s="5"/>
      <c r="O68" s="5"/>
      <c r="P68" s="5"/>
      <c r="Q68" s="5"/>
      <c r="R68" s="5"/>
      <c r="S68" s="5"/>
      <c r="T68" s="5"/>
      <c r="U68" s="5"/>
      <c r="V68" s="5"/>
      <c r="W68" s="5"/>
      <c r="X68" s="5"/>
      <c r="Y68" s="5"/>
      <c r="Z68" s="5"/>
      <c r="AA68" s="5"/>
      <c r="AB68" s="5"/>
    </row>
    <row r="69" ht="15.75" customHeight="1">
      <c r="A69" s="8"/>
      <c r="B69" s="7"/>
      <c r="C69" s="5"/>
      <c r="D69" s="5"/>
      <c r="E69" s="6"/>
      <c r="F69" s="6"/>
      <c r="G69" s="5"/>
      <c r="H69" s="5"/>
      <c r="I69" s="5"/>
      <c r="J69" s="5"/>
      <c r="K69" s="5"/>
      <c r="L69" s="5"/>
      <c r="M69" s="5"/>
      <c r="N69" s="5"/>
      <c r="O69" s="5"/>
      <c r="P69" s="5"/>
      <c r="Q69" s="5"/>
      <c r="R69" s="5"/>
      <c r="S69" s="5"/>
      <c r="T69" s="5"/>
      <c r="U69" s="5"/>
      <c r="V69" s="5"/>
      <c r="W69" s="5"/>
      <c r="X69" s="5"/>
      <c r="Y69" s="5"/>
      <c r="Z69" s="5"/>
      <c r="AA69" s="5"/>
      <c r="AB69" s="5"/>
    </row>
    <row r="70" ht="15.75" customHeight="1">
      <c r="A70" s="8"/>
      <c r="B70" s="7"/>
      <c r="C70" s="5"/>
      <c r="D70" s="5"/>
      <c r="E70" s="6"/>
      <c r="F70" s="6"/>
      <c r="G70" s="5"/>
      <c r="H70" s="5"/>
      <c r="I70" s="5"/>
      <c r="J70" s="5"/>
      <c r="K70" s="5"/>
      <c r="L70" s="5"/>
      <c r="M70" s="5"/>
      <c r="N70" s="5"/>
      <c r="O70" s="5"/>
      <c r="P70" s="5"/>
      <c r="Q70" s="5"/>
      <c r="R70" s="5"/>
      <c r="S70" s="5"/>
      <c r="T70" s="5"/>
      <c r="U70" s="5"/>
      <c r="V70" s="5"/>
      <c r="W70" s="5"/>
      <c r="X70" s="5"/>
      <c r="Y70" s="5"/>
      <c r="Z70" s="5"/>
      <c r="AA70" s="5"/>
      <c r="AB70" s="5"/>
    </row>
    <row r="71" ht="15.75" customHeight="1">
      <c r="A71" s="8"/>
      <c r="B71" s="7"/>
      <c r="C71" s="5"/>
      <c r="D71" s="5"/>
      <c r="E71" s="6"/>
      <c r="F71" s="6"/>
      <c r="G71" s="5"/>
      <c r="H71" s="5"/>
      <c r="I71" s="5"/>
      <c r="J71" s="5"/>
      <c r="K71" s="5"/>
      <c r="L71" s="5"/>
      <c r="M71" s="5"/>
      <c r="N71" s="5"/>
      <c r="O71" s="5"/>
      <c r="P71" s="5"/>
      <c r="Q71" s="5"/>
      <c r="R71" s="5"/>
      <c r="S71" s="5"/>
      <c r="T71" s="5"/>
      <c r="U71" s="5"/>
      <c r="V71" s="5"/>
      <c r="W71" s="5"/>
      <c r="X71" s="5"/>
      <c r="Y71" s="5"/>
      <c r="Z71" s="5"/>
      <c r="AA71" s="5"/>
      <c r="AB71" s="5"/>
    </row>
    <row r="72" ht="15.75" customHeight="1">
      <c r="A72" s="8"/>
      <c r="B72" s="7"/>
      <c r="C72" s="5"/>
      <c r="D72" s="5"/>
      <c r="E72" s="6"/>
      <c r="F72" s="6"/>
      <c r="G72" s="5"/>
      <c r="H72" s="5"/>
      <c r="I72" s="5"/>
      <c r="J72" s="5"/>
      <c r="K72" s="5"/>
      <c r="L72" s="5"/>
      <c r="M72" s="5"/>
      <c r="N72" s="5"/>
      <c r="O72" s="5"/>
      <c r="P72" s="5"/>
      <c r="Q72" s="5"/>
      <c r="R72" s="5"/>
      <c r="S72" s="5"/>
      <c r="T72" s="5"/>
      <c r="U72" s="5"/>
      <c r="V72" s="5"/>
      <c r="W72" s="5"/>
      <c r="X72" s="5"/>
      <c r="Y72" s="5"/>
      <c r="Z72" s="5"/>
      <c r="AA72" s="5"/>
      <c r="AB72" s="5"/>
    </row>
    <row r="73" ht="15.75" customHeight="1">
      <c r="A73" s="8"/>
      <c r="B73" s="7"/>
      <c r="C73" s="5"/>
      <c r="D73" s="5"/>
      <c r="E73" s="6"/>
      <c r="F73" s="6"/>
      <c r="G73" s="5"/>
      <c r="H73" s="5"/>
      <c r="I73" s="5"/>
      <c r="J73" s="5"/>
      <c r="K73" s="5"/>
      <c r="L73" s="5"/>
      <c r="M73" s="5"/>
      <c r="N73" s="5"/>
      <c r="O73" s="5"/>
      <c r="P73" s="5"/>
      <c r="Q73" s="5"/>
      <c r="R73" s="5"/>
      <c r="S73" s="5"/>
      <c r="T73" s="5"/>
      <c r="U73" s="5"/>
      <c r="V73" s="5"/>
      <c r="W73" s="5"/>
      <c r="X73" s="5"/>
      <c r="Y73" s="5"/>
      <c r="Z73" s="5"/>
      <c r="AA73" s="5"/>
      <c r="AB73" s="5"/>
    </row>
    <row r="74" ht="15.75" customHeight="1">
      <c r="A74" s="8"/>
      <c r="B74" s="7"/>
      <c r="C74" s="5"/>
      <c r="D74" s="5"/>
      <c r="E74" s="6"/>
      <c r="F74" s="6"/>
      <c r="G74" s="5"/>
      <c r="H74" s="5"/>
      <c r="I74" s="5"/>
      <c r="J74" s="5"/>
      <c r="K74" s="5"/>
      <c r="L74" s="5"/>
      <c r="M74" s="5"/>
      <c r="N74" s="5"/>
      <c r="O74" s="5"/>
      <c r="P74" s="5"/>
      <c r="Q74" s="5"/>
      <c r="R74" s="5"/>
      <c r="S74" s="5"/>
      <c r="T74" s="5"/>
      <c r="U74" s="5"/>
      <c r="V74" s="5"/>
      <c r="W74" s="5"/>
      <c r="X74" s="5"/>
      <c r="Y74" s="5"/>
      <c r="Z74" s="5"/>
      <c r="AA74" s="5"/>
      <c r="AB74" s="5"/>
    </row>
    <row r="75" ht="15.75" customHeight="1">
      <c r="A75" s="8"/>
      <c r="B75" s="7"/>
      <c r="C75" s="5"/>
      <c r="D75" s="5"/>
      <c r="E75" s="6"/>
      <c r="F75" s="6"/>
      <c r="G75" s="5"/>
      <c r="H75" s="5"/>
      <c r="I75" s="5"/>
      <c r="J75" s="5"/>
      <c r="K75" s="5"/>
      <c r="L75" s="5"/>
      <c r="M75" s="5"/>
      <c r="N75" s="5"/>
      <c r="O75" s="5"/>
      <c r="P75" s="5"/>
      <c r="Q75" s="5"/>
      <c r="R75" s="5"/>
      <c r="S75" s="5"/>
      <c r="T75" s="5"/>
      <c r="U75" s="5"/>
      <c r="V75" s="5"/>
      <c r="W75" s="5"/>
      <c r="X75" s="5"/>
      <c r="Y75" s="5"/>
      <c r="Z75" s="5"/>
      <c r="AA75" s="5"/>
      <c r="AB75" s="5"/>
    </row>
    <row r="76" ht="15.75" customHeight="1">
      <c r="A76" s="8"/>
      <c r="B76" s="7"/>
      <c r="C76" s="5"/>
      <c r="D76" s="5"/>
      <c r="E76" s="6"/>
      <c r="F76" s="6"/>
      <c r="G76" s="5"/>
      <c r="H76" s="5"/>
      <c r="I76" s="5"/>
      <c r="J76" s="5"/>
      <c r="K76" s="5"/>
      <c r="L76" s="5"/>
      <c r="M76" s="5"/>
      <c r="N76" s="5"/>
      <c r="O76" s="5"/>
      <c r="P76" s="5"/>
      <c r="Q76" s="5"/>
      <c r="R76" s="5"/>
      <c r="S76" s="5"/>
      <c r="T76" s="5"/>
      <c r="U76" s="5"/>
      <c r="V76" s="5"/>
      <c r="W76" s="5"/>
      <c r="X76" s="5"/>
      <c r="Y76" s="5"/>
      <c r="Z76" s="5"/>
      <c r="AA76" s="5"/>
      <c r="AB76" s="5"/>
    </row>
    <row r="77" ht="15.75" customHeight="1">
      <c r="A77" s="8"/>
      <c r="B77" s="7"/>
      <c r="C77" s="5"/>
      <c r="D77" s="5"/>
      <c r="E77" s="6"/>
      <c r="F77" s="6"/>
      <c r="G77" s="5"/>
      <c r="H77" s="5"/>
      <c r="I77" s="5"/>
      <c r="J77" s="5"/>
      <c r="K77" s="5"/>
      <c r="L77" s="5"/>
      <c r="M77" s="5"/>
      <c r="N77" s="5"/>
      <c r="O77" s="5"/>
      <c r="P77" s="5"/>
      <c r="Q77" s="5"/>
      <c r="R77" s="5"/>
      <c r="S77" s="5"/>
      <c r="T77" s="5"/>
      <c r="U77" s="5"/>
      <c r="V77" s="5"/>
      <c r="W77" s="5"/>
      <c r="X77" s="5"/>
      <c r="Y77" s="5"/>
      <c r="Z77" s="5"/>
      <c r="AA77" s="5"/>
      <c r="AB77" s="5"/>
    </row>
    <row r="78" ht="15.75" customHeight="1">
      <c r="A78" s="8"/>
      <c r="B78" s="7"/>
      <c r="C78" s="5"/>
      <c r="D78" s="5"/>
      <c r="E78" s="6"/>
      <c r="F78" s="6"/>
      <c r="G78" s="5"/>
      <c r="H78" s="5"/>
      <c r="I78" s="5"/>
      <c r="J78" s="5"/>
      <c r="K78" s="5"/>
      <c r="L78" s="5"/>
      <c r="M78" s="5"/>
      <c r="N78" s="5"/>
      <c r="O78" s="5"/>
      <c r="P78" s="5"/>
      <c r="Q78" s="5"/>
      <c r="R78" s="5"/>
      <c r="S78" s="5"/>
      <c r="T78" s="5"/>
      <c r="U78" s="5"/>
      <c r="V78" s="5"/>
      <c r="W78" s="5"/>
      <c r="X78" s="5"/>
      <c r="Y78" s="5"/>
      <c r="Z78" s="5"/>
      <c r="AA78" s="5"/>
      <c r="AB78" s="5"/>
    </row>
    <row r="79" ht="15.75" customHeight="1">
      <c r="A79" s="8"/>
      <c r="B79" s="7"/>
      <c r="C79" s="5"/>
      <c r="D79" s="5"/>
      <c r="E79" s="6"/>
      <c r="F79" s="6"/>
      <c r="G79" s="5"/>
      <c r="H79" s="5"/>
      <c r="I79" s="5"/>
      <c r="J79" s="5"/>
      <c r="K79" s="5"/>
      <c r="L79" s="5"/>
      <c r="M79" s="5"/>
      <c r="N79" s="5"/>
      <c r="O79" s="5"/>
      <c r="P79" s="5"/>
      <c r="Q79" s="5"/>
      <c r="R79" s="5"/>
      <c r="S79" s="5"/>
      <c r="T79" s="5"/>
      <c r="U79" s="5"/>
      <c r="V79" s="5"/>
      <c r="W79" s="5"/>
      <c r="X79" s="5"/>
      <c r="Y79" s="5"/>
      <c r="Z79" s="5"/>
      <c r="AA79" s="5"/>
      <c r="AB79" s="5"/>
    </row>
    <row r="80" ht="15.75" customHeight="1">
      <c r="A80" s="8"/>
      <c r="B80" s="7"/>
      <c r="C80" s="5"/>
      <c r="D80" s="5"/>
      <c r="E80" s="6"/>
      <c r="F80" s="6"/>
      <c r="G80" s="5"/>
      <c r="H80" s="5"/>
      <c r="I80" s="5"/>
      <c r="J80" s="5"/>
      <c r="K80" s="5"/>
      <c r="L80" s="5"/>
      <c r="M80" s="5"/>
      <c r="N80" s="5"/>
      <c r="O80" s="5"/>
      <c r="P80" s="5"/>
      <c r="Q80" s="5"/>
      <c r="R80" s="5"/>
      <c r="S80" s="5"/>
      <c r="T80" s="5"/>
      <c r="U80" s="5"/>
      <c r="V80" s="5"/>
      <c r="W80" s="5"/>
      <c r="X80" s="5"/>
      <c r="Y80" s="5"/>
      <c r="Z80" s="5"/>
      <c r="AA80" s="5"/>
      <c r="AB80" s="5"/>
    </row>
    <row r="81" ht="15.75" customHeight="1">
      <c r="A81" s="8"/>
      <c r="B81" s="7"/>
      <c r="C81" s="5"/>
      <c r="D81" s="5"/>
      <c r="E81" s="6"/>
      <c r="F81" s="6"/>
      <c r="G81" s="5"/>
      <c r="H81" s="5"/>
      <c r="I81" s="5"/>
      <c r="J81" s="5"/>
      <c r="K81" s="5"/>
      <c r="L81" s="5"/>
      <c r="M81" s="5"/>
      <c r="N81" s="5"/>
      <c r="O81" s="5"/>
      <c r="P81" s="5"/>
      <c r="Q81" s="5"/>
      <c r="R81" s="5"/>
      <c r="S81" s="5"/>
      <c r="T81" s="5"/>
      <c r="U81" s="5"/>
      <c r="V81" s="5"/>
      <c r="W81" s="5"/>
      <c r="X81" s="5"/>
      <c r="Y81" s="5"/>
      <c r="Z81" s="5"/>
      <c r="AA81" s="5"/>
      <c r="AB81" s="5"/>
    </row>
    <row r="82" ht="15.75" customHeight="1">
      <c r="A82" s="8"/>
      <c r="B82" s="7"/>
      <c r="C82" s="5"/>
      <c r="D82" s="5"/>
      <c r="E82" s="6"/>
      <c r="F82" s="6"/>
      <c r="G82" s="5"/>
      <c r="H82" s="5"/>
      <c r="I82" s="5"/>
      <c r="J82" s="5"/>
      <c r="K82" s="5"/>
      <c r="L82" s="5"/>
      <c r="M82" s="5"/>
      <c r="N82" s="5"/>
      <c r="O82" s="5"/>
      <c r="P82" s="5"/>
      <c r="Q82" s="5"/>
      <c r="R82" s="5"/>
      <c r="S82" s="5"/>
      <c r="T82" s="5"/>
      <c r="U82" s="5"/>
      <c r="V82" s="5"/>
      <c r="W82" s="5"/>
      <c r="X82" s="5"/>
      <c r="Y82" s="5"/>
      <c r="Z82" s="5"/>
      <c r="AA82" s="5"/>
      <c r="AB82" s="5"/>
    </row>
    <row r="83" ht="15.75" customHeight="1">
      <c r="A83" s="8"/>
      <c r="B83" s="7"/>
      <c r="C83" s="5"/>
      <c r="D83" s="5"/>
      <c r="E83" s="6"/>
      <c r="F83" s="6"/>
      <c r="G83" s="5"/>
      <c r="H83" s="5"/>
      <c r="I83" s="5"/>
      <c r="J83" s="5"/>
      <c r="K83" s="5"/>
      <c r="L83" s="5"/>
      <c r="M83" s="5"/>
      <c r="N83" s="5"/>
      <c r="O83" s="5"/>
      <c r="P83" s="5"/>
      <c r="Q83" s="5"/>
      <c r="R83" s="5"/>
      <c r="S83" s="5"/>
      <c r="T83" s="5"/>
      <c r="U83" s="5"/>
      <c r="V83" s="5"/>
      <c r="W83" s="5"/>
      <c r="X83" s="5"/>
      <c r="Y83" s="5"/>
      <c r="Z83" s="5"/>
      <c r="AA83" s="5"/>
      <c r="AB83" s="5"/>
    </row>
    <row r="84" ht="15.75" customHeight="1">
      <c r="A84" s="8"/>
      <c r="B84" s="7"/>
      <c r="C84" s="5"/>
      <c r="D84" s="5"/>
      <c r="E84" s="6"/>
      <c r="F84" s="6"/>
      <c r="G84" s="5"/>
      <c r="H84" s="5"/>
      <c r="I84" s="5"/>
      <c r="J84" s="5"/>
      <c r="K84" s="5"/>
      <c r="L84" s="5"/>
      <c r="M84" s="5"/>
      <c r="N84" s="5"/>
      <c r="O84" s="5"/>
      <c r="P84" s="5"/>
      <c r="Q84" s="5"/>
      <c r="R84" s="5"/>
      <c r="S84" s="5"/>
      <c r="T84" s="5"/>
      <c r="U84" s="5"/>
      <c r="V84" s="5"/>
      <c r="W84" s="5"/>
      <c r="X84" s="5"/>
      <c r="Y84" s="5"/>
      <c r="Z84" s="5"/>
      <c r="AA84" s="5"/>
      <c r="AB84" s="5"/>
    </row>
    <row r="85" ht="15.75" customHeight="1">
      <c r="A85" s="8"/>
      <c r="B85" s="7"/>
      <c r="C85" s="5"/>
      <c r="D85" s="5"/>
      <c r="E85" s="6"/>
      <c r="F85" s="6"/>
      <c r="G85" s="5"/>
      <c r="H85" s="5"/>
      <c r="I85" s="5"/>
      <c r="J85" s="5"/>
      <c r="K85" s="5"/>
      <c r="L85" s="5"/>
      <c r="M85" s="5"/>
      <c r="N85" s="5"/>
      <c r="O85" s="5"/>
      <c r="P85" s="5"/>
      <c r="Q85" s="5"/>
      <c r="R85" s="5"/>
      <c r="S85" s="5"/>
      <c r="T85" s="5"/>
      <c r="U85" s="5"/>
      <c r="V85" s="5"/>
      <c r="W85" s="5"/>
      <c r="X85" s="5"/>
      <c r="Y85" s="5"/>
      <c r="Z85" s="5"/>
      <c r="AA85" s="5"/>
      <c r="AB85" s="5"/>
    </row>
    <row r="86" ht="15.75" customHeight="1">
      <c r="A86" s="8"/>
      <c r="B86" s="7"/>
      <c r="C86" s="5"/>
      <c r="D86" s="5"/>
      <c r="E86" s="6"/>
      <c r="F86" s="6"/>
      <c r="G86" s="5"/>
      <c r="H86" s="5"/>
      <c r="I86" s="5"/>
      <c r="J86" s="5"/>
      <c r="K86" s="5"/>
      <c r="L86" s="5"/>
      <c r="M86" s="5"/>
      <c r="N86" s="5"/>
      <c r="O86" s="5"/>
      <c r="P86" s="5"/>
      <c r="Q86" s="5"/>
      <c r="R86" s="5"/>
      <c r="S86" s="5"/>
      <c r="T86" s="5"/>
      <c r="U86" s="5"/>
      <c r="V86" s="5"/>
      <c r="W86" s="5"/>
      <c r="X86" s="5"/>
      <c r="Y86" s="5"/>
      <c r="Z86" s="5"/>
      <c r="AA86" s="5"/>
      <c r="AB86" s="5"/>
    </row>
    <row r="87" ht="15.75" customHeight="1">
      <c r="A87" s="8"/>
      <c r="B87" s="7"/>
      <c r="C87" s="5"/>
      <c r="D87" s="5"/>
      <c r="E87" s="6"/>
      <c r="F87" s="6"/>
      <c r="G87" s="5"/>
      <c r="H87" s="5"/>
      <c r="I87" s="5"/>
      <c r="J87" s="5"/>
      <c r="K87" s="5"/>
      <c r="L87" s="5"/>
      <c r="M87" s="5"/>
      <c r="N87" s="5"/>
      <c r="O87" s="5"/>
      <c r="P87" s="5"/>
      <c r="Q87" s="5"/>
      <c r="R87" s="5"/>
      <c r="S87" s="5"/>
      <c r="T87" s="5"/>
      <c r="U87" s="5"/>
      <c r="V87" s="5"/>
      <c r="W87" s="5"/>
      <c r="X87" s="5"/>
      <c r="Y87" s="5"/>
      <c r="Z87" s="5"/>
      <c r="AA87" s="5"/>
      <c r="AB87" s="5"/>
    </row>
    <row r="88" ht="15.75" customHeight="1">
      <c r="A88" s="8"/>
      <c r="B88" s="7"/>
      <c r="C88" s="5"/>
      <c r="D88" s="5"/>
      <c r="E88" s="6"/>
      <c r="F88" s="6"/>
      <c r="G88" s="5"/>
      <c r="H88" s="5"/>
      <c r="I88" s="5"/>
      <c r="J88" s="5"/>
      <c r="K88" s="5"/>
      <c r="L88" s="5"/>
      <c r="M88" s="5"/>
      <c r="N88" s="5"/>
      <c r="O88" s="5"/>
      <c r="P88" s="5"/>
      <c r="Q88" s="5"/>
      <c r="R88" s="5"/>
      <c r="S88" s="5"/>
      <c r="T88" s="5"/>
      <c r="U88" s="5"/>
      <c r="V88" s="5"/>
      <c r="W88" s="5"/>
      <c r="X88" s="5"/>
      <c r="Y88" s="5"/>
      <c r="Z88" s="5"/>
      <c r="AA88" s="5"/>
      <c r="AB88" s="5"/>
    </row>
    <row r="89" ht="15.75" customHeight="1">
      <c r="A89" s="8"/>
      <c r="B89" s="7"/>
      <c r="C89" s="5"/>
      <c r="D89" s="5"/>
      <c r="E89" s="6"/>
      <c r="F89" s="6"/>
      <c r="G89" s="5"/>
      <c r="H89" s="5"/>
      <c r="I89" s="5"/>
      <c r="J89" s="5"/>
      <c r="K89" s="5"/>
      <c r="L89" s="5"/>
      <c r="M89" s="5"/>
      <c r="N89" s="5"/>
      <c r="O89" s="5"/>
      <c r="P89" s="5"/>
      <c r="Q89" s="5"/>
      <c r="R89" s="5"/>
      <c r="S89" s="5"/>
      <c r="T89" s="5"/>
      <c r="U89" s="5"/>
      <c r="V89" s="5"/>
      <c r="W89" s="5"/>
      <c r="X89" s="5"/>
      <c r="Y89" s="5"/>
      <c r="Z89" s="5"/>
      <c r="AA89" s="5"/>
      <c r="AB89" s="5"/>
    </row>
    <row r="90" ht="15.75" customHeight="1">
      <c r="A90" s="8"/>
      <c r="B90" s="7"/>
      <c r="C90" s="5"/>
      <c r="D90" s="5"/>
      <c r="E90" s="6"/>
      <c r="F90" s="6"/>
      <c r="G90" s="5"/>
      <c r="H90" s="5"/>
      <c r="I90" s="5"/>
      <c r="J90" s="5"/>
      <c r="K90" s="5"/>
      <c r="L90" s="5"/>
      <c r="M90" s="5"/>
      <c r="N90" s="5"/>
      <c r="O90" s="5"/>
      <c r="P90" s="5"/>
      <c r="Q90" s="5"/>
      <c r="R90" s="5"/>
      <c r="S90" s="5"/>
      <c r="T90" s="5"/>
      <c r="U90" s="5"/>
      <c r="V90" s="5"/>
      <c r="W90" s="5"/>
      <c r="X90" s="5"/>
      <c r="Y90" s="5"/>
      <c r="Z90" s="5"/>
      <c r="AA90" s="5"/>
      <c r="AB90" s="5"/>
    </row>
    <row r="91" ht="15.75" customHeight="1">
      <c r="A91" s="8"/>
      <c r="B91" s="7"/>
      <c r="C91" s="5"/>
      <c r="D91" s="5"/>
      <c r="E91" s="6"/>
      <c r="F91" s="6"/>
      <c r="G91" s="5"/>
      <c r="H91" s="5"/>
      <c r="I91" s="5"/>
      <c r="J91" s="5"/>
      <c r="K91" s="5"/>
      <c r="L91" s="5"/>
      <c r="M91" s="5"/>
      <c r="N91" s="5"/>
      <c r="O91" s="5"/>
      <c r="P91" s="5"/>
      <c r="Q91" s="5"/>
      <c r="R91" s="5"/>
      <c r="S91" s="5"/>
      <c r="T91" s="5"/>
      <c r="U91" s="5"/>
      <c r="V91" s="5"/>
      <c r="W91" s="5"/>
      <c r="X91" s="5"/>
      <c r="Y91" s="5"/>
      <c r="Z91" s="5"/>
      <c r="AA91" s="5"/>
      <c r="AB91" s="5"/>
    </row>
    <row r="92" ht="15.75" customHeight="1">
      <c r="A92" s="8"/>
      <c r="B92" s="7"/>
      <c r="C92" s="5"/>
      <c r="D92" s="5"/>
      <c r="E92" s="6"/>
      <c r="F92" s="6"/>
      <c r="G92" s="5"/>
      <c r="H92" s="5"/>
      <c r="I92" s="5"/>
      <c r="J92" s="5"/>
      <c r="K92" s="5"/>
      <c r="L92" s="5"/>
      <c r="M92" s="5"/>
      <c r="N92" s="5"/>
      <c r="O92" s="5"/>
      <c r="P92" s="5"/>
      <c r="Q92" s="5"/>
      <c r="R92" s="5"/>
      <c r="S92" s="5"/>
      <c r="T92" s="5"/>
      <c r="U92" s="5"/>
      <c r="V92" s="5"/>
      <c r="W92" s="5"/>
      <c r="X92" s="5"/>
      <c r="Y92" s="5"/>
      <c r="Z92" s="5"/>
      <c r="AA92" s="5"/>
      <c r="AB92" s="5"/>
    </row>
    <row r="93" ht="15.75" customHeight="1">
      <c r="A93" s="8"/>
      <c r="B93" s="7"/>
      <c r="C93" s="5"/>
      <c r="D93" s="5"/>
      <c r="E93" s="6"/>
      <c r="F93" s="6"/>
      <c r="G93" s="5"/>
      <c r="H93" s="5"/>
      <c r="I93" s="5"/>
      <c r="J93" s="5"/>
      <c r="K93" s="5"/>
      <c r="L93" s="5"/>
      <c r="M93" s="5"/>
      <c r="N93" s="5"/>
      <c r="O93" s="5"/>
      <c r="P93" s="5"/>
      <c r="Q93" s="5"/>
      <c r="R93" s="5"/>
      <c r="S93" s="5"/>
      <c r="T93" s="5"/>
      <c r="U93" s="5"/>
      <c r="V93" s="5"/>
      <c r="W93" s="5"/>
      <c r="X93" s="5"/>
      <c r="Y93" s="5"/>
      <c r="Z93" s="5"/>
      <c r="AA93" s="5"/>
      <c r="AB93" s="5"/>
    </row>
    <row r="94" ht="15.75" customHeight="1">
      <c r="A94" s="8"/>
      <c r="B94" s="7"/>
      <c r="C94" s="5"/>
      <c r="D94" s="5"/>
      <c r="E94" s="6"/>
      <c r="F94" s="6"/>
      <c r="G94" s="5"/>
      <c r="H94" s="5"/>
      <c r="I94" s="5"/>
      <c r="J94" s="5"/>
      <c r="K94" s="5"/>
      <c r="L94" s="5"/>
      <c r="M94" s="5"/>
      <c r="N94" s="5"/>
      <c r="O94" s="5"/>
      <c r="P94" s="5"/>
      <c r="Q94" s="5"/>
      <c r="R94" s="5"/>
      <c r="S94" s="5"/>
      <c r="T94" s="5"/>
      <c r="U94" s="5"/>
      <c r="V94" s="5"/>
      <c r="W94" s="5"/>
      <c r="X94" s="5"/>
      <c r="Y94" s="5"/>
      <c r="Z94" s="5"/>
      <c r="AA94" s="5"/>
      <c r="AB94" s="5"/>
    </row>
    <row r="95" ht="15.75" customHeight="1">
      <c r="A95" s="8"/>
      <c r="B95" s="7"/>
      <c r="C95" s="5"/>
      <c r="D95" s="5"/>
      <c r="E95" s="6"/>
      <c r="F95" s="6"/>
      <c r="G95" s="5"/>
      <c r="H95" s="5"/>
      <c r="I95" s="5"/>
      <c r="J95" s="5"/>
      <c r="K95" s="5"/>
      <c r="L95" s="5"/>
      <c r="M95" s="5"/>
      <c r="N95" s="5"/>
      <c r="O95" s="5"/>
      <c r="P95" s="5"/>
      <c r="Q95" s="5"/>
      <c r="R95" s="5"/>
      <c r="S95" s="5"/>
      <c r="T95" s="5"/>
      <c r="U95" s="5"/>
      <c r="V95" s="5"/>
      <c r="W95" s="5"/>
      <c r="X95" s="5"/>
      <c r="Y95" s="5"/>
      <c r="Z95" s="5"/>
      <c r="AA95" s="5"/>
      <c r="AB95" s="5"/>
    </row>
    <row r="96" ht="15.75" customHeight="1">
      <c r="A96" s="8"/>
      <c r="B96" s="7"/>
      <c r="C96" s="5"/>
      <c r="D96" s="5"/>
      <c r="E96" s="6"/>
      <c r="F96" s="6"/>
      <c r="G96" s="5"/>
      <c r="H96" s="5"/>
      <c r="I96" s="5"/>
      <c r="J96" s="5"/>
      <c r="K96" s="5"/>
      <c r="L96" s="5"/>
      <c r="M96" s="5"/>
      <c r="N96" s="5"/>
      <c r="O96" s="5"/>
      <c r="P96" s="5"/>
      <c r="Q96" s="5"/>
      <c r="R96" s="5"/>
      <c r="S96" s="5"/>
      <c r="T96" s="5"/>
      <c r="U96" s="5"/>
      <c r="V96" s="5"/>
      <c r="W96" s="5"/>
      <c r="X96" s="5"/>
      <c r="Y96" s="5"/>
      <c r="Z96" s="5"/>
      <c r="AA96" s="5"/>
      <c r="AB96" s="5"/>
    </row>
    <row r="97" ht="15.75" customHeight="1">
      <c r="A97" s="8"/>
      <c r="B97" s="7"/>
      <c r="C97" s="5"/>
      <c r="D97" s="5"/>
      <c r="E97" s="6"/>
      <c r="F97" s="6"/>
      <c r="G97" s="5"/>
      <c r="H97" s="5"/>
      <c r="I97" s="5"/>
      <c r="J97" s="5"/>
      <c r="K97" s="5"/>
      <c r="L97" s="5"/>
      <c r="M97" s="5"/>
      <c r="N97" s="5"/>
      <c r="O97" s="5"/>
      <c r="P97" s="5"/>
      <c r="Q97" s="5"/>
      <c r="R97" s="5"/>
      <c r="S97" s="5"/>
      <c r="T97" s="5"/>
      <c r="U97" s="5"/>
      <c r="V97" s="5"/>
      <c r="W97" s="5"/>
      <c r="X97" s="5"/>
      <c r="Y97" s="5"/>
      <c r="Z97" s="5"/>
      <c r="AA97" s="5"/>
      <c r="AB97" s="5"/>
    </row>
    <row r="98" ht="15.75" customHeight="1">
      <c r="A98" s="8"/>
      <c r="B98" s="7"/>
      <c r="C98" s="5"/>
      <c r="D98" s="5"/>
      <c r="E98" s="6"/>
      <c r="F98" s="6"/>
      <c r="G98" s="5"/>
      <c r="H98" s="5"/>
      <c r="I98" s="5"/>
      <c r="J98" s="5"/>
      <c r="K98" s="5"/>
      <c r="L98" s="5"/>
      <c r="M98" s="5"/>
      <c r="N98" s="5"/>
      <c r="O98" s="5"/>
      <c r="P98" s="5"/>
      <c r="Q98" s="5"/>
      <c r="R98" s="5"/>
      <c r="S98" s="5"/>
      <c r="T98" s="5"/>
      <c r="U98" s="5"/>
      <c r="V98" s="5"/>
      <c r="W98" s="5"/>
      <c r="X98" s="5"/>
      <c r="Y98" s="5"/>
      <c r="Z98" s="5"/>
      <c r="AA98" s="5"/>
      <c r="AB98" s="5"/>
    </row>
    <row r="99" ht="15.75" customHeight="1">
      <c r="A99" s="8"/>
      <c r="B99" s="7"/>
      <c r="C99" s="5"/>
      <c r="D99" s="5"/>
      <c r="E99" s="6"/>
      <c r="F99" s="6"/>
      <c r="G99" s="5"/>
      <c r="H99" s="5"/>
      <c r="I99" s="5"/>
      <c r="J99" s="5"/>
      <c r="K99" s="5"/>
      <c r="L99" s="5"/>
      <c r="M99" s="5"/>
      <c r="N99" s="5"/>
      <c r="O99" s="5"/>
      <c r="P99" s="5"/>
      <c r="Q99" s="5"/>
      <c r="R99" s="5"/>
      <c r="S99" s="5"/>
      <c r="T99" s="5"/>
      <c r="U99" s="5"/>
      <c r="V99" s="5"/>
      <c r="W99" s="5"/>
      <c r="X99" s="5"/>
      <c r="Y99" s="5"/>
      <c r="Z99" s="5"/>
      <c r="AA99" s="5"/>
      <c r="AB99" s="5"/>
    </row>
    <row r="100" ht="15.75" customHeight="1">
      <c r="A100" s="8"/>
      <c r="B100" s="7"/>
      <c r="C100" s="5"/>
      <c r="D100" s="5"/>
      <c r="E100" s="6"/>
      <c r="F100" s="6"/>
      <c r="G100" s="5"/>
      <c r="H100" s="5"/>
      <c r="I100" s="5"/>
      <c r="J100" s="5"/>
      <c r="K100" s="5"/>
      <c r="L100" s="5"/>
      <c r="M100" s="5"/>
      <c r="N100" s="5"/>
      <c r="O100" s="5"/>
      <c r="P100" s="5"/>
      <c r="Q100" s="5"/>
      <c r="R100" s="5"/>
      <c r="S100" s="5"/>
      <c r="T100" s="5"/>
      <c r="U100" s="5"/>
      <c r="V100" s="5"/>
      <c r="W100" s="5"/>
      <c r="X100" s="5"/>
      <c r="Y100" s="5"/>
      <c r="Z100" s="5"/>
      <c r="AA100" s="5"/>
      <c r="AB100" s="5"/>
    </row>
    <row r="101" ht="15.75" customHeight="1">
      <c r="A101" s="8"/>
      <c r="B101" s="7"/>
      <c r="C101" s="5"/>
      <c r="D101" s="5"/>
      <c r="E101" s="6"/>
      <c r="F101" s="6"/>
      <c r="G101" s="5"/>
      <c r="H101" s="5"/>
      <c r="I101" s="5"/>
      <c r="J101" s="5"/>
      <c r="K101" s="5"/>
      <c r="L101" s="5"/>
      <c r="M101" s="5"/>
      <c r="N101" s="5"/>
      <c r="O101" s="5"/>
      <c r="P101" s="5"/>
      <c r="Q101" s="5"/>
      <c r="R101" s="5"/>
      <c r="S101" s="5"/>
      <c r="T101" s="5"/>
      <c r="U101" s="5"/>
      <c r="V101" s="5"/>
      <c r="W101" s="5"/>
      <c r="X101" s="5"/>
      <c r="Y101" s="5"/>
      <c r="Z101" s="5"/>
      <c r="AA101" s="5"/>
      <c r="AB101" s="5"/>
    </row>
    <row r="102" ht="15.75" customHeight="1">
      <c r="A102" s="8"/>
      <c r="B102" s="7"/>
      <c r="C102" s="5"/>
      <c r="D102" s="5"/>
      <c r="E102" s="6"/>
      <c r="F102" s="6"/>
      <c r="G102" s="5"/>
      <c r="H102" s="5"/>
      <c r="I102" s="5"/>
      <c r="J102" s="5"/>
      <c r="K102" s="5"/>
      <c r="L102" s="5"/>
      <c r="M102" s="5"/>
      <c r="N102" s="5"/>
      <c r="O102" s="5"/>
      <c r="P102" s="5"/>
      <c r="Q102" s="5"/>
      <c r="R102" s="5"/>
      <c r="S102" s="5"/>
      <c r="T102" s="5"/>
      <c r="U102" s="5"/>
      <c r="V102" s="5"/>
      <c r="W102" s="5"/>
      <c r="X102" s="5"/>
      <c r="Y102" s="5"/>
      <c r="Z102" s="5"/>
      <c r="AA102" s="5"/>
      <c r="AB102" s="5"/>
    </row>
    <row r="103" ht="15.75" customHeight="1">
      <c r="A103" s="8"/>
      <c r="B103" s="7"/>
      <c r="C103" s="5"/>
      <c r="D103" s="5"/>
      <c r="E103" s="6"/>
      <c r="F103" s="6"/>
      <c r="G103" s="5"/>
      <c r="H103" s="5"/>
      <c r="I103" s="5"/>
      <c r="J103" s="5"/>
      <c r="K103" s="5"/>
      <c r="L103" s="5"/>
      <c r="M103" s="5"/>
      <c r="N103" s="5"/>
      <c r="O103" s="5"/>
      <c r="P103" s="5"/>
      <c r="Q103" s="5"/>
      <c r="R103" s="5"/>
      <c r="S103" s="5"/>
      <c r="T103" s="5"/>
      <c r="U103" s="5"/>
      <c r="V103" s="5"/>
      <c r="W103" s="5"/>
      <c r="X103" s="5"/>
      <c r="Y103" s="5"/>
      <c r="Z103" s="5"/>
      <c r="AA103" s="5"/>
      <c r="AB103" s="5"/>
    </row>
    <row r="104" ht="15.75" customHeight="1">
      <c r="A104" s="8"/>
      <c r="B104" s="7"/>
      <c r="C104" s="5"/>
      <c r="D104" s="5"/>
      <c r="E104" s="6"/>
      <c r="F104" s="6"/>
      <c r="G104" s="5"/>
      <c r="H104" s="5"/>
      <c r="I104" s="5"/>
      <c r="J104" s="5"/>
      <c r="K104" s="5"/>
      <c r="L104" s="5"/>
      <c r="M104" s="5"/>
      <c r="N104" s="5"/>
      <c r="O104" s="5"/>
      <c r="P104" s="5"/>
      <c r="Q104" s="5"/>
      <c r="R104" s="5"/>
      <c r="S104" s="5"/>
      <c r="T104" s="5"/>
      <c r="U104" s="5"/>
      <c r="V104" s="5"/>
      <c r="W104" s="5"/>
      <c r="X104" s="5"/>
      <c r="Y104" s="5"/>
      <c r="Z104" s="5"/>
      <c r="AA104" s="5"/>
      <c r="AB104" s="5"/>
    </row>
    <row r="105" ht="15.75" customHeight="1">
      <c r="A105" s="8"/>
      <c r="B105" s="7"/>
      <c r="C105" s="5"/>
      <c r="D105" s="5"/>
      <c r="E105" s="6"/>
      <c r="F105" s="6"/>
      <c r="G105" s="5"/>
      <c r="H105" s="5"/>
      <c r="I105" s="5"/>
      <c r="J105" s="5"/>
      <c r="K105" s="5"/>
      <c r="L105" s="5"/>
      <c r="M105" s="5"/>
      <c r="N105" s="5"/>
      <c r="O105" s="5"/>
      <c r="P105" s="5"/>
      <c r="Q105" s="5"/>
      <c r="R105" s="5"/>
      <c r="S105" s="5"/>
      <c r="T105" s="5"/>
      <c r="U105" s="5"/>
      <c r="V105" s="5"/>
      <c r="W105" s="5"/>
      <c r="X105" s="5"/>
      <c r="Y105" s="5"/>
      <c r="Z105" s="5"/>
      <c r="AA105" s="5"/>
      <c r="AB105" s="5"/>
    </row>
    <row r="106" ht="15.75" customHeight="1">
      <c r="A106" s="8"/>
      <c r="B106" s="7"/>
      <c r="C106" s="5"/>
      <c r="D106" s="5"/>
      <c r="E106" s="6"/>
      <c r="F106" s="6"/>
      <c r="G106" s="5"/>
      <c r="H106" s="5"/>
      <c r="I106" s="5"/>
      <c r="J106" s="5"/>
      <c r="K106" s="5"/>
      <c r="L106" s="5"/>
      <c r="M106" s="5"/>
      <c r="N106" s="5"/>
      <c r="O106" s="5"/>
      <c r="P106" s="5"/>
      <c r="Q106" s="5"/>
      <c r="R106" s="5"/>
      <c r="S106" s="5"/>
      <c r="T106" s="5"/>
      <c r="U106" s="5"/>
      <c r="V106" s="5"/>
      <c r="W106" s="5"/>
      <c r="X106" s="5"/>
      <c r="Y106" s="5"/>
      <c r="Z106" s="5"/>
      <c r="AA106" s="5"/>
      <c r="AB106" s="5"/>
    </row>
    <row r="107" ht="15.75" customHeight="1">
      <c r="A107" s="8"/>
      <c r="B107" s="7"/>
      <c r="C107" s="5"/>
      <c r="D107" s="5"/>
      <c r="E107" s="6"/>
      <c r="F107" s="6"/>
      <c r="G107" s="5"/>
      <c r="H107" s="5"/>
      <c r="I107" s="5"/>
      <c r="J107" s="5"/>
      <c r="K107" s="5"/>
      <c r="L107" s="5"/>
      <c r="M107" s="5"/>
      <c r="N107" s="5"/>
      <c r="O107" s="5"/>
      <c r="P107" s="5"/>
      <c r="Q107" s="5"/>
      <c r="R107" s="5"/>
      <c r="S107" s="5"/>
      <c r="T107" s="5"/>
      <c r="U107" s="5"/>
      <c r="V107" s="5"/>
      <c r="W107" s="5"/>
      <c r="X107" s="5"/>
      <c r="Y107" s="5"/>
      <c r="Z107" s="5"/>
      <c r="AA107" s="5"/>
      <c r="AB107" s="5"/>
    </row>
    <row r="108" ht="15.75" customHeight="1">
      <c r="A108" s="8"/>
      <c r="B108" s="7"/>
      <c r="C108" s="5"/>
      <c r="D108" s="5"/>
      <c r="E108" s="6"/>
      <c r="F108" s="6"/>
      <c r="G108" s="5"/>
      <c r="H108" s="5"/>
      <c r="I108" s="5"/>
      <c r="J108" s="5"/>
      <c r="K108" s="5"/>
      <c r="L108" s="5"/>
      <c r="M108" s="5"/>
      <c r="N108" s="5"/>
      <c r="O108" s="5"/>
      <c r="P108" s="5"/>
      <c r="Q108" s="5"/>
      <c r="R108" s="5"/>
      <c r="S108" s="5"/>
      <c r="T108" s="5"/>
      <c r="U108" s="5"/>
      <c r="V108" s="5"/>
      <c r="W108" s="5"/>
      <c r="X108" s="5"/>
      <c r="Y108" s="5"/>
      <c r="Z108" s="5"/>
      <c r="AA108" s="5"/>
      <c r="AB108" s="5"/>
    </row>
    <row r="109" ht="15.75" customHeight="1">
      <c r="A109" s="8"/>
      <c r="B109" s="7"/>
      <c r="C109" s="5"/>
      <c r="D109" s="5"/>
      <c r="E109" s="6"/>
      <c r="F109" s="6"/>
      <c r="G109" s="5"/>
      <c r="H109" s="5"/>
      <c r="I109" s="5"/>
      <c r="J109" s="5"/>
      <c r="K109" s="5"/>
      <c r="L109" s="5"/>
      <c r="M109" s="5"/>
      <c r="N109" s="5"/>
      <c r="O109" s="5"/>
      <c r="P109" s="5"/>
      <c r="Q109" s="5"/>
      <c r="R109" s="5"/>
      <c r="S109" s="5"/>
      <c r="T109" s="5"/>
      <c r="U109" s="5"/>
      <c r="V109" s="5"/>
      <c r="W109" s="5"/>
      <c r="X109" s="5"/>
      <c r="Y109" s="5"/>
      <c r="Z109" s="5"/>
      <c r="AA109" s="5"/>
      <c r="AB109" s="5"/>
    </row>
    <row r="110" ht="15.75" customHeight="1">
      <c r="A110" s="8"/>
      <c r="B110" s="7"/>
      <c r="C110" s="11"/>
      <c r="D110" s="5"/>
      <c r="E110" s="6"/>
      <c r="F110" s="6"/>
      <c r="G110" s="5"/>
      <c r="H110" s="5"/>
      <c r="I110" s="5"/>
      <c r="J110" s="5"/>
      <c r="K110" s="5"/>
      <c r="L110" s="5"/>
      <c r="M110" s="5"/>
      <c r="N110" s="5"/>
      <c r="O110" s="5"/>
      <c r="P110" s="5"/>
      <c r="Q110" s="5"/>
      <c r="R110" s="5"/>
      <c r="S110" s="5"/>
      <c r="T110" s="5"/>
      <c r="U110" s="5"/>
      <c r="V110" s="5"/>
      <c r="W110" s="5"/>
      <c r="X110" s="5"/>
      <c r="Y110" s="5"/>
      <c r="Z110" s="5"/>
      <c r="AA110" s="5"/>
      <c r="AB110" s="5"/>
    </row>
    <row r="111" ht="15.75" customHeight="1">
      <c r="A111" s="8"/>
      <c r="B111" s="7"/>
      <c r="C111" s="5"/>
      <c r="D111" s="5"/>
      <c r="E111" s="6"/>
      <c r="F111" s="6"/>
      <c r="G111" s="5"/>
      <c r="H111" s="5"/>
      <c r="I111" s="5"/>
      <c r="J111" s="5"/>
      <c r="K111" s="5"/>
      <c r="L111" s="5"/>
      <c r="M111" s="5"/>
      <c r="N111" s="5"/>
      <c r="O111" s="5"/>
      <c r="P111" s="5"/>
      <c r="Q111" s="5"/>
      <c r="R111" s="5"/>
      <c r="S111" s="5"/>
      <c r="T111" s="5"/>
      <c r="U111" s="5"/>
      <c r="V111" s="5"/>
      <c r="W111" s="5"/>
      <c r="X111" s="5"/>
      <c r="Y111" s="5"/>
      <c r="Z111" s="5"/>
      <c r="AA111" s="5"/>
      <c r="AB111" s="5"/>
    </row>
    <row r="112" ht="15.75" customHeight="1">
      <c r="A112" s="8"/>
      <c r="B112" s="7"/>
      <c r="C112" s="5"/>
      <c r="D112" s="5"/>
      <c r="E112" s="6"/>
      <c r="F112" s="6"/>
      <c r="G112" s="5"/>
      <c r="H112" s="5"/>
      <c r="I112" s="5"/>
      <c r="J112" s="5"/>
      <c r="K112" s="5"/>
      <c r="L112" s="5"/>
      <c r="M112" s="5"/>
      <c r="N112" s="5"/>
      <c r="O112" s="5"/>
      <c r="P112" s="5"/>
      <c r="Q112" s="5"/>
      <c r="R112" s="5"/>
      <c r="S112" s="5"/>
      <c r="T112" s="5"/>
      <c r="U112" s="5"/>
      <c r="V112" s="5"/>
      <c r="W112" s="5"/>
      <c r="X112" s="5"/>
      <c r="Y112" s="5"/>
      <c r="Z112" s="5"/>
      <c r="AA112" s="5"/>
      <c r="AB112" s="5"/>
    </row>
    <row r="113" ht="15.75" customHeight="1">
      <c r="A113" s="8"/>
      <c r="B113" s="7"/>
      <c r="C113" s="5"/>
      <c r="D113" s="5"/>
      <c r="E113" s="6"/>
      <c r="F113" s="6"/>
      <c r="G113" s="5"/>
      <c r="H113" s="5"/>
      <c r="I113" s="5"/>
      <c r="J113" s="5"/>
      <c r="K113" s="5"/>
      <c r="L113" s="5"/>
      <c r="M113" s="5"/>
      <c r="N113" s="5"/>
      <c r="O113" s="5"/>
      <c r="P113" s="5"/>
      <c r="Q113" s="5"/>
      <c r="R113" s="5"/>
      <c r="S113" s="5"/>
      <c r="T113" s="5"/>
      <c r="U113" s="5"/>
      <c r="V113" s="5"/>
      <c r="W113" s="5"/>
      <c r="X113" s="5"/>
      <c r="Y113" s="5"/>
      <c r="Z113" s="5"/>
      <c r="AA113" s="5"/>
      <c r="AB113" s="5"/>
    </row>
    <row r="114" ht="15.75" customHeight="1">
      <c r="A114" s="8"/>
      <c r="B114" s="7"/>
      <c r="C114" s="5"/>
      <c r="D114" s="5"/>
      <c r="E114" s="6"/>
      <c r="F114" s="6"/>
      <c r="G114" s="5"/>
      <c r="H114" s="5"/>
      <c r="I114" s="5"/>
      <c r="J114" s="5"/>
      <c r="K114" s="5"/>
      <c r="L114" s="5"/>
      <c r="M114" s="5"/>
      <c r="N114" s="5"/>
      <c r="O114" s="5"/>
      <c r="P114" s="5"/>
      <c r="Q114" s="5"/>
      <c r="R114" s="5"/>
      <c r="S114" s="5"/>
      <c r="T114" s="5"/>
      <c r="U114" s="5"/>
      <c r="V114" s="5"/>
      <c r="W114" s="5"/>
      <c r="X114" s="5"/>
      <c r="Y114" s="5"/>
      <c r="Z114" s="5"/>
      <c r="AA114" s="5"/>
      <c r="AB114" s="5"/>
    </row>
    <row r="115" ht="15.75" customHeight="1">
      <c r="A115" s="8"/>
      <c r="B115" s="7"/>
      <c r="C115" s="11"/>
      <c r="D115" s="5"/>
      <c r="E115" s="6"/>
      <c r="F115" s="6"/>
      <c r="G115" s="5"/>
      <c r="H115" s="5"/>
      <c r="I115" s="5"/>
      <c r="J115" s="5"/>
      <c r="K115" s="5"/>
      <c r="L115" s="5"/>
      <c r="M115" s="5"/>
      <c r="N115" s="5"/>
      <c r="O115" s="5"/>
      <c r="P115" s="5"/>
      <c r="Q115" s="5"/>
      <c r="R115" s="5"/>
      <c r="S115" s="5"/>
      <c r="T115" s="5"/>
      <c r="U115" s="5"/>
      <c r="V115" s="5"/>
      <c r="W115" s="5"/>
      <c r="X115" s="5"/>
      <c r="Y115" s="5"/>
      <c r="Z115" s="5"/>
      <c r="AA115" s="5"/>
      <c r="AB115" s="5"/>
    </row>
    <row r="116" ht="15.75" customHeight="1">
      <c r="A116" s="8"/>
      <c r="B116" s="7"/>
      <c r="C116" s="5"/>
      <c r="D116" s="5"/>
      <c r="E116" s="6"/>
      <c r="F116" s="6"/>
      <c r="G116" s="5"/>
      <c r="H116" s="5"/>
      <c r="I116" s="5"/>
      <c r="J116" s="5"/>
      <c r="K116" s="5"/>
      <c r="L116" s="5"/>
      <c r="M116" s="5"/>
      <c r="N116" s="5"/>
      <c r="O116" s="5"/>
      <c r="P116" s="5"/>
      <c r="Q116" s="5"/>
      <c r="R116" s="5"/>
      <c r="S116" s="5"/>
      <c r="T116" s="5"/>
      <c r="U116" s="5"/>
      <c r="V116" s="5"/>
      <c r="W116" s="5"/>
      <c r="X116" s="5"/>
      <c r="Y116" s="5"/>
      <c r="Z116" s="5"/>
      <c r="AA116" s="5"/>
      <c r="AB116" s="5"/>
    </row>
    <row r="117" ht="15.75" customHeight="1">
      <c r="A117" s="8"/>
      <c r="B117" s="7"/>
      <c r="C117" s="5"/>
      <c r="D117" s="5"/>
      <c r="E117" s="6"/>
      <c r="F117" s="6"/>
      <c r="G117" s="5"/>
      <c r="H117" s="5"/>
      <c r="I117" s="5"/>
      <c r="J117" s="5"/>
      <c r="K117" s="5"/>
      <c r="L117" s="5"/>
      <c r="M117" s="5"/>
      <c r="N117" s="5"/>
      <c r="O117" s="5"/>
      <c r="P117" s="5"/>
      <c r="Q117" s="5"/>
      <c r="R117" s="5"/>
      <c r="S117" s="5"/>
      <c r="T117" s="5"/>
      <c r="U117" s="5"/>
      <c r="V117" s="5"/>
      <c r="W117" s="5"/>
      <c r="X117" s="5"/>
      <c r="Y117" s="5"/>
      <c r="Z117" s="5"/>
      <c r="AA117" s="5"/>
      <c r="AB117" s="5"/>
    </row>
    <row r="118" ht="15.75" customHeight="1">
      <c r="A118" s="8"/>
      <c r="B118" s="7"/>
      <c r="C118" s="5"/>
      <c r="D118" s="5"/>
      <c r="E118" s="6"/>
      <c r="F118" s="6"/>
      <c r="G118" s="5"/>
      <c r="H118" s="5"/>
      <c r="I118" s="5"/>
      <c r="J118" s="5"/>
      <c r="K118" s="5"/>
      <c r="L118" s="5"/>
      <c r="M118" s="5"/>
      <c r="N118" s="5"/>
      <c r="O118" s="5"/>
      <c r="P118" s="5"/>
      <c r="Q118" s="5"/>
      <c r="R118" s="5"/>
      <c r="S118" s="5"/>
      <c r="T118" s="5"/>
      <c r="U118" s="5"/>
      <c r="V118" s="5"/>
      <c r="W118" s="5"/>
      <c r="X118" s="5"/>
      <c r="Y118" s="5"/>
      <c r="Z118" s="5"/>
      <c r="AA118" s="5"/>
      <c r="AB118" s="5"/>
    </row>
    <row r="119" ht="15.75" customHeight="1">
      <c r="A119" s="8"/>
      <c r="B119" s="7"/>
      <c r="C119" s="5"/>
      <c r="D119" s="5"/>
      <c r="E119" s="6"/>
      <c r="F119" s="6"/>
      <c r="G119" s="5"/>
      <c r="H119" s="5"/>
      <c r="I119" s="5"/>
      <c r="J119" s="5"/>
      <c r="K119" s="5"/>
      <c r="L119" s="5"/>
      <c r="M119" s="5"/>
      <c r="N119" s="5"/>
      <c r="O119" s="5"/>
      <c r="P119" s="5"/>
      <c r="Q119" s="5"/>
      <c r="R119" s="5"/>
      <c r="S119" s="5"/>
      <c r="T119" s="5"/>
      <c r="U119" s="5"/>
      <c r="V119" s="5"/>
      <c r="W119" s="5"/>
      <c r="X119" s="5"/>
      <c r="Y119" s="5"/>
      <c r="Z119" s="5"/>
      <c r="AA119" s="5"/>
      <c r="AB119" s="5"/>
    </row>
    <row r="120" ht="15.75" customHeight="1">
      <c r="A120" s="8"/>
      <c r="B120" s="7"/>
      <c r="C120" s="5"/>
      <c r="D120" s="5"/>
      <c r="E120" s="6"/>
      <c r="F120" s="6"/>
      <c r="G120" s="5"/>
      <c r="H120" s="5"/>
      <c r="I120" s="5"/>
      <c r="J120" s="5"/>
      <c r="K120" s="5"/>
      <c r="L120" s="5"/>
      <c r="M120" s="5"/>
      <c r="N120" s="5"/>
      <c r="O120" s="5"/>
      <c r="P120" s="5"/>
      <c r="Q120" s="5"/>
      <c r="R120" s="5"/>
      <c r="S120" s="5"/>
      <c r="T120" s="5"/>
      <c r="U120" s="5"/>
      <c r="V120" s="5"/>
      <c r="W120" s="5"/>
      <c r="X120" s="5"/>
      <c r="Y120" s="5"/>
      <c r="Z120" s="5"/>
      <c r="AA120" s="5"/>
      <c r="AB120" s="5"/>
    </row>
    <row r="121" ht="15.75" customHeight="1">
      <c r="A121" s="8"/>
      <c r="B121" s="7"/>
      <c r="C121" s="5"/>
      <c r="D121" s="5"/>
      <c r="E121" s="6"/>
      <c r="F121" s="6"/>
      <c r="G121" s="5"/>
      <c r="H121" s="5"/>
      <c r="I121" s="5"/>
      <c r="J121" s="5"/>
      <c r="K121" s="5"/>
      <c r="L121" s="5"/>
      <c r="M121" s="5"/>
      <c r="N121" s="5"/>
      <c r="O121" s="5"/>
      <c r="P121" s="5"/>
      <c r="Q121" s="5"/>
      <c r="R121" s="5"/>
      <c r="S121" s="5"/>
      <c r="T121" s="5"/>
      <c r="U121" s="5"/>
      <c r="V121" s="5"/>
      <c r="W121" s="5"/>
      <c r="X121" s="5"/>
      <c r="Y121" s="5"/>
      <c r="Z121" s="5"/>
      <c r="AA121" s="5"/>
      <c r="AB121" s="5"/>
    </row>
    <row r="122" ht="15.75" customHeight="1">
      <c r="A122" s="8"/>
      <c r="B122" s="7"/>
      <c r="C122" s="5"/>
      <c r="D122" s="5"/>
      <c r="E122" s="6"/>
      <c r="F122" s="6"/>
      <c r="G122" s="5"/>
      <c r="H122" s="5"/>
      <c r="I122" s="5"/>
      <c r="J122" s="5"/>
      <c r="K122" s="5"/>
      <c r="L122" s="5"/>
      <c r="M122" s="5"/>
      <c r="N122" s="5"/>
      <c r="O122" s="5"/>
      <c r="P122" s="5"/>
      <c r="Q122" s="5"/>
      <c r="R122" s="5"/>
      <c r="S122" s="5"/>
      <c r="T122" s="5"/>
      <c r="U122" s="5"/>
      <c r="V122" s="5"/>
      <c r="W122" s="5"/>
      <c r="X122" s="5"/>
      <c r="Y122" s="5"/>
      <c r="Z122" s="5"/>
      <c r="AA122" s="5"/>
      <c r="AB122" s="5"/>
    </row>
    <row r="123" ht="15.75" customHeight="1">
      <c r="A123" s="8"/>
      <c r="B123" s="7"/>
      <c r="C123" s="5"/>
      <c r="D123" s="5"/>
      <c r="E123" s="6"/>
      <c r="F123" s="6"/>
      <c r="G123" s="5"/>
      <c r="H123" s="5"/>
      <c r="I123" s="5"/>
      <c r="J123" s="5"/>
      <c r="K123" s="5"/>
      <c r="L123" s="5"/>
      <c r="M123" s="5"/>
      <c r="N123" s="5"/>
      <c r="O123" s="5"/>
      <c r="P123" s="5"/>
      <c r="Q123" s="5"/>
      <c r="R123" s="5"/>
      <c r="S123" s="5"/>
      <c r="T123" s="5"/>
      <c r="U123" s="5"/>
      <c r="V123" s="5"/>
      <c r="W123" s="5"/>
      <c r="X123" s="5"/>
      <c r="Y123" s="5"/>
      <c r="Z123" s="5"/>
      <c r="AA123" s="5"/>
      <c r="AB123" s="5"/>
    </row>
    <row r="124" ht="15.75" customHeight="1">
      <c r="A124" s="8"/>
      <c r="B124" s="7"/>
      <c r="C124" s="5"/>
      <c r="D124" s="5"/>
      <c r="E124" s="6"/>
      <c r="F124" s="6"/>
      <c r="G124" s="5"/>
      <c r="H124" s="5"/>
      <c r="I124" s="5"/>
      <c r="J124" s="5"/>
      <c r="K124" s="5"/>
      <c r="L124" s="5"/>
      <c r="M124" s="5"/>
      <c r="N124" s="5"/>
      <c r="O124" s="5"/>
      <c r="P124" s="5"/>
      <c r="Q124" s="5"/>
      <c r="R124" s="5"/>
      <c r="S124" s="5"/>
      <c r="T124" s="5"/>
      <c r="U124" s="5"/>
      <c r="V124" s="5"/>
      <c r="W124" s="5"/>
      <c r="X124" s="5"/>
      <c r="Y124" s="5"/>
      <c r="Z124" s="5"/>
      <c r="AA124" s="5"/>
      <c r="AB124" s="5"/>
    </row>
    <row r="125" ht="15.75" customHeight="1">
      <c r="A125" s="8"/>
      <c r="B125" s="7"/>
      <c r="C125" s="5"/>
      <c r="D125" s="5"/>
      <c r="E125" s="6"/>
      <c r="F125" s="6"/>
      <c r="G125" s="5"/>
      <c r="H125" s="5"/>
      <c r="I125" s="5"/>
      <c r="J125" s="5"/>
      <c r="K125" s="5"/>
      <c r="L125" s="5"/>
      <c r="M125" s="5"/>
      <c r="N125" s="5"/>
      <c r="O125" s="5"/>
      <c r="P125" s="5"/>
      <c r="Q125" s="5"/>
      <c r="R125" s="5"/>
      <c r="S125" s="5"/>
      <c r="T125" s="5"/>
      <c r="U125" s="5"/>
      <c r="V125" s="5"/>
      <c r="W125" s="5"/>
      <c r="X125" s="5"/>
      <c r="Y125" s="5"/>
      <c r="Z125" s="5"/>
      <c r="AA125" s="5"/>
      <c r="AB125" s="5"/>
    </row>
    <row r="126" ht="15.75" customHeight="1">
      <c r="A126" s="8"/>
      <c r="B126" s="7"/>
      <c r="C126" s="5"/>
      <c r="D126" s="5"/>
      <c r="E126" s="6"/>
      <c r="F126" s="6"/>
      <c r="G126" s="5"/>
      <c r="H126" s="5"/>
      <c r="I126" s="5"/>
      <c r="J126" s="5"/>
      <c r="K126" s="5"/>
      <c r="L126" s="5"/>
      <c r="M126" s="5"/>
      <c r="N126" s="5"/>
      <c r="O126" s="5"/>
      <c r="P126" s="5"/>
      <c r="Q126" s="5"/>
      <c r="R126" s="5"/>
      <c r="S126" s="5"/>
      <c r="T126" s="5"/>
      <c r="U126" s="5"/>
      <c r="V126" s="5"/>
      <c r="W126" s="5"/>
      <c r="X126" s="5"/>
      <c r="Y126" s="5"/>
      <c r="Z126" s="5"/>
      <c r="AA126" s="5"/>
      <c r="AB126" s="5"/>
    </row>
    <row r="127" ht="15.75" customHeight="1">
      <c r="A127" s="8"/>
      <c r="B127" s="7"/>
      <c r="C127" s="5"/>
      <c r="D127" s="5"/>
      <c r="E127" s="6"/>
      <c r="F127" s="6"/>
      <c r="G127" s="5"/>
      <c r="H127" s="5"/>
      <c r="I127" s="5"/>
      <c r="J127" s="5"/>
      <c r="K127" s="5"/>
      <c r="L127" s="5"/>
      <c r="M127" s="5"/>
      <c r="N127" s="5"/>
      <c r="O127" s="5"/>
      <c r="P127" s="5"/>
      <c r="Q127" s="5"/>
      <c r="R127" s="5"/>
      <c r="S127" s="5"/>
      <c r="T127" s="5"/>
      <c r="U127" s="5"/>
      <c r="V127" s="5"/>
      <c r="W127" s="5"/>
      <c r="X127" s="5"/>
      <c r="Y127" s="5"/>
      <c r="Z127" s="5"/>
      <c r="AA127" s="5"/>
      <c r="AB127" s="5"/>
    </row>
    <row r="128" ht="15.75" customHeight="1">
      <c r="A128" s="8"/>
      <c r="B128" s="7"/>
      <c r="C128" s="5"/>
      <c r="D128" s="5"/>
      <c r="E128" s="6"/>
      <c r="F128" s="6"/>
      <c r="G128" s="5"/>
      <c r="H128" s="5"/>
      <c r="I128" s="5"/>
      <c r="J128" s="5"/>
      <c r="K128" s="5"/>
      <c r="L128" s="5"/>
      <c r="M128" s="5"/>
      <c r="N128" s="5"/>
      <c r="O128" s="5"/>
      <c r="P128" s="5"/>
      <c r="Q128" s="5"/>
      <c r="R128" s="5"/>
      <c r="S128" s="5"/>
      <c r="T128" s="5"/>
      <c r="U128" s="5"/>
      <c r="V128" s="5"/>
      <c r="W128" s="5"/>
      <c r="X128" s="5"/>
      <c r="Y128" s="5"/>
      <c r="Z128" s="5"/>
      <c r="AA128" s="5"/>
      <c r="AB128" s="5"/>
    </row>
    <row r="129" ht="15.75" customHeight="1">
      <c r="A129" s="8"/>
      <c r="B129" s="7"/>
      <c r="C129" s="5"/>
      <c r="D129" s="5"/>
      <c r="E129" s="6"/>
      <c r="F129" s="6"/>
      <c r="G129" s="5"/>
      <c r="H129" s="5"/>
      <c r="I129" s="5"/>
      <c r="J129" s="5"/>
      <c r="K129" s="5"/>
      <c r="L129" s="5"/>
      <c r="M129" s="5"/>
      <c r="N129" s="5"/>
      <c r="O129" s="5"/>
      <c r="P129" s="5"/>
      <c r="Q129" s="5"/>
      <c r="R129" s="5"/>
      <c r="S129" s="5"/>
      <c r="T129" s="5"/>
      <c r="U129" s="5"/>
      <c r="V129" s="5"/>
      <c r="W129" s="5"/>
      <c r="X129" s="5"/>
      <c r="Y129" s="5"/>
      <c r="Z129" s="5"/>
      <c r="AA129" s="5"/>
      <c r="AB129" s="5"/>
    </row>
    <row r="130" ht="15.75" customHeight="1">
      <c r="A130" s="8"/>
      <c r="B130" s="7"/>
      <c r="C130" s="5"/>
      <c r="D130" s="5"/>
      <c r="E130" s="6"/>
      <c r="F130" s="6"/>
      <c r="G130" s="5"/>
      <c r="H130" s="5"/>
      <c r="I130" s="5"/>
      <c r="J130" s="5"/>
      <c r="K130" s="5"/>
      <c r="L130" s="5"/>
      <c r="M130" s="5"/>
      <c r="N130" s="5"/>
      <c r="O130" s="5"/>
      <c r="P130" s="5"/>
      <c r="Q130" s="5"/>
      <c r="R130" s="5"/>
      <c r="S130" s="5"/>
      <c r="T130" s="5"/>
      <c r="U130" s="5"/>
      <c r="V130" s="5"/>
      <c r="W130" s="5"/>
      <c r="X130" s="5"/>
      <c r="Y130" s="5"/>
      <c r="Z130" s="5"/>
      <c r="AA130" s="5"/>
      <c r="AB130" s="5"/>
    </row>
    <row r="131" ht="15.75" customHeight="1">
      <c r="A131" s="8"/>
      <c r="B131" s="7"/>
      <c r="C131" s="5"/>
      <c r="D131" s="5"/>
      <c r="E131" s="6"/>
      <c r="F131" s="6"/>
      <c r="G131" s="5"/>
      <c r="H131" s="5"/>
      <c r="I131" s="5"/>
      <c r="J131" s="5"/>
      <c r="K131" s="5"/>
      <c r="L131" s="5"/>
      <c r="M131" s="5"/>
      <c r="N131" s="5"/>
      <c r="O131" s="5"/>
      <c r="P131" s="5"/>
      <c r="Q131" s="5"/>
      <c r="R131" s="5"/>
      <c r="S131" s="5"/>
      <c r="T131" s="5"/>
      <c r="U131" s="5"/>
      <c r="V131" s="5"/>
      <c r="W131" s="5"/>
      <c r="X131" s="5"/>
      <c r="Y131" s="5"/>
      <c r="Z131" s="5"/>
      <c r="AA131" s="5"/>
      <c r="AB131" s="5"/>
    </row>
    <row r="132" ht="15.75" customHeight="1">
      <c r="A132" s="8"/>
      <c r="B132" s="7"/>
      <c r="C132" s="5"/>
      <c r="D132" s="5"/>
      <c r="E132" s="6"/>
      <c r="F132" s="6"/>
      <c r="G132" s="5"/>
      <c r="H132" s="5"/>
      <c r="I132" s="5"/>
      <c r="J132" s="5"/>
      <c r="K132" s="5"/>
      <c r="L132" s="5"/>
      <c r="M132" s="5"/>
      <c r="N132" s="5"/>
      <c r="O132" s="5"/>
      <c r="P132" s="5"/>
      <c r="Q132" s="5"/>
      <c r="R132" s="5"/>
      <c r="S132" s="5"/>
      <c r="T132" s="5"/>
      <c r="U132" s="5"/>
      <c r="V132" s="5"/>
      <c r="W132" s="5"/>
      <c r="X132" s="5"/>
      <c r="Y132" s="5"/>
      <c r="Z132" s="5"/>
      <c r="AA132" s="5"/>
      <c r="AB132" s="5"/>
    </row>
    <row r="133" ht="15.75" customHeight="1">
      <c r="A133" s="8"/>
      <c r="B133" s="7"/>
      <c r="C133" s="5"/>
      <c r="D133" s="5"/>
      <c r="E133" s="6"/>
      <c r="F133" s="6"/>
      <c r="G133" s="5"/>
      <c r="H133" s="5"/>
      <c r="I133" s="5"/>
      <c r="J133" s="5"/>
      <c r="K133" s="5"/>
      <c r="L133" s="5"/>
      <c r="M133" s="5"/>
      <c r="N133" s="5"/>
      <c r="O133" s="5"/>
      <c r="P133" s="5"/>
      <c r="Q133" s="5"/>
      <c r="R133" s="5"/>
      <c r="S133" s="5"/>
      <c r="T133" s="5"/>
      <c r="U133" s="5"/>
      <c r="V133" s="5"/>
      <c r="W133" s="5"/>
      <c r="X133" s="5"/>
      <c r="Y133" s="5"/>
      <c r="Z133" s="5"/>
      <c r="AA133" s="5"/>
      <c r="AB133" s="5"/>
    </row>
    <row r="134" ht="15.75" customHeight="1">
      <c r="A134" s="8"/>
      <c r="B134" s="7"/>
      <c r="C134" s="5"/>
      <c r="D134" s="5"/>
      <c r="E134" s="6"/>
      <c r="F134" s="6"/>
      <c r="G134" s="5"/>
      <c r="H134" s="5"/>
      <c r="I134" s="5"/>
      <c r="J134" s="5"/>
      <c r="K134" s="5"/>
      <c r="L134" s="5"/>
      <c r="M134" s="5"/>
      <c r="N134" s="5"/>
      <c r="O134" s="5"/>
      <c r="P134" s="5"/>
      <c r="Q134" s="5"/>
      <c r="R134" s="5"/>
      <c r="S134" s="5"/>
      <c r="T134" s="5"/>
      <c r="U134" s="5"/>
      <c r="V134" s="5"/>
      <c r="W134" s="5"/>
      <c r="X134" s="5"/>
      <c r="Y134" s="5"/>
      <c r="Z134" s="5"/>
      <c r="AA134" s="5"/>
      <c r="AB134" s="5"/>
    </row>
    <row r="135" ht="15.75" customHeight="1">
      <c r="A135" s="8"/>
      <c r="B135" s="7"/>
      <c r="C135" s="5"/>
      <c r="D135" s="5"/>
      <c r="E135" s="6"/>
      <c r="F135" s="6"/>
      <c r="G135" s="5"/>
      <c r="H135" s="5"/>
      <c r="I135" s="5"/>
      <c r="J135" s="5"/>
      <c r="K135" s="5"/>
      <c r="L135" s="5"/>
      <c r="M135" s="5"/>
      <c r="N135" s="5"/>
      <c r="O135" s="5"/>
      <c r="P135" s="5"/>
      <c r="Q135" s="5"/>
      <c r="R135" s="5"/>
      <c r="S135" s="5"/>
      <c r="T135" s="5"/>
      <c r="U135" s="5"/>
      <c r="V135" s="5"/>
      <c r="W135" s="5"/>
      <c r="X135" s="5"/>
      <c r="Y135" s="5"/>
      <c r="Z135" s="5"/>
      <c r="AA135" s="5"/>
      <c r="AB135" s="5"/>
    </row>
    <row r="136" ht="15.75" customHeight="1">
      <c r="A136" s="8"/>
      <c r="B136" s="7"/>
      <c r="C136" s="5"/>
      <c r="D136" s="5"/>
      <c r="E136" s="6"/>
      <c r="F136" s="6"/>
      <c r="G136" s="5"/>
      <c r="H136" s="5"/>
      <c r="I136" s="5"/>
      <c r="J136" s="5"/>
      <c r="K136" s="5"/>
      <c r="L136" s="5"/>
      <c r="M136" s="5"/>
      <c r="N136" s="5"/>
      <c r="O136" s="5"/>
      <c r="P136" s="5"/>
      <c r="Q136" s="5"/>
      <c r="R136" s="5"/>
      <c r="S136" s="5"/>
      <c r="T136" s="5"/>
      <c r="U136" s="5"/>
      <c r="V136" s="5"/>
      <c r="W136" s="5"/>
      <c r="X136" s="5"/>
      <c r="Y136" s="5"/>
      <c r="Z136" s="5"/>
      <c r="AA136" s="5"/>
      <c r="AB136" s="5"/>
    </row>
    <row r="137" ht="15.75" customHeight="1">
      <c r="A137" s="8"/>
      <c r="B137" s="7"/>
      <c r="C137" s="5"/>
      <c r="D137" s="5"/>
      <c r="E137" s="6"/>
      <c r="F137" s="6"/>
      <c r="G137" s="5"/>
      <c r="H137" s="5"/>
      <c r="I137" s="5"/>
      <c r="J137" s="5"/>
      <c r="K137" s="5"/>
      <c r="L137" s="5"/>
      <c r="M137" s="5"/>
      <c r="N137" s="5"/>
      <c r="O137" s="5"/>
      <c r="P137" s="5"/>
      <c r="Q137" s="5"/>
      <c r="R137" s="5"/>
      <c r="S137" s="5"/>
      <c r="T137" s="5"/>
      <c r="U137" s="5"/>
      <c r="V137" s="5"/>
      <c r="W137" s="5"/>
      <c r="X137" s="5"/>
      <c r="Y137" s="5"/>
      <c r="Z137" s="5"/>
      <c r="AA137" s="5"/>
      <c r="AB137" s="5"/>
    </row>
    <row r="138" ht="15.75" customHeight="1">
      <c r="A138" s="8"/>
      <c r="B138" s="7"/>
      <c r="C138" s="5"/>
      <c r="D138" s="5"/>
      <c r="E138" s="6"/>
      <c r="F138" s="6"/>
      <c r="G138" s="5"/>
      <c r="H138" s="5"/>
      <c r="I138" s="5"/>
      <c r="J138" s="5"/>
      <c r="K138" s="5"/>
      <c r="L138" s="5"/>
      <c r="M138" s="5"/>
      <c r="N138" s="5"/>
      <c r="O138" s="5"/>
      <c r="P138" s="5"/>
      <c r="Q138" s="5"/>
      <c r="R138" s="5"/>
      <c r="S138" s="5"/>
      <c r="T138" s="5"/>
      <c r="U138" s="5"/>
      <c r="V138" s="5"/>
      <c r="W138" s="5"/>
      <c r="X138" s="5"/>
      <c r="Y138" s="5"/>
      <c r="Z138" s="5"/>
      <c r="AA138" s="5"/>
      <c r="AB138" s="5"/>
    </row>
    <row r="139" ht="15.75" customHeight="1">
      <c r="A139" s="8"/>
      <c r="B139" s="7"/>
      <c r="C139" s="5"/>
      <c r="D139" s="5"/>
      <c r="E139" s="6"/>
      <c r="F139" s="6"/>
      <c r="G139" s="5"/>
      <c r="H139" s="5"/>
      <c r="I139" s="5"/>
      <c r="J139" s="5"/>
      <c r="K139" s="5"/>
      <c r="L139" s="5"/>
      <c r="M139" s="5"/>
      <c r="N139" s="5"/>
      <c r="O139" s="5"/>
      <c r="P139" s="5"/>
      <c r="Q139" s="5"/>
      <c r="R139" s="5"/>
      <c r="S139" s="5"/>
      <c r="T139" s="5"/>
      <c r="U139" s="5"/>
      <c r="V139" s="5"/>
      <c r="W139" s="5"/>
      <c r="X139" s="5"/>
      <c r="Y139" s="5"/>
      <c r="Z139" s="5"/>
      <c r="AA139" s="5"/>
      <c r="AB139" s="5"/>
    </row>
    <row r="140" ht="37.5" customHeight="1">
      <c r="A140" s="8"/>
      <c r="B140" s="7"/>
      <c r="C140" s="5"/>
      <c r="D140" s="5"/>
      <c r="E140" s="6"/>
      <c r="F140" s="6"/>
      <c r="G140" s="5"/>
      <c r="H140" s="5"/>
      <c r="I140" s="5"/>
      <c r="J140" s="9"/>
      <c r="K140" s="12"/>
      <c r="L140" s="13"/>
      <c r="M140" s="5"/>
      <c r="N140" s="5"/>
      <c r="O140" s="5"/>
      <c r="P140" s="5"/>
      <c r="Q140" s="5"/>
      <c r="R140" s="5"/>
      <c r="S140" s="5"/>
      <c r="T140" s="5"/>
      <c r="U140" s="5"/>
      <c r="V140" s="5"/>
      <c r="W140" s="5"/>
      <c r="X140" s="5"/>
      <c r="Y140" s="5"/>
      <c r="Z140" s="5"/>
      <c r="AA140" s="5"/>
      <c r="AB140" s="5"/>
    </row>
    <row r="141" ht="15.75" customHeight="1">
      <c r="A141" s="8"/>
      <c r="B141" s="7"/>
      <c r="C141" s="5"/>
      <c r="D141" s="5"/>
      <c r="E141" s="6"/>
      <c r="F141" s="6"/>
      <c r="G141" s="5"/>
      <c r="H141" s="5"/>
      <c r="I141" s="5"/>
      <c r="J141" s="5"/>
      <c r="K141" s="5"/>
      <c r="L141" s="5"/>
      <c r="M141" s="5"/>
      <c r="N141" s="5"/>
      <c r="O141" s="5"/>
      <c r="P141" s="5"/>
      <c r="Q141" s="5"/>
      <c r="R141" s="5"/>
      <c r="S141" s="5"/>
      <c r="T141" s="5"/>
      <c r="U141" s="5"/>
      <c r="V141" s="5"/>
      <c r="W141" s="5"/>
      <c r="X141" s="5"/>
      <c r="Y141" s="5"/>
      <c r="Z141" s="5"/>
      <c r="AA141" s="5"/>
      <c r="AB141" s="5"/>
    </row>
    <row r="142" ht="15.75" customHeight="1">
      <c r="A142" s="8"/>
      <c r="B142" s="7"/>
      <c r="C142" s="5"/>
      <c r="D142" s="5"/>
      <c r="E142" s="6"/>
      <c r="F142" s="6"/>
      <c r="G142" s="5"/>
      <c r="H142" s="5"/>
      <c r="I142" s="5"/>
      <c r="J142" s="5"/>
      <c r="K142" s="5"/>
      <c r="L142" s="5"/>
      <c r="M142" s="5"/>
      <c r="N142" s="5"/>
      <c r="O142" s="5"/>
      <c r="P142" s="5"/>
      <c r="Q142" s="5"/>
      <c r="R142" s="5"/>
      <c r="S142" s="5"/>
      <c r="T142" s="5"/>
      <c r="U142" s="5"/>
      <c r="V142" s="5"/>
      <c r="W142" s="5"/>
      <c r="X142" s="5"/>
      <c r="Y142" s="5"/>
      <c r="Z142" s="5"/>
      <c r="AA142" s="5"/>
      <c r="AB142" s="5"/>
    </row>
    <row r="143" ht="15.75" customHeight="1">
      <c r="A143" s="8"/>
      <c r="B143" s="7"/>
      <c r="C143" s="5"/>
      <c r="D143" s="5"/>
      <c r="E143" s="6"/>
      <c r="F143" s="6"/>
      <c r="G143" s="5"/>
      <c r="H143" s="5"/>
      <c r="I143" s="5"/>
      <c r="J143" s="5"/>
      <c r="K143" s="5"/>
      <c r="L143" s="5"/>
      <c r="M143" s="5"/>
      <c r="N143" s="5"/>
      <c r="O143" s="5"/>
      <c r="P143" s="5"/>
      <c r="Q143" s="5"/>
      <c r="R143" s="5"/>
      <c r="S143" s="5"/>
      <c r="T143" s="5"/>
      <c r="U143" s="5"/>
      <c r="V143" s="5"/>
      <c r="W143" s="5"/>
      <c r="X143" s="5"/>
      <c r="Y143" s="5"/>
      <c r="Z143" s="5"/>
      <c r="AA143" s="5"/>
      <c r="AB143" s="5"/>
    </row>
    <row r="144" ht="15.75" customHeight="1">
      <c r="A144" s="8"/>
      <c r="B144" s="7"/>
      <c r="C144" s="5"/>
      <c r="D144" s="5"/>
      <c r="E144" s="6"/>
      <c r="F144" s="6"/>
      <c r="G144" s="5"/>
      <c r="H144" s="5"/>
      <c r="I144" s="5"/>
      <c r="J144" s="5"/>
      <c r="K144" s="5"/>
      <c r="L144" s="5"/>
      <c r="M144" s="5"/>
      <c r="N144" s="5"/>
      <c r="O144" s="5"/>
      <c r="P144" s="5"/>
      <c r="Q144" s="5"/>
      <c r="R144" s="5"/>
      <c r="S144" s="5"/>
      <c r="T144" s="5"/>
      <c r="U144" s="5"/>
      <c r="V144" s="5"/>
      <c r="W144" s="5"/>
      <c r="X144" s="5"/>
      <c r="Y144" s="5"/>
      <c r="Z144" s="5"/>
      <c r="AA144" s="5"/>
      <c r="AB144" s="5"/>
    </row>
    <row r="145" ht="15.75" customHeight="1">
      <c r="A145" s="8"/>
      <c r="B145" s="7"/>
      <c r="C145" s="5"/>
      <c r="D145" s="5"/>
      <c r="E145" s="6"/>
      <c r="F145" s="6"/>
      <c r="G145" s="5"/>
      <c r="H145" s="5"/>
      <c r="I145" s="5"/>
      <c r="J145" s="5"/>
      <c r="K145" s="5"/>
      <c r="L145" s="5"/>
      <c r="M145" s="5"/>
      <c r="N145" s="5"/>
      <c r="O145" s="5"/>
      <c r="P145" s="5"/>
      <c r="Q145" s="5"/>
      <c r="R145" s="5"/>
      <c r="S145" s="5"/>
      <c r="T145" s="5"/>
      <c r="U145" s="5"/>
      <c r="V145" s="5"/>
      <c r="W145" s="5"/>
      <c r="X145" s="5"/>
      <c r="Y145" s="5"/>
      <c r="Z145" s="5"/>
      <c r="AA145" s="5"/>
      <c r="AB145" s="5"/>
    </row>
    <row r="146" ht="15.75" customHeight="1">
      <c r="A146" s="8"/>
      <c r="B146" s="7"/>
      <c r="C146" s="5"/>
      <c r="D146" s="5"/>
      <c r="E146" s="6"/>
      <c r="F146" s="6"/>
      <c r="G146" s="5"/>
      <c r="H146" s="5"/>
      <c r="I146" s="5"/>
      <c r="J146" s="5"/>
      <c r="K146" s="5"/>
      <c r="L146" s="5"/>
      <c r="M146" s="5"/>
      <c r="N146" s="5"/>
      <c r="O146" s="5"/>
      <c r="P146" s="5"/>
      <c r="Q146" s="5"/>
      <c r="R146" s="5"/>
      <c r="S146" s="5"/>
      <c r="T146" s="5"/>
      <c r="U146" s="5"/>
      <c r="V146" s="5"/>
      <c r="W146" s="5"/>
      <c r="X146" s="5"/>
      <c r="Y146" s="5"/>
      <c r="Z146" s="5"/>
      <c r="AA146" s="5"/>
      <c r="AB146" s="5"/>
    </row>
    <row r="147" ht="15.75" customHeight="1">
      <c r="A147" s="8"/>
      <c r="B147" s="7"/>
      <c r="C147" s="5"/>
      <c r="D147" s="5"/>
      <c r="E147" s="6"/>
      <c r="F147" s="6"/>
      <c r="G147" s="5"/>
      <c r="H147" s="5"/>
      <c r="I147" s="5"/>
      <c r="J147" s="5"/>
      <c r="K147" s="5"/>
      <c r="L147" s="5"/>
      <c r="M147" s="5"/>
      <c r="N147" s="5"/>
      <c r="O147" s="5"/>
      <c r="P147" s="5"/>
      <c r="Q147" s="5"/>
      <c r="R147" s="5"/>
      <c r="S147" s="5"/>
      <c r="T147" s="5"/>
      <c r="U147" s="5"/>
      <c r="V147" s="5"/>
      <c r="W147" s="5"/>
      <c r="X147" s="5"/>
      <c r="Y147" s="5"/>
      <c r="Z147" s="5"/>
      <c r="AA147" s="5"/>
      <c r="AB147" s="5"/>
    </row>
    <row r="148" ht="15.75" customHeight="1">
      <c r="A148" s="8"/>
      <c r="B148" s="7"/>
      <c r="C148" s="5"/>
      <c r="D148" s="5"/>
      <c r="E148" s="6"/>
      <c r="F148" s="6"/>
      <c r="G148" s="9"/>
      <c r="H148" s="5"/>
      <c r="I148" s="5"/>
      <c r="J148" s="5"/>
      <c r="K148" s="5"/>
      <c r="L148" s="5"/>
      <c r="M148" s="5"/>
      <c r="N148" s="5"/>
      <c r="O148" s="5"/>
      <c r="P148" s="5"/>
      <c r="Q148" s="5"/>
      <c r="R148" s="5"/>
      <c r="S148" s="5"/>
      <c r="T148" s="5"/>
      <c r="U148" s="5"/>
      <c r="V148" s="5"/>
      <c r="W148" s="5"/>
      <c r="X148" s="5"/>
      <c r="Y148" s="5"/>
      <c r="Z148" s="5"/>
      <c r="AA148" s="5"/>
      <c r="AB148" s="5"/>
    </row>
    <row r="149" ht="15.75" customHeight="1">
      <c r="A149" s="8"/>
      <c r="B149" s="7"/>
      <c r="C149" s="5"/>
      <c r="D149" s="5"/>
      <c r="E149" s="6"/>
      <c r="F149" s="6"/>
      <c r="G149" s="5"/>
      <c r="H149" s="5"/>
      <c r="I149" s="5"/>
      <c r="J149" s="5"/>
      <c r="K149" s="5"/>
      <c r="L149" s="5"/>
      <c r="M149" s="5"/>
      <c r="N149" s="5"/>
      <c r="O149" s="5"/>
      <c r="P149" s="5"/>
      <c r="Q149" s="5"/>
      <c r="R149" s="5"/>
      <c r="S149" s="5"/>
      <c r="T149" s="5"/>
      <c r="U149" s="5"/>
      <c r="V149" s="5"/>
      <c r="W149" s="5"/>
      <c r="X149" s="5"/>
      <c r="Y149" s="5"/>
      <c r="Z149" s="5"/>
      <c r="AA149" s="5"/>
      <c r="AB149" s="5"/>
    </row>
    <row r="150" ht="15.75" customHeight="1">
      <c r="A150" s="8"/>
      <c r="B150" s="7"/>
      <c r="C150" s="5"/>
      <c r="D150" s="5"/>
      <c r="E150" s="6"/>
      <c r="F150" s="6"/>
      <c r="G150" s="5"/>
      <c r="H150" s="5"/>
      <c r="I150" s="5"/>
      <c r="J150" s="5"/>
      <c r="K150" s="5"/>
      <c r="L150" s="5"/>
      <c r="M150" s="5"/>
      <c r="N150" s="5"/>
      <c r="O150" s="5"/>
      <c r="P150" s="5"/>
      <c r="Q150" s="5"/>
      <c r="R150" s="5"/>
      <c r="S150" s="5"/>
      <c r="T150" s="5"/>
      <c r="U150" s="5"/>
      <c r="V150" s="5"/>
      <c r="W150" s="5"/>
      <c r="X150" s="5"/>
      <c r="Y150" s="5"/>
      <c r="Z150" s="5"/>
      <c r="AA150" s="5"/>
      <c r="AB150" s="5"/>
    </row>
    <row r="151" ht="15.75" customHeight="1">
      <c r="A151" s="8"/>
      <c r="B151" s="7"/>
      <c r="C151" s="5"/>
      <c r="D151" s="5"/>
      <c r="E151" s="6"/>
      <c r="F151" s="6"/>
      <c r="G151" s="5"/>
      <c r="H151" s="5"/>
      <c r="I151" s="5"/>
      <c r="J151" s="5"/>
      <c r="K151" s="5"/>
      <c r="L151" s="5"/>
      <c r="M151" s="5"/>
      <c r="N151" s="5"/>
      <c r="O151" s="5"/>
      <c r="P151" s="5"/>
      <c r="Q151" s="5"/>
      <c r="R151" s="5"/>
      <c r="S151" s="5"/>
      <c r="T151" s="5"/>
      <c r="U151" s="5"/>
      <c r="V151" s="5"/>
      <c r="W151" s="5"/>
      <c r="X151" s="5"/>
      <c r="Y151" s="5"/>
      <c r="Z151" s="5"/>
      <c r="AA151" s="5"/>
      <c r="AB151" s="5"/>
    </row>
    <row r="152" ht="15.75" customHeight="1">
      <c r="A152" s="8"/>
      <c r="B152" s="7"/>
      <c r="C152" s="5"/>
      <c r="D152" s="5"/>
      <c r="E152" s="6"/>
      <c r="F152" s="6"/>
      <c r="G152" s="5"/>
      <c r="H152" s="5"/>
      <c r="I152" s="5"/>
      <c r="J152" s="5"/>
      <c r="K152" s="5"/>
      <c r="L152" s="5"/>
      <c r="M152" s="5"/>
      <c r="N152" s="5"/>
      <c r="O152" s="5"/>
      <c r="P152" s="5"/>
      <c r="Q152" s="5"/>
      <c r="R152" s="5"/>
      <c r="S152" s="5"/>
      <c r="T152" s="5"/>
      <c r="U152" s="5"/>
      <c r="V152" s="5"/>
      <c r="W152" s="5"/>
      <c r="X152" s="5"/>
      <c r="Y152" s="5"/>
      <c r="Z152" s="5"/>
      <c r="AA152" s="5"/>
      <c r="AB152" s="5"/>
    </row>
    <row r="153" ht="15.75" customHeight="1">
      <c r="A153" s="8"/>
      <c r="B153" s="7"/>
      <c r="C153" s="5"/>
      <c r="D153" s="5"/>
      <c r="E153" s="6"/>
      <c r="F153" s="6"/>
      <c r="G153" s="5"/>
      <c r="H153" s="5"/>
      <c r="I153" s="5"/>
      <c r="J153" s="5"/>
      <c r="K153" s="5"/>
      <c r="L153" s="5"/>
      <c r="M153" s="5"/>
      <c r="N153" s="5"/>
      <c r="O153" s="5"/>
      <c r="P153" s="5"/>
      <c r="Q153" s="5"/>
      <c r="R153" s="5"/>
      <c r="S153" s="5"/>
      <c r="T153" s="5"/>
      <c r="U153" s="5"/>
      <c r="V153" s="5"/>
      <c r="W153" s="5"/>
      <c r="X153" s="5"/>
      <c r="Y153" s="5"/>
      <c r="Z153" s="5"/>
      <c r="AA153" s="5"/>
      <c r="AB153" s="5"/>
    </row>
    <row r="154" ht="15.75" customHeight="1">
      <c r="A154" s="8"/>
      <c r="B154" s="7"/>
      <c r="C154" s="5"/>
      <c r="D154" s="5"/>
      <c r="E154" s="14"/>
      <c r="F154" s="14"/>
      <c r="G154" s="5"/>
      <c r="H154" s="5"/>
      <c r="I154" s="5"/>
      <c r="J154" s="5"/>
      <c r="K154" s="5"/>
      <c r="L154" s="5"/>
      <c r="M154" s="5"/>
      <c r="N154" s="5"/>
      <c r="O154" s="5"/>
      <c r="P154" s="5"/>
      <c r="Q154" s="5"/>
      <c r="R154" s="5"/>
      <c r="S154" s="5"/>
      <c r="T154" s="5"/>
      <c r="U154" s="5"/>
      <c r="V154" s="5"/>
      <c r="W154" s="5"/>
      <c r="X154" s="5"/>
      <c r="Y154" s="5"/>
      <c r="Z154" s="5"/>
      <c r="AA154" s="5"/>
      <c r="AB154" s="5"/>
    </row>
    <row r="155" ht="15.75" customHeight="1">
      <c r="A155" s="8"/>
      <c r="B155" s="7"/>
      <c r="C155" s="5"/>
      <c r="D155" s="5"/>
      <c r="E155" s="6"/>
      <c r="F155" s="6"/>
      <c r="G155" s="5"/>
      <c r="H155" s="5"/>
      <c r="I155" s="5"/>
      <c r="J155" s="5"/>
      <c r="K155" s="5"/>
      <c r="L155" s="5"/>
      <c r="M155" s="5"/>
      <c r="N155" s="5"/>
      <c r="O155" s="5"/>
      <c r="P155" s="5"/>
      <c r="Q155" s="5"/>
      <c r="R155" s="5"/>
      <c r="S155" s="5"/>
      <c r="T155" s="5"/>
      <c r="U155" s="5"/>
      <c r="V155" s="5"/>
      <c r="W155" s="5"/>
      <c r="X155" s="5"/>
      <c r="Y155" s="5"/>
      <c r="Z155" s="5"/>
      <c r="AA155" s="5"/>
      <c r="AB155" s="5"/>
    </row>
    <row r="156" ht="15.75" customHeight="1">
      <c r="A156" s="8"/>
      <c r="B156" s="7"/>
      <c r="C156" s="5"/>
      <c r="D156" s="5"/>
      <c r="E156" s="6"/>
      <c r="F156" s="6"/>
      <c r="G156" s="5"/>
      <c r="H156" s="5"/>
      <c r="I156" s="5"/>
      <c r="J156" s="5"/>
      <c r="K156" s="5"/>
      <c r="L156" s="5"/>
      <c r="M156" s="5"/>
      <c r="N156" s="5"/>
      <c r="O156" s="5"/>
      <c r="P156" s="5"/>
      <c r="Q156" s="5"/>
      <c r="R156" s="5"/>
      <c r="S156" s="5"/>
      <c r="T156" s="5"/>
      <c r="U156" s="5"/>
      <c r="V156" s="5"/>
      <c r="W156" s="5"/>
      <c r="X156" s="5"/>
      <c r="Y156" s="5"/>
      <c r="Z156" s="5"/>
      <c r="AA156" s="5"/>
      <c r="AB156" s="5"/>
    </row>
    <row r="157" ht="15.75" customHeight="1">
      <c r="A157" s="8"/>
      <c r="B157" s="7"/>
      <c r="C157" s="11"/>
      <c r="D157" s="5"/>
      <c r="E157" s="6"/>
      <c r="F157" s="6"/>
      <c r="G157" s="5"/>
      <c r="H157" s="5"/>
      <c r="I157" s="5"/>
      <c r="J157" s="5"/>
      <c r="K157" s="5"/>
      <c r="L157" s="5"/>
      <c r="M157" s="5"/>
      <c r="N157" s="5"/>
      <c r="O157" s="5"/>
      <c r="P157" s="5"/>
      <c r="Q157" s="5"/>
      <c r="R157" s="5"/>
      <c r="S157" s="5"/>
      <c r="T157" s="5"/>
      <c r="U157" s="5"/>
      <c r="V157" s="5"/>
      <c r="W157" s="5"/>
      <c r="X157" s="5"/>
      <c r="Y157" s="5"/>
      <c r="Z157" s="5"/>
      <c r="AA157" s="5"/>
      <c r="AB157" s="5"/>
    </row>
    <row r="158" ht="15.75" customHeight="1">
      <c r="A158" s="8"/>
      <c r="B158" s="7"/>
      <c r="C158" s="5"/>
      <c r="D158" s="5"/>
      <c r="E158" s="6"/>
      <c r="F158" s="6"/>
      <c r="G158" s="5"/>
      <c r="H158" s="5"/>
      <c r="I158" s="5"/>
      <c r="J158" s="5"/>
      <c r="K158" s="5"/>
      <c r="L158" s="5"/>
      <c r="M158" s="5"/>
      <c r="N158" s="5"/>
      <c r="O158" s="5"/>
      <c r="P158" s="5"/>
      <c r="Q158" s="5"/>
      <c r="R158" s="5"/>
      <c r="S158" s="5"/>
      <c r="T158" s="5"/>
      <c r="U158" s="5"/>
      <c r="V158" s="5"/>
      <c r="W158" s="5"/>
      <c r="X158" s="5"/>
      <c r="Y158" s="5"/>
      <c r="Z158" s="5"/>
      <c r="AA158" s="5"/>
      <c r="AB158" s="5"/>
    </row>
    <row r="159" ht="15.75" customHeight="1">
      <c r="A159" s="8"/>
      <c r="B159" s="7"/>
      <c r="C159" s="5"/>
      <c r="D159" s="5"/>
      <c r="E159" s="6"/>
      <c r="F159" s="6"/>
      <c r="G159" s="5"/>
      <c r="H159" s="5"/>
      <c r="I159" s="5"/>
      <c r="J159" s="5"/>
      <c r="K159" s="5"/>
      <c r="L159" s="5"/>
      <c r="M159" s="5"/>
      <c r="N159" s="5"/>
      <c r="O159" s="5"/>
      <c r="P159" s="5"/>
      <c r="Q159" s="5"/>
      <c r="R159" s="5"/>
      <c r="S159" s="5"/>
      <c r="T159" s="5"/>
      <c r="U159" s="5"/>
      <c r="V159" s="5"/>
      <c r="W159" s="5"/>
      <c r="X159" s="5"/>
      <c r="Y159" s="5"/>
      <c r="Z159" s="5"/>
      <c r="AA159" s="5"/>
      <c r="AB159" s="5"/>
    </row>
    <row r="160" ht="15.75" customHeight="1">
      <c r="A160" s="8"/>
      <c r="B160" s="7"/>
      <c r="C160" s="5"/>
      <c r="D160" s="5"/>
      <c r="E160" s="6"/>
      <c r="F160" s="6"/>
      <c r="G160" s="5"/>
      <c r="H160" s="5"/>
      <c r="I160" s="5"/>
      <c r="J160" s="5"/>
      <c r="K160" s="5"/>
      <c r="L160" s="5"/>
      <c r="M160" s="5"/>
      <c r="N160" s="5"/>
      <c r="O160" s="5"/>
      <c r="P160" s="5"/>
      <c r="Q160" s="5"/>
      <c r="R160" s="5"/>
      <c r="S160" s="5"/>
      <c r="T160" s="5"/>
      <c r="U160" s="5"/>
      <c r="V160" s="5"/>
      <c r="W160" s="5"/>
      <c r="X160" s="5"/>
      <c r="Y160" s="5"/>
      <c r="Z160" s="5"/>
      <c r="AA160" s="5"/>
      <c r="AB160" s="5"/>
    </row>
    <row r="161" ht="15.75" customHeight="1">
      <c r="A161" s="8"/>
      <c r="B161" s="7"/>
      <c r="C161" s="5"/>
      <c r="D161" s="5"/>
      <c r="E161" s="6"/>
      <c r="F161" s="6"/>
      <c r="G161" s="5"/>
      <c r="H161" s="5"/>
      <c r="I161" s="5"/>
      <c r="J161" s="5"/>
      <c r="K161" s="5"/>
      <c r="L161" s="5"/>
      <c r="M161" s="5"/>
      <c r="N161" s="5"/>
      <c r="O161" s="5"/>
      <c r="P161" s="5"/>
      <c r="Q161" s="5"/>
      <c r="R161" s="5"/>
      <c r="S161" s="5"/>
      <c r="T161" s="5"/>
      <c r="U161" s="5"/>
      <c r="V161" s="5"/>
      <c r="W161" s="5"/>
      <c r="X161" s="5"/>
      <c r="Y161" s="5"/>
      <c r="Z161" s="5"/>
      <c r="AA161" s="5"/>
      <c r="AB161" s="5"/>
    </row>
    <row r="162" ht="15.75" customHeight="1">
      <c r="A162" s="8"/>
      <c r="B162" s="7"/>
      <c r="C162" s="5"/>
      <c r="D162" s="5"/>
      <c r="E162" s="6"/>
      <c r="F162" s="6"/>
      <c r="G162" s="5"/>
      <c r="H162" s="5"/>
      <c r="I162" s="5"/>
      <c r="J162" s="5"/>
      <c r="K162" s="5"/>
      <c r="L162" s="5"/>
      <c r="M162" s="5"/>
      <c r="N162" s="5"/>
      <c r="O162" s="5"/>
      <c r="P162" s="5"/>
      <c r="Q162" s="5"/>
      <c r="R162" s="5"/>
      <c r="S162" s="5"/>
      <c r="T162" s="5"/>
      <c r="U162" s="5"/>
      <c r="V162" s="5"/>
      <c r="W162" s="5"/>
      <c r="X162" s="5"/>
      <c r="Y162" s="5"/>
      <c r="Z162" s="5"/>
      <c r="AA162" s="5"/>
      <c r="AB162" s="5"/>
    </row>
    <row r="163" ht="15.75" customHeight="1">
      <c r="A163" s="8"/>
      <c r="B163" s="7"/>
      <c r="C163" s="5"/>
      <c r="D163" s="5"/>
      <c r="E163" s="6"/>
      <c r="F163" s="6"/>
      <c r="G163" s="5"/>
      <c r="H163" s="5"/>
      <c r="I163" s="5"/>
      <c r="J163" s="5"/>
      <c r="K163" s="5"/>
      <c r="L163" s="5"/>
      <c r="M163" s="5"/>
      <c r="N163" s="5"/>
      <c r="O163" s="5"/>
      <c r="P163" s="5"/>
      <c r="Q163" s="5"/>
      <c r="R163" s="5"/>
      <c r="S163" s="5"/>
      <c r="T163" s="5"/>
      <c r="U163" s="5"/>
      <c r="V163" s="5"/>
      <c r="W163" s="5"/>
      <c r="X163" s="5"/>
      <c r="Y163" s="5"/>
      <c r="Z163" s="5"/>
      <c r="AA163" s="5"/>
      <c r="AB163" s="5"/>
    </row>
    <row r="164" ht="15.75" customHeight="1">
      <c r="A164" s="8"/>
      <c r="B164" s="7"/>
      <c r="C164" s="5"/>
      <c r="D164" s="5"/>
      <c r="E164" s="6"/>
      <c r="F164" s="6"/>
      <c r="G164" s="5"/>
      <c r="H164" s="5"/>
      <c r="I164" s="5"/>
      <c r="J164" s="5"/>
      <c r="K164" s="5"/>
      <c r="L164" s="5"/>
      <c r="M164" s="5"/>
      <c r="N164" s="5"/>
      <c r="O164" s="5"/>
      <c r="P164" s="5"/>
      <c r="Q164" s="5"/>
      <c r="R164" s="5"/>
      <c r="S164" s="5"/>
      <c r="T164" s="5"/>
      <c r="U164" s="5"/>
      <c r="V164" s="5"/>
      <c r="W164" s="5"/>
      <c r="X164" s="5"/>
      <c r="Y164" s="5"/>
      <c r="Z164" s="5"/>
      <c r="AA164" s="5"/>
      <c r="AB164" s="5"/>
    </row>
    <row r="165" ht="15.75" customHeight="1">
      <c r="A165" s="8"/>
      <c r="B165" s="7"/>
      <c r="C165" s="5"/>
      <c r="D165" s="5"/>
      <c r="E165" s="6"/>
      <c r="F165" s="6"/>
      <c r="G165" s="5"/>
      <c r="H165" s="15"/>
      <c r="I165" s="5"/>
      <c r="J165" s="5"/>
      <c r="K165" s="5"/>
      <c r="L165" s="5"/>
      <c r="M165" s="5"/>
      <c r="N165" s="5"/>
      <c r="O165" s="5"/>
      <c r="P165" s="5"/>
      <c r="Q165" s="5"/>
      <c r="R165" s="5"/>
      <c r="S165" s="5"/>
      <c r="T165" s="5"/>
      <c r="U165" s="5"/>
      <c r="V165" s="5"/>
      <c r="W165" s="5"/>
      <c r="X165" s="5"/>
      <c r="Y165" s="5"/>
      <c r="Z165" s="5"/>
      <c r="AA165" s="5"/>
      <c r="AB165" s="5"/>
    </row>
    <row r="166" ht="15.75" customHeight="1">
      <c r="A166" s="8"/>
      <c r="B166" s="7"/>
      <c r="C166" s="5"/>
      <c r="D166" s="5"/>
      <c r="E166" s="6"/>
      <c r="F166" s="6"/>
      <c r="G166" s="5"/>
      <c r="H166" s="5"/>
      <c r="I166" s="5"/>
      <c r="J166" s="5"/>
      <c r="K166" s="5"/>
      <c r="L166" s="5"/>
      <c r="M166" s="5"/>
      <c r="N166" s="5"/>
      <c r="O166" s="5"/>
      <c r="P166" s="5"/>
      <c r="Q166" s="5"/>
      <c r="R166" s="5"/>
      <c r="S166" s="5"/>
      <c r="T166" s="5"/>
      <c r="U166" s="5"/>
      <c r="V166" s="5"/>
      <c r="W166" s="5"/>
      <c r="X166" s="5"/>
      <c r="Y166" s="5"/>
      <c r="Z166" s="5"/>
      <c r="AA166" s="5"/>
      <c r="AB166" s="5"/>
    </row>
    <row r="167" ht="15.75" customHeight="1">
      <c r="A167" s="8"/>
      <c r="B167" s="7"/>
      <c r="C167" s="5"/>
      <c r="D167" s="5"/>
      <c r="E167" s="6"/>
      <c r="F167" s="6"/>
      <c r="G167" s="5"/>
      <c r="H167" s="5"/>
      <c r="I167" s="5"/>
      <c r="J167" s="5"/>
      <c r="K167" s="5"/>
      <c r="L167" s="5"/>
      <c r="M167" s="5"/>
      <c r="N167" s="5"/>
      <c r="O167" s="5"/>
      <c r="P167" s="5"/>
      <c r="Q167" s="5"/>
      <c r="R167" s="5"/>
      <c r="S167" s="5"/>
      <c r="T167" s="5"/>
      <c r="U167" s="5"/>
      <c r="V167" s="5"/>
      <c r="W167" s="5"/>
      <c r="X167" s="5"/>
      <c r="Y167" s="5"/>
      <c r="Z167" s="5"/>
      <c r="AA167" s="5"/>
      <c r="AB167" s="5"/>
    </row>
    <row r="168" ht="15.75" customHeight="1">
      <c r="A168" s="8"/>
      <c r="B168" s="7"/>
      <c r="C168" s="5"/>
      <c r="D168" s="5"/>
      <c r="E168" s="6"/>
      <c r="F168" s="6"/>
      <c r="G168" s="5"/>
      <c r="H168" s="5"/>
      <c r="I168" s="5"/>
      <c r="J168" s="5"/>
      <c r="K168" s="5"/>
      <c r="L168" s="5"/>
      <c r="M168" s="5"/>
      <c r="N168" s="5"/>
      <c r="O168" s="5"/>
      <c r="P168" s="5"/>
      <c r="Q168" s="5"/>
      <c r="R168" s="5"/>
      <c r="S168" s="5"/>
      <c r="T168" s="5"/>
      <c r="U168" s="5"/>
      <c r="V168" s="5"/>
      <c r="W168" s="5"/>
      <c r="X168" s="5"/>
      <c r="Y168" s="5"/>
      <c r="Z168" s="5"/>
      <c r="AA168" s="5"/>
      <c r="AB168" s="5"/>
    </row>
    <row r="169" ht="15.75" customHeight="1">
      <c r="A169" s="8"/>
      <c r="B169" s="7"/>
      <c r="C169" s="5"/>
      <c r="D169" s="5"/>
      <c r="E169" s="6"/>
      <c r="F169" s="6"/>
      <c r="G169" s="5"/>
      <c r="H169" s="5"/>
      <c r="I169" s="5"/>
      <c r="J169" s="5"/>
      <c r="K169" s="5"/>
      <c r="L169" s="5"/>
      <c r="M169" s="5"/>
      <c r="N169" s="5"/>
      <c r="O169" s="5"/>
      <c r="P169" s="5"/>
      <c r="Q169" s="5"/>
      <c r="R169" s="5"/>
      <c r="S169" s="5"/>
      <c r="T169" s="5"/>
      <c r="U169" s="5"/>
      <c r="V169" s="5"/>
      <c r="W169" s="5"/>
      <c r="X169" s="5"/>
      <c r="Y169" s="5"/>
      <c r="Z169" s="5"/>
      <c r="AA169" s="5"/>
      <c r="AB169" s="5"/>
    </row>
    <row r="170" ht="15.75" customHeight="1">
      <c r="A170" s="8"/>
      <c r="B170" s="7"/>
      <c r="C170" s="5"/>
      <c r="D170" s="5"/>
      <c r="E170" s="6"/>
      <c r="F170" s="6"/>
      <c r="G170" s="5"/>
      <c r="H170" s="5"/>
      <c r="I170" s="5"/>
      <c r="J170" s="5"/>
      <c r="K170" s="5"/>
      <c r="L170" s="5"/>
      <c r="M170" s="5"/>
      <c r="N170" s="5"/>
      <c r="O170" s="5"/>
      <c r="P170" s="5"/>
      <c r="Q170" s="5"/>
      <c r="R170" s="5"/>
      <c r="S170" s="5"/>
      <c r="T170" s="5"/>
      <c r="U170" s="5"/>
      <c r="V170" s="5"/>
      <c r="W170" s="5"/>
      <c r="X170" s="5"/>
      <c r="Y170" s="5"/>
      <c r="Z170" s="5"/>
      <c r="AA170" s="5"/>
      <c r="AB170" s="5"/>
    </row>
    <row r="171" ht="15.75" customHeight="1">
      <c r="A171" s="8"/>
      <c r="B171" s="7"/>
      <c r="C171" s="5"/>
      <c r="D171" s="5"/>
      <c r="E171" s="6"/>
      <c r="F171" s="6"/>
      <c r="G171" s="3"/>
      <c r="H171" s="5"/>
      <c r="I171" s="5"/>
      <c r="J171" s="5"/>
      <c r="K171" s="5"/>
      <c r="L171" s="5"/>
      <c r="M171" s="5"/>
      <c r="N171" s="5"/>
      <c r="O171" s="5"/>
      <c r="P171" s="5"/>
      <c r="Q171" s="5"/>
      <c r="R171" s="5"/>
      <c r="S171" s="5"/>
      <c r="T171" s="5"/>
      <c r="U171" s="5"/>
      <c r="V171" s="5"/>
      <c r="W171" s="5"/>
      <c r="X171" s="5"/>
      <c r="Y171" s="5"/>
      <c r="Z171" s="5"/>
      <c r="AA171" s="5"/>
      <c r="AB171" s="5"/>
    </row>
    <row r="172" ht="15.75" customHeight="1">
      <c r="A172" s="8"/>
      <c r="B172" s="7"/>
      <c r="C172" s="5"/>
      <c r="D172" s="5"/>
      <c r="E172" s="6"/>
      <c r="F172" s="6"/>
      <c r="G172" s="5"/>
      <c r="H172" s="5"/>
      <c r="I172" s="5"/>
      <c r="J172" s="5"/>
      <c r="K172" s="5"/>
      <c r="L172" s="5"/>
      <c r="M172" s="5"/>
      <c r="N172" s="5"/>
      <c r="O172" s="5"/>
      <c r="P172" s="5"/>
      <c r="Q172" s="5"/>
      <c r="R172" s="5"/>
      <c r="S172" s="5"/>
      <c r="T172" s="5"/>
      <c r="U172" s="5"/>
      <c r="V172" s="5"/>
      <c r="W172" s="5"/>
      <c r="X172" s="5"/>
      <c r="Y172" s="5"/>
      <c r="Z172" s="5"/>
      <c r="AA172" s="5"/>
      <c r="AB172" s="5"/>
    </row>
    <row r="173" ht="15.75" customHeight="1">
      <c r="A173" s="8"/>
      <c r="B173" s="7"/>
      <c r="C173" s="5"/>
      <c r="D173" s="5"/>
      <c r="E173" s="6"/>
      <c r="F173" s="6"/>
      <c r="G173" s="5"/>
      <c r="H173" s="5"/>
      <c r="I173" s="5"/>
      <c r="J173" s="5"/>
      <c r="K173" s="5"/>
      <c r="L173" s="5"/>
      <c r="M173" s="5"/>
      <c r="N173" s="5"/>
      <c r="O173" s="5"/>
      <c r="P173" s="5"/>
      <c r="Q173" s="5"/>
      <c r="R173" s="5"/>
      <c r="S173" s="5"/>
      <c r="T173" s="5"/>
      <c r="U173" s="5"/>
      <c r="V173" s="5"/>
      <c r="W173" s="5"/>
      <c r="X173" s="5"/>
      <c r="Y173" s="5"/>
      <c r="Z173" s="5"/>
      <c r="AA173" s="5"/>
      <c r="AB173" s="5"/>
    </row>
    <row r="174" ht="15.75" customHeight="1">
      <c r="A174" s="8"/>
      <c r="B174" s="7"/>
      <c r="C174" s="5"/>
      <c r="D174" s="5"/>
      <c r="E174" s="6"/>
      <c r="F174" s="6"/>
      <c r="G174" s="5"/>
      <c r="H174" s="5"/>
      <c r="I174" s="5"/>
      <c r="J174" s="5"/>
      <c r="K174" s="5"/>
      <c r="L174" s="5"/>
      <c r="M174" s="5"/>
      <c r="N174" s="5"/>
      <c r="O174" s="5"/>
      <c r="P174" s="5"/>
      <c r="Q174" s="5"/>
      <c r="R174" s="5"/>
      <c r="S174" s="5"/>
      <c r="T174" s="5"/>
      <c r="U174" s="5"/>
      <c r="V174" s="5"/>
      <c r="W174" s="5"/>
      <c r="X174" s="5"/>
      <c r="Y174" s="5"/>
      <c r="Z174" s="5"/>
      <c r="AA174" s="5"/>
      <c r="AB174" s="5"/>
    </row>
    <row r="175" ht="15.75" customHeight="1">
      <c r="A175" s="8"/>
      <c r="B175" s="7"/>
      <c r="C175" s="5"/>
      <c r="D175" s="5"/>
      <c r="E175" s="6"/>
      <c r="F175" s="6"/>
      <c r="G175" s="5"/>
      <c r="H175" s="5"/>
      <c r="I175" s="5"/>
      <c r="J175" s="5"/>
      <c r="K175" s="5"/>
      <c r="L175" s="5"/>
      <c r="M175" s="5"/>
      <c r="N175" s="5"/>
      <c r="O175" s="5"/>
      <c r="P175" s="5"/>
      <c r="Q175" s="5"/>
      <c r="R175" s="5"/>
      <c r="S175" s="5"/>
      <c r="T175" s="5"/>
      <c r="U175" s="5"/>
      <c r="V175" s="5"/>
      <c r="W175" s="5"/>
      <c r="X175" s="5"/>
      <c r="Y175" s="5"/>
      <c r="Z175" s="5"/>
      <c r="AA175" s="5"/>
      <c r="AB175" s="5"/>
    </row>
    <row r="176" ht="15.75" customHeight="1">
      <c r="A176" s="8"/>
      <c r="B176" s="7"/>
      <c r="C176" s="5"/>
      <c r="D176" s="5"/>
      <c r="E176" s="6"/>
      <c r="F176" s="6"/>
      <c r="G176" s="5"/>
      <c r="H176" s="5"/>
      <c r="I176" s="5"/>
      <c r="J176" s="5"/>
      <c r="K176" s="5"/>
      <c r="L176" s="5"/>
      <c r="M176" s="5"/>
      <c r="N176" s="5"/>
      <c r="O176" s="5"/>
      <c r="P176" s="5"/>
      <c r="Q176" s="5"/>
      <c r="R176" s="5"/>
      <c r="S176" s="5"/>
      <c r="T176" s="5"/>
      <c r="U176" s="5"/>
      <c r="V176" s="5"/>
      <c r="W176" s="5"/>
      <c r="X176" s="5"/>
      <c r="Y176" s="5"/>
      <c r="Z176" s="5"/>
      <c r="AA176" s="5"/>
      <c r="AB176" s="5"/>
    </row>
    <row r="177" ht="15.75" customHeight="1">
      <c r="A177" s="8"/>
      <c r="B177" s="7"/>
      <c r="C177" s="5"/>
      <c r="D177" s="5"/>
      <c r="E177" s="6"/>
      <c r="F177" s="6"/>
      <c r="G177" s="5"/>
      <c r="H177" s="16"/>
      <c r="I177" s="5"/>
      <c r="J177" s="5"/>
      <c r="K177" s="5"/>
      <c r="L177" s="5"/>
      <c r="M177" s="5"/>
      <c r="N177" s="5"/>
      <c r="O177" s="5"/>
      <c r="P177" s="5"/>
      <c r="Q177" s="5"/>
      <c r="R177" s="5"/>
      <c r="S177" s="5"/>
      <c r="T177" s="5"/>
      <c r="U177" s="5"/>
      <c r="V177" s="5"/>
      <c r="W177" s="5"/>
      <c r="X177" s="5"/>
      <c r="Y177" s="5"/>
      <c r="Z177" s="5"/>
      <c r="AA177" s="5"/>
      <c r="AB177" s="5"/>
    </row>
    <row r="178" ht="15.75" customHeight="1">
      <c r="A178" s="8"/>
      <c r="B178" s="7"/>
      <c r="C178" s="5"/>
      <c r="D178" s="5"/>
      <c r="E178" s="6"/>
      <c r="F178" s="6"/>
      <c r="G178" s="5"/>
      <c r="H178" s="5"/>
      <c r="I178" s="5"/>
      <c r="J178" s="5"/>
      <c r="K178" s="5"/>
      <c r="L178" s="5"/>
      <c r="M178" s="5"/>
      <c r="N178" s="5"/>
      <c r="O178" s="5"/>
      <c r="P178" s="5"/>
      <c r="Q178" s="5"/>
      <c r="R178" s="5"/>
      <c r="S178" s="5"/>
      <c r="T178" s="5"/>
      <c r="U178" s="5"/>
      <c r="V178" s="5"/>
      <c r="W178" s="5"/>
      <c r="X178" s="5"/>
      <c r="Y178" s="5"/>
      <c r="Z178" s="5"/>
      <c r="AA178" s="5"/>
      <c r="AB178" s="5"/>
    </row>
    <row r="179" ht="15.75" customHeight="1">
      <c r="A179" s="8"/>
      <c r="B179" s="7"/>
      <c r="C179" s="5"/>
      <c r="D179" s="5"/>
      <c r="E179" s="6"/>
      <c r="F179" s="6"/>
      <c r="G179" s="5"/>
      <c r="H179" s="5"/>
      <c r="I179" s="5"/>
      <c r="J179" s="5"/>
      <c r="K179" s="5"/>
      <c r="L179" s="5"/>
      <c r="M179" s="5"/>
      <c r="N179" s="5"/>
      <c r="O179" s="5"/>
      <c r="P179" s="5"/>
      <c r="Q179" s="5"/>
      <c r="R179" s="5"/>
      <c r="S179" s="5"/>
      <c r="T179" s="5"/>
      <c r="U179" s="5"/>
      <c r="V179" s="5"/>
      <c r="W179" s="5"/>
      <c r="X179" s="5"/>
      <c r="Y179" s="5"/>
      <c r="Z179" s="5"/>
      <c r="AA179" s="5"/>
      <c r="AB179" s="5"/>
    </row>
    <row r="180" ht="15.75" customHeight="1">
      <c r="A180" s="8"/>
      <c r="B180" s="7"/>
      <c r="C180" s="5"/>
      <c r="D180" s="5"/>
      <c r="E180" s="6"/>
      <c r="F180" s="6"/>
      <c r="G180" s="5"/>
      <c r="H180" s="5"/>
      <c r="I180" s="5"/>
      <c r="J180" s="5"/>
      <c r="K180" s="5"/>
      <c r="L180" s="5"/>
      <c r="M180" s="5"/>
      <c r="N180" s="5"/>
      <c r="O180" s="5"/>
      <c r="P180" s="5"/>
      <c r="Q180" s="5"/>
      <c r="R180" s="5"/>
      <c r="S180" s="5"/>
      <c r="T180" s="5"/>
      <c r="U180" s="5"/>
      <c r="V180" s="5"/>
      <c r="W180" s="5"/>
      <c r="X180" s="5"/>
      <c r="Y180" s="5"/>
      <c r="Z180" s="5"/>
      <c r="AA180" s="5"/>
      <c r="AB180" s="5"/>
    </row>
    <row r="181" ht="15.75" customHeight="1">
      <c r="A181" s="8"/>
      <c r="B181" s="7"/>
      <c r="C181" s="5"/>
      <c r="D181" s="9"/>
      <c r="E181" s="6"/>
      <c r="F181" s="6"/>
      <c r="G181" s="5"/>
      <c r="H181" s="5"/>
      <c r="I181" s="5"/>
      <c r="J181" s="5"/>
      <c r="K181" s="5"/>
      <c r="L181" s="5"/>
      <c r="M181" s="5"/>
      <c r="N181" s="5"/>
      <c r="O181" s="5"/>
      <c r="P181" s="5"/>
      <c r="Q181" s="5"/>
      <c r="R181" s="5"/>
      <c r="S181" s="5"/>
      <c r="T181" s="5"/>
      <c r="U181" s="5"/>
      <c r="V181" s="5"/>
      <c r="W181" s="5"/>
      <c r="X181" s="5"/>
      <c r="Y181" s="5"/>
      <c r="Z181" s="5"/>
      <c r="AA181" s="5"/>
      <c r="AB181" s="5"/>
    </row>
    <row r="182" ht="15.75" customHeight="1">
      <c r="A182" s="8"/>
      <c r="B182" s="7"/>
      <c r="C182" s="5"/>
      <c r="D182" s="5"/>
      <c r="E182" s="6"/>
      <c r="F182" s="6"/>
      <c r="G182" s="5"/>
      <c r="H182" s="5"/>
      <c r="I182" s="5"/>
      <c r="J182" s="5"/>
      <c r="K182" s="5"/>
      <c r="L182" s="5"/>
      <c r="M182" s="5"/>
      <c r="N182" s="5"/>
      <c r="O182" s="5"/>
      <c r="P182" s="5"/>
      <c r="Q182" s="5"/>
      <c r="R182" s="5"/>
      <c r="S182" s="5"/>
      <c r="T182" s="5"/>
      <c r="U182" s="5"/>
      <c r="V182" s="5"/>
      <c r="W182" s="5"/>
      <c r="X182" s="5"/>
      <c r="Y182" s="5"/>
      <c r="Z182" s="5"/>
      <c r="AA182" s="5"/>
      <c r="AB182" s="5"/>
    </row>
    <row r="183" ht="15.75" customHeight="1">
      <c r="A183" s="8"/>
      <c r="B183" s="7"/>
      <c r="C183" s="5"/>
      <c r="D183" s="5"/>
      <c r="E183" s="6"/>
      <c r="F183" s="6"/>
      <c r="G183" s="5"/>
      <c r="H183" s="5"/>
      <c r="I183" s="5"/>
      <c r="J183" s="5"/>
      <c r="K183" s="5"/>
      <c r="L183" s="5"/>
      <c r="M183" s="5"/>
      <c r="N183" s="5"/>
      <c r="O183" s="5"/>
      <c r="P183" s="5"/>
      <c r="Q183" s="5"/>
      <c r="R183" s="5"/>
      <c r="S183" s="5"/>
      <c r="T183" s="5"/>
      <c r="U183" s="5"/>
      <c r="V183" s="5"/>
      <c r="W183" s="5"/>
      <c r="X183" s="5"/>
      <c r="Y183" s="5"/>
      <c r="Z183" s="5"/>
      <c r="AA183" s="5"/>
      <c r="AB183" s="5"/>
    </row>
    <row r="184" ht="15.75" customHeight="1">
      <c r="A184" s="8"/>
      <c r="B184" s="7"/>
      <c r="C184" s="5"/>
      <c r="D184" s="5"/>
      <c r="E184" s="6"/>
      <c r="F184" s="6"/>
      <c r="G184" s="5"/>
      <c r="H184" s="5"/>
      <c r="I184" s="5"/>
      <c r="J184" s="5"/>
      <c r="K184" s="5"/>
      <c r="L184" s="5"/>
      <c r="M184" s="5"/>
      <c r="N184" s="5"/>
      <c r="O184" s="5"/>
      <c r="P184" s="5"/>
      <c r="Q184" s="5"/>
      <c r="R184" s="5"/>
      <c r="S184" s="5"/>
      <c r="T184" s="5"/>
      <c r="U184" s="5"/>
      <c r="V184" s="5"/>
      <c r="W184" s="5"/>
      <c r="X184" s="5"/>
      <c r="Y184" s="5"/>
      <c r="Z184" s="5"/>
      <c r="AA184" s="5"/>
      <c r="AB184" s="5"/>
    </row>
    <row r="185" ht="15.75" customHeight="1">
      <c r="A185" s="8"/>
      <c r="B185" s="7"/>
      <c r="C185" s="5"/>
      <c r="D185" s="5"/>
      <c r="E185" s="6"/>
      <c r="F185" s="6"/>
      <c r="G185" s="5"/>
      <c r="H185" s="5"/>
      <c r="I185" s="5"/>
      <c r="J185" s="5"/>
      <c r="K185" s="5"/>
      <c r="L185" s="5"/>
      <c r="M185" s="5"/>
      <c r="N185" s="5"/>
      <c r="O185" s="5"/>
      <c r="P185" s="5"/>
      <c r="Q185" s="5"/>
      <c r="R185" s="5"/>
      <c r="S185" s="5"/>
      <c r="T185" s="5"/>
      <c r="U185" s="5"/>
      <c r="V185" s="5"/>
      <c r="W185" s="5"/>
      <c r="X185" s="5"/>
      <c r="Y185" s="5"/>
      <c r="Z185" s="5"/>
      <c r="AA185" s="5"/>
      <c r="AB185" s="5"/>
    </row>
    <row r="186" ht="15.75" customHeight="1">
      <c r="A186" s="8"/>
      <c r="B186" s="7"/>
      <c r="C186" s="5"/>
      <c r="D186" s="5"/>
      <c r="E186" s="6"/>
      <c r="F186" s="6"/>
      <c r="G186" s="5"/>
      <c r="H186" s="5"/>
      <c r="I186" s="5"/>
      <c r="J186" s="5"/>
      <c r="K186" s="5"/>
      <c r="L186" s="5"/>
      <c r="M186" s="5"/>
      <c r="N186" s="5"/>
      <c r="O186" s="5"/>
      <c r="P186" s="5"/>
      <c r="Q186" s="5"/>
      <c r="R186" s="5"/>
      <c r="S186" s="5"/>
      <c r="T186" s="5"/>
      <c r="U186" s="5"/>
      <c r="V186" s="5"/>
      <c r="W186" s="5"/>
      <c r="X186" s="5"/>
      <c r="Y186" s="5"/>
      <c r="Z186" s="5"/>
      <c r="AA186" s="5"/>
      <c r="AB186" s="5"/>
    </row>
    <row r="187" ht="15.75" customHeight="1">
      <c r="A187" s="8"/>
      <c r="B187" s="7"/>
      <c r="C187" s="11"/>
      <c r="D187" s="5"/>
      <c r="E187" s="6"/>
      <c r="F187" s="6"/>
      <c r="G187" s="5"/>
      <c r="H187" s="5"/>
      <c r="I187" s="5"/>
      <c r="J187" s="5"/>
      <c r="K187" s="5"/>
      <c r="L187" s="5"/>
      <c r="M187" s="5"/>
      <c r="N187" s="5"/>
      <c r="O187" s="5"/>
      <c r="P187" s="5"/>
      <c r="Q187" s="5"/>
      <c r="R187" s="5"/>
      <c r="S187" s="5"/>
      <c r="T187" s="5"/>
      <c r="U187" s="5"/>
      <c r="V187" s="5"/>
      <c r="W187" s="5"/>
      <c r="X187" s="5"/>
      <c r="Y187" s="5"/>
      <c r="Z187" s="5"/>
      <c r="AA187" s="5"/>
      <c r="AB187" s="5"/>
    </row>
    <row r="188" ht="15.75" customHeight="1">
      <c r="A188" s="8"/>
      <c r="B188" s="7"/>
      <c r="C188" s="5"/>
      <c r="D188" s="5"/>
      <c r="E188" s="6"/>
      <c r="F188" s="6"/>
      <c r="G188" s="5"/>
      <c r="H188" s="5"/>
      <c r="I188" s="5"/>
      <c r="J188" s="5"/>
      <c r="K188" s="5"/>
      <c r="L188" s="5"/>
      <c r="M188" s="5"/>
      <c r="N188" s="5"/>
      <c r="O188" s="5"/>
      <c r="P188" s="5"/>
      <c r="Q188" s="5"/>
      <c r="R188" s="5"/>
      <c r="S188" s="5"/>
      <c r="T188" s="5"/>
      <c r="U188" s="5"/>
      <c r="V188" s="5"/>
      <c r="W188" s="5"/>
      <c r="X188" s="5"/>
      <c r="Y188" s="5"/>
      <c r="Z188" s="5"/>
      <c r="AA188" s="5"/>
      <c r="AB188" s="5"/>
    </row>
    <row r="189" ht="15.75" customHeight="1">
      <c r="A189" s="8"/>
      <c r="B189" s="7"/>
      <c r="C189" s="5"/>
      <c r="D189" s="5"/>
      <c r="E189" s="6"/>
      <c r="F189" s="6"/>
      <c r="G189" s="5"/>
      <c r="H189" s="5"/>
      <c r="I189" s="5"/>
      <c r="J189" s="5"/>
      <c r="K189" s="5"/>
      <c r="L189" s="5"/>
      <c r="M189" s="5"/>
      <c r="N189" s="5"/>
      <c r="O189" s="5"/>
      <c r="P189" s="5"/>
      <c r="Q189" s="5"/>
      <c r="R189" s="5"/>
      <c r="S189" s="5"/>
      <c r="T189" s="5"/>
      <c r="U189" s="5"/>
      <c r="V189" s="5"/>
      <c r="W189" s="5"/>
      <c r="X189" s="5"/>
      <c r="Y189" s="5"/>
      <c r="Z189" s="5"/>
      <c r="AA189" s="5"/>
      <c r="AB189" s="5"/>
    </row>
    <row r="190" ht="15.75" customHeight="1">
      <c r="A190" s="8"/>
      <c r="B190" s="7"/>
      <c r="C190" s="5"/>
      <c r="D190" s="5"/>
      <c r="E190" s="6"/>
      <c r="F190" s="6"/>
      <c r="G190" s="5"/>
      <c r="H190" s="5"/>
      <c r="I190" s="5"/>
      <c r="J190" s="5"/>
      <c r="K190" s="5"/>
      <c r="L190" s="5"/>
      <c r="M190" s="5"/>
      <c r="N190" s="5"/>
      <c r="O190" s="5"/>
      <c r="P190" s="5"/>
      <c r="Q190" s="5"/>
      <c r="R190" s="5"/>
      <c r="S190" s="5"/>
      <c r="T190" s="5"/>
      <c r="U190" s="5"/>
      <c r="V190" s="5"/>
      <c r="W190" s="5"/>
      <c r="X190" s="5"/>
      <c r="Y190" s="5"/>
      <c r="Z190" s="5"/>
      <c r="AA190" s="5"/>
      <c r="AB190" s="5"/>
    </row>
    <row r="191" ht="15.75" customHeight="1">
      <c r="A191" s="8"/>
      <c r="B191" s="7"/>
      <c r="C191" s="5"/>
      <c r="D191" s="5"/>
      <c r="E191" s="6"/>
      <c r="F191" s="6"/>
      <c r="G191" s="5"/>
      <c r="H191" s="5"/>
      <c r="I191" s="5"/>
      <c r="J191" s="5"/>
      <c r="K191" s="5"/>
      <c r="L191" s="5"/>
      <c r="M191" s="5"/>
      <c r="N191" s="5"/>
      <c r="O191" s="5"/>
      <c r="P191" s="5"/>
      <c r="Q191" s="5"/>
      <c r="R191" s="5"/>
      <c r="S191" s="5"/>
      <c r="T191" s="5"/>
      <c r="U191" s="5"/>
      <c r="V191" s="5"/>
      <c r="W191" s="5"/>
      <c r="X191" s="5"/>
      <c r="Y191" s="5"/>
      <c r="Z191" s="5"/>
      <c r="AA191" s="5"/>
      <c r="AB191" s="5"/>
    </row>
    <row r="192" ht="15.75" customHeight="1">
      <c r="A192" s="8"/>
      <c r="B192" s="7"/>
      <c r="C192" s="5"/>
      <c r="D192" s="5"/>
      <c r="E192" s="6"/>
      <c r="F192" s="6"/>
      <c r="G192" s="5"/>
      <c r="H192" s="5"/>
      <c r="I192" s="5"/>
      <c r="J192" s="5"/>
      <c r="K192" s="5"/>
      <c r="L192" s="5"/>
      <c r="M192" s="5"/>
      <c r="N192" s="5"/>
      <c r="O192" s="5"/>
      <c r="P192" s="5"/>
      <c r="Q192" s="5"/>
      <c r="R192" s="5"/>
      <c r="S192" s="5"/>
      <c r="T192" s="5"/>
      <c r="U192" s="5"/>
      <c r="V192" s="5"/>
      <c r="W192" s="5"/>
      <c r="X192" s="5"/>
      <c r="Y192" s="5"/>
      <c r="Z192" s="5"/>
      <c r="AA192" s="5"/>
      <c r="AB192" s="5"/>
    </row>
    <row r="193" ht="15.75" customHeight="1">
      <c r="A193" s="8"/>
      <c r="B193" s="7"/>
      <c r="C193" s="5"/>
      <c r="D193" s="5"/>
      <c r="E193" s="6"/>
      <c r="F193" s="6"/>
      <c r="G193" s="5"/>
      <c r="H193" s="5"/>
      <c r="I193" s="5"/>
      <c r="J193" s="5"/>
      <c r="K193" s="5"/>
      <c r="L193" s="5"/>
      <c r="M193" s="5"/>
      <c r="N193" s="5"/>
      <c r="O193" s="5"/>
      <c r="P193" s="5"/>
      <c r="Q193" s="5"/>
      <c r="R193" s="5"/>
      <c r="S193" s="5"/>
      <c r="T193" s="5"/>
      <c r="U193" s="5"/>
      <c r="V193" s="5"/>
      <c r="W193" s="5"/>
      <c r="X193" s="5"/>
      <c r="Y193" s="5"/>
      <c r="Z193" s="5"/>
      <c r="AA193" s="5"/>
      <c r="AB193" s="5"/>
    </row>
    <row r="194" ht="15.75" customHeight="1">
      <c r="A194" s="8"/>
      <c r="B194" s="7"/>
      <c r="C194" s="5"/>
      <c r="D194" s="5"/>
      <c r="E194" s="6"/>
      <c r="F194" s="6"/>
      <c r="G194" s="5"/>
      <c r="H194" s="5"/>
      <c r="I194" s="5"/>
      <c r="J194" s="5"/>
      <c r="K194" s="5"/>
      <c r="L194" s="5"/>
      <c r="M194" s="5"/>
      <c r="N194" s="5"/>
      <c r="O194" s="5"/>
      <c r="P194" s="5"/>
      <c r="Q194" s="5"/>
      <c r="R194" s="5"/>
      <c r="S194" s="5"/>
      <c r="T194" s="5"/>
      <c r="U194" s="5"/>
      <c r="V194" s="5"/>
      <c r="W194" s="5"/>
      <c r="X194" s="5"/>
      <c r="Y194" s="5"/>
      <c r="Z194" s="5"/>
      <c r="AA194" s="5"/>
      <c r="AB194" s="5"/>
    </row>
    <row r="195" ht="15.75" customHeight="1">
      <c r="A195" s="8"/>
      <c r="B195" s="7"/>
      <c r="C195" s="5"/>
      <c r="D195" s="5"/>
      <c r="E195" s="6"/>
      <c r="F195" s="6"/>
      <c r="G195" s="5"/>
      <c r="H195" s="5"/>
      <c r="I195" s="5"/>
      <c r="J195" s="5"/>
      <c r="K195" s="5"/>
      <c r="L195" s="5"/>
      <c r="M195" s="5"/>
      <c r="N195" s="5"/>
      <c r="O195" s="5"/>
      <c r="P195" s="5"/>
      <c r="Q195" s="5"/>
      <c r="R195" s="5"/>
      <c r="S195" s="5"/>
      <c r="T195" s="5"/>
      <c r="U195" s="5"/>
      <c r="V195" s="5"/>
      <c r="W195" s="5"/>
      <c r="X195" s="5"/>
      <c r="Y195" s="5"/>
      <c r="Z195" s="5"/>
      <c r="AA195" s="5"/>
      <c r="AB195" s="5"/>
    </row>
    <row r="196" ht="15.75" customHeight="1">
      <c r="A196" s="8"/>
      <c r="B196" s="7"/>
      <c r="C196" s="5"/>
      <c r="D196" s="5"/>
      <c r="E196" s="6"/>
      <c r="F196" s="6"/>
      <c r="G196" s="5"/>
      <c r="H196" s="5"/>
      <c r="I196" s="5"/>
      <c r="J196" s="5"/>
      <c r="K196" s="5"/>
      <c r="L196" s="5"/>
      <c r="M196" s="5"/>
      <c r="N196" s="5"/>
      <c r="O196" s="5"/>
      <c r="P196" s="5"/>
      <c r="Q196" s="5"/>
      <c r="R196" s="5"/>
      <c r="S196" s="5"/>
      <c r="T196" s="5"/>
      <c r="U196" s="5"/>
      <c r="V196" s="5"/>
      <c r="W196" s="5"/>
      <c r="X196" s="5"/>
      <c r="Y196" s="5"/>
      <c r="Z196" s="5"/>
      <c r="AA196" s="5"/>
      <c r="AB196" s="5"/>
    </row>
    <row r="197" ht="15.75" customHeight="1">
      <c r="A197" s="8"/>
      <c r="B197" s="7"/>
      <c r="C197" s="5"/>
      <c r="D197" s="5"/>
      <c r="E197" s="6"/>
      <c r="F197" s="6"/>
      <c r="G197" s="5"/>
      <c r="H197" s="5"/>
      <c r="I197" s="5"/>
      <c r="J197" s="5"/>
      <c r="K197" s="5"/>
      <c r="L197" s="5"/>
      <c r="M197" s="5"/>
      <c r="N197" s="5"/>
      <c r="O197" s="5"/>
      <c r="P197" s="5"/>
      <c r="Q197" s="5"/>
      <c r="R197" s="5"/>
      <c r="S197" s="5"/>
      <c r="T197" s="5"/>
      <c r="U197" s="5"/>
      <c r="V197" s="5"/>
      <c r="W197" s="5"/>
      <c r="X197" s="5"/>
      <c r="Y197" s="5"/>
      <c r="Z197" s="5"/>
      <c r="AA197" s="5"/>
      <c r="AB197" s="5"/>
    </row>
    <row r="198" ht="15.75" customHeight="1">
      <c r="A198" s="8"/>
      <c r="B198" s="7"/>
      <c r="C198" s="5"/>
      <c r="D198" s="5"/>
      <c r="E198" s="6"/>
      <c r="F198" s="6"/>
      <c r="G198" s="5"/>
      <c r="H198" s="5"/>
      <c r="I198" s="5"/>
      <c r="J198" s="5"/>
      <c r="K198" s="5"/>
      <c r="L198" s="5"/>
      <c r="M198" s="5"/>
      <c r="N198" s="5"/>
      <c r="O198" s="5"/>
      <c r="P198" s="5"/>
      <c r="Q198" s="5"/>
      <c r="R198" s="5"/>
      <c r="S198" s="5"/>
      <c r="T198" s="5"/>
      <c r="U198" s="5"/>
      <c r="V198" s="5"/>
      <c r="W198" s="5"/>
      <c r="X198" s="5"/>
      <c r="Y198" s="5"/>
      <c r="Z198" s="5"/>
      <c r="AA198" s="5"/>
      <c r="AB198" s="5"/>
    </row>
    <row r="199" ht="15.75" customHeight="1">
      <c r="A199" s="8"/>
      <c r="B199" s="7"/>
      <c r="C199" s="5"/>
      <c r="D199" s="5"/>
      <c r="E199" s="6"/>
      <c r="F199" s="6"/>
      <c r="G199" s="5"/>
      <c r="H199" s="5"/>
      <c r="I199" s="5"/>
      <c r="J199" s="5"/>
      <c r="K199" s="5"/>
      <c r="L199" s="5"/>
      <c r="M199" s="5"/>
      <c r="N199" s="5"/>
      <c r="O199" s="5"/>
      <c r="P199" s="5"/>
      <c r="Q199" s="5"/>
      <c r="R199" s="5"/>
      <c r="S199" s="5"/>
      <c r="T199" s="5"/>
      <c r="U199" s="5"/>
      <c r="V199" s="5"/>
      <c r="W199" s="5"/>
      <c r="X199" s="5"/>
      <c r="Y199" s="5"/>
      <c r="Z199" s="5"/>
      <c r="AA199" s="5"/>
      <c r="AB199" s="5"/>
    </row>
    <row r="200" ht="15.75" customHeight="1">
      <c r="A200" s="8"/>
      <c r="B200" s="7"/>
      <c r="C200" s="5"/>
      <c r="D200" s="5"/>
      <c r="E200" s="6"/>
      <c r="F200" s="6"/>
      <c r="G200" s="5"/>
      <c r="H200" s="5"/>
      <c r="I200" s="5"/>
      <c r="J200" s="5"/>
      <c r="K200" s="5"/>
      <c r="L200" s="5"/>
      <c r="M200" s="5"/>
      <c r="N200" s="5"/>
      <c r="O200" s="5"/>
      <c r="P200" s="5"/>
      <c r="Q200" s="5"/>
      <c r="R200" s="5"/>
      <c r="S200" s="5"/>
      <c r="T200" s="5"/>
      <c r="U200" s="5"/>
      <c r="V200" s="5"/>
      <c r="W200" s="5"/>
      <c r="X200" s="5"/>
      <c r="Y200" s="5"/>
      <c r="Z200" s="5"/>
      <c r="AA200" s="5"/>
      <c r="AB200" s="5"/>
    </row>
    <row r="201" ht="15.75" customHeight="1">
      <c r="A201" s="8"/>
      <c r="B201" s="7"/>
      <c r="C201" s="5"/>
      <c r="D201" s="5"/>
      <c r="E201" s="6"/>
      <c r="F201" s="6"/>
      <c r="G201" s="5"/>
      <c r="H201" s="5"/>
      <c r="I201" s="5"/>
      <c r="J201" s="5"/>
      <c r="K201" s="5"/>
      <c r="L201" s="5"/>
      <c r="M201" s="5"/>
      <c r="N201" s="5"/>
      <c r="O201" s="5"/>
      <c r="P201" s="5"/>
      <c r="Q201" s="5"/>
      <c r="R201" s="5"/>
      <c r="S201" s="5"/>
      <c r="T201" s="5"/>
      <c r="U201" s="5"/>
      <c r="V201" s="5"/>
      <c r="W201" s="5"/>
      <c r="X201" s="5"/>
      <c r="Y201" s="5"/>
      <c r="Z201" s="5"/>
      <c r="AA201" s="5"/>
      <c r="AB201" s="5"/>
    </row>
    <row r="202" ht="15.75" customHeight="1">
      <c r="A202" s="8"/>
      <c r="B202" s="7"/>
      <c r="C202" s="5"/>
      <c r="D202" s="5"/>
      <c r="E202" s="6"/>
      <c r="F202" s="6"/>
      <c r="G202" s="5"/>
      <c r="H202" s="5"/>
      <c r="I202" s="5"/>
      <c r="J202" s="5"/>
      <c r="K202" s="5"/>
      <c r="L202" s="5"/>
      <c r="M202" s="5"/>
      <c r="N202" s="5"/>
      <c r="O202" s="5"/>
      <c r="P202" s="5"/>
      <c r="Q202" s="5"/>
      <c r="R202" s="5"/>
      <c r="S202" s="5"/>
      <c r="T202" s="5"/>
      <c r="U202" s="5"/>
      <c r="V202" s="5"/>
      <c r="W202" s="5"/>
      <c r="X202" s="5"/>
      <c r="Y202" s="5"/>
      <c r="Z202" s="5"/>
      <c r="AA202" s="5"/>
      <c r="AB202" s="5"/>
    </row>
    <row r="203" ht="15.75" customHeight="1">
      <c r="A203" s="8"/>
      <c r="B203" s="7"/>
      <c r="C203" s="5"/>
      <c r="D203" s="5"/>
      <c r="E203" s="6"/>
      <c r="F203" s="6"/>
      <c r="G203" s="5"/>
      <c r="H203" s="17"/>
      <c r="I203" s="5"/>
      <c r="J203" s="5"/>
      <c r="K203" s="5"/>
      <c r="L203" s="5"/>
      <c r="M203" s="5"/>
      <c r="N203" s="5"/>
      <c r="O203" s="5"/>
      <c r="P203" s="5"/>
      <c r="Q203" s="5"/>
      <c r="R203" s="5"/>
      <c r="S203" s="5"/>
      <c r="T203" s="5"/>
      <c r="U203" s="5"/>
      <c r="V203" s="5"/>
      <c r="W203" s="5"/>
      <c r="X203" s="5"/>
      <c r="Y203" s="5"/>
      <c r="Z203" s="5"/>
      <c r="AA203" s="5"/>
      <c r="AB203" s="5"/>
    </row>
    <row r="204" ht="15.75" customHeight="1">
      <c r="A204" s="8"/>
      <c r="B204" s="7"/>
      <c r="C204" s="5"/>
      <c r="D204" s="5"/>
      <c r="E204" s="6"/>
      <c r="F204" s="6"/>
      <c r="G204" s="5"/>
      <c r="H204" s="5"/>
      <c r="I204" s="5"/>
      <c r="J204" s="5"/>
      <c r="K204" s="5"/>
      <c r="L204" s="5"/>
      <c r="M204" s="5"/>
      <c r="N204" s="5"/>
      <c r="O204" s="5"/>
      <c r="P204" s="5"/>
      <c r="Q204" s="5"/>
      <c r="R204" s="5"/>
      <c r="S204" s="5"/>
      <c r="T204" s="5"/>
      <c r="U204" s="5"/>
      <c r="V204" s="5"/>
      <c r="W204" s="5"/>
      <c r="X204" s="5"/>
      <c r="Y204" s="5"/>
      <c r="Z204" s="5"/>
      <c r="AA204" s="5"/>
      <c r="AB204" s="5"/>
    </row>
    <row r="205" ht="15.75" customHeight="1">
      <c r="A205" s="8"/>
      <c r="B205" s="7"/>
      <c r="C205" s="5"/>
      <c r="D205" s="5"/>
      <c r="E205" s="6"/>
      <c r="F205" s="6"/>
      <c r="G205" s="5"/>
      <c r="H205" s="5"/>
      <c r="I205" s="5"/>
      <c r="J205" s="5"/>
      <c r="K205" s="5"/>
      <c r="L205" s="5"/>
      <c r="M205" s="5"/>
      <c r="N205" s="5"/>
      <c r="O205" s="5"/>
      <c r="P205" s="5"/>
      <c r="Q205" s="5"/>
      <c r="R205" s="5"/>
      <c r="S205" s="5"/>
      <c r="T205" s="5"/>
      <c r="U205" s="5"/>
      <c r="V205" s="5"/>
      <c r="W205" s="5"/>
      <c r="X205" s="5"/>
      <c r="Y205" s="5"/>
      <c r="Z205" s="5"/>
      <c r="AA205" s="5"/>
      <c r="AB205" s="5"/>
    </row>
    <row r="206" ht="15.75" customHeight="1">
      <c r="A206" s="8"/>
      <c r="B206" s="7"/>
      <c r="C206" s="5"/>
      <c r="D206" s="5"/>
      <c r="E206" s="6"/>
      <c r="F206" s="6"/>
      <c r="G206" s="5"/>
      <c r="H206" s="5"/>
      <c r="I206" s="5"/>
      <c r="J206" s="5"/>
      <c r="K206" s="5"/>
      <c r="L206" s="5"/>
      <c r="M206" s="5"/>
      <c r="N206" s="5"/>
      <c r="O206" s="5"/>
      <c r="P206" s="5"/>
      <c r="Q206" s="5"/>
      <c r="R206" s="5"/>
      <c r="S206" s="5"/>
      <c r="T206" s="5"/>
      <c r="U206" s="5"/>
      <c r="V206" s="5"/>
      <c r="W206" s="5"/>
      <c r="X206" s="5"/>
      <c r="Y206" s="5"/>
      <c r="Z206" s="5"/>
      <c r="AA206" s="5"/>
      <c r="AB206" s="5"/>
    </row>
    <row r="207" ht="15.75" customHeight="1">
      <c r="A207" s="8"/>
      <c r="B207" s="7"/>
      <c r="C207" s="5"/>
      <c r="D207" s="5"/>
      <c r="E207" s="6"/>
      <c r="F207" s="6"/>
      <c r="G207" s="5"/>
      <c r="H207" s="5"/>
      <c r="I207" s="5"/>
      <c r="J207" s="5"/>
      <c r="K207" s="5"/>
      <c r="L207" s="5"/>
      <c r="M207" s="5"/>
      <c r="N207" s="5"/>
      <c r="O207" s="5"/>
      <c r="P207" s="5"/>
      <c r="Q207" s="5"/>
      <c r="R207" s="5"/>
      <c r="S207" s="5"/>
      <c r="T207" s="5"/>
      <c r="U207" s="5"/>
      <c r="V207" s="5"/>
      <c r="W207" s="5"/>
      <c r="X207" s="5"/>
      <c r="Y207" s="5"/>
      <c r="Z207" s="5"/>
      <c r="AA207" s="5"/>
      <c r="AB207" s="5"/>
    </row>
    <row r="208" ht="15.75" customHeight="1">
      <c r="A208" s="8"/>
      <c r="B208" s="7"/>
      <c r="C208" s="5"/>
      <c r="D208" s="5"/>
      <c r="E208" s="6"/>
      <c r="F208" s="6"/>
      <c r="G208" s="5"/>
      <c r="H208" s="5"/>
      <c r="I208" s="5"/>
      <c r="J208" s="5"/>
      <c r="K208" s="5"/>
      <c r="L208" s="5"/>
      <c r="M208" s="5"/>
      <c r="N208" s="5"/>
      <c r="O208" s="5"/>
      <c r="P208" s="5"/>
      <c r="Q208" s="5"/>
      <c r="R208" s="5"/>
      <c r="S208" s="5"/>
      <c r="T208" s="5"/>
      <c r="U208" s="5"/>
      <c r="V208" s="5"/>
      <c r="W208" s="5"/>
      <c r="X208" s="5"/>
      <c r="Y208" s="5"/>
      <c r="Z208" s="5"/>
      <c r="AA208" s="5"/>
      <c r="AB208" s="5"/>
    </row>
    <row r="209" ht="15.75" customHeight="1">
      <c r="A209" s="8"/>
      <c r="B209" s="7"/>
      <c r="C209" s="5"/>
      <c r="D209" s="5"/>
      <c r="E209" s="6"/>
      <c r="F209" s="6"/>
      <c r="G209" s="5"/>
      <c r="H209" s="5"/>
      <c r="I209" s="5"/>
      <c r="J209" s="5"/>
      <c r="K209" s="5"/>
      <c r="L209" s="5"/>
      <c r="M209" s="5"/>
      <c r="N209" s="5"/>
      <c r="O209" s="5"/>
      <c r="P209" s="5"/>
      <c r="Q209" s="5"/>
      <c r="R209" s="5"/>
      <c r="S209" s="5"/>
      <c r="T209" s="5"/>
      <c r="U209" s="5"/>
      <c r="V209" s="5"/>
      <c r="W209" s="5"/>
      <c r="X209" s="5"/>
      <c r="Y209" s="5"/>
      <c r="Z209" s="5"/>
      <c r="AA209" s="5"/>
      <c r="AB209" s="5"/>
    </row>
    <row r="210" ht="37.5" customHeight="1">
      <c r="A210" s="8"/>
      <c r="B210" s="7"/>
      <c r="C210" s="5"/>
      <c r="D210" s="5"/>
      <c r="E210" s="6"/>
      <c r="F210" s="6"/>
      <c r="G210" s="5"/>
      <c r="H210" s="5"/>
      <c r="I210" s="5"/>
      <c r="J210" s="5"/>
      <c r="K210" s="5"/>
      <c r="L210" s="13"/>
      <c r="M210" s="5"/>
      <c r="N210" s="5"/>
      <c r="O210" s="5"/>
      <c r="P210" s="5"/>
      <c r="Q210" s="5"/>
      <c r="R210" s="5"/>
      <c r="S210" s="5"/>
      <c r="T210" s="5"/>
      <c r="U210" s="5"/>
      <c r="V210" s="5"/>
      <c r="W210" s="5"/>
      <c r="X210" s="5"/>
      <c r="Y210" s="5"/>
      <c r="Z210" s="5"/>
      <c r="AA210" s="5"/>
      <c r="AB210" s="5"/>
    </row>
    <row r="211" ht="15.75" customHeight="1">
      <c r="A211" s="8"/>
      <c r="B211" s="7"/>
      <c r="C211" s="5"/>
      <c r="D211" s="5"/>
      <c r="E211" s="6"/>
      <c r="F211" s="6"/>
      <c r="G211" s="5"/>
      <c r="H211" s="5"/>
      <c r="I211" s="5"/>
      <c r="J211" s="5"/>
      <c r="K211" s="5"/>
      <c r="L211" s="5"/>
      <c r="M211" s="5"/>
      <c r="N211" s="5"/>
      <c r="O211" s="5"/>
      <c r="P211" s="5"/>
      <c r="Q211" s="5"/>
      <c r="R211" s="5"/>
      <c r="S211" s="5"/>
      <c r="T211" s="5"/>
      <c r="U211" s="5"/>
      <c r="V211" s="5"/>
      <c r="W211" s="5"/>
      <c r="X211" s="5"/>
      <c r="Y211" s="5"/>
      <c r="Z211" s="5"/>
      <c r="AA211" s="5"/>
      <c r="AB211" s="5"/>
    </row>
    <row r="212" ht="15.75" customHeight="1">
      <c r="A212" s="8"/>
      <c r="B212" s="7"/>
      <c r="C212" s="5"/>
      <c r="D212" s="5"/>
      <c r="E212" s="6"/>
      <c r="F212" s="6"/>
      <c r="G212" s="5"/>
      <c r="H212" s="5"/>
      <c r="I212" s="5"/>
      <c r="J212" s="5"/>
      <c r="K212" s="5"/>
      <c r="L212" s="5"/>
      <c r="M212" s="5"/>
      <c r="N212" s="5"/>
      <c r="O212" s="5"/>
      <c r="P212" s="5"/>
      <c r="Q212" s="5"/>
      <c r="R212" s="5"/>
      <c r="S212" s="5"/>
      <c r="T212" s="5"/>
      <c r="U212" s="5"/>
      <c r="V212" s="5"/>
      <c r="W212" s="5"/>
      <c r="X212" s="5"/>
      <c r="Y212" s="5"/>
      <c r="Z212" s="5"/>
      <c r="AA212" s="5"/>
      <c r="AB212" s="5"/>
    </row>
    <row r="213" ht="15.75" customHeight="1">
      <c r="A213" s="8"/>
      <c r="B213" s="7"/>
      <c r="C213" s="5"/>
      <c r="D213" s="5"/>
      <c r="E213" s="6"/>
      <c r="F213" s="6"/>
      <c r="G213" s="5"/>
      <c r="H213" s="5"/>
      <c r="I213" s="5"/>
      <c r="J213" s="5"/>
      <c r="K213" s="5"/>
      <c r="L213" s="5"/>
      <c r="M213" s="5"/>
      <c r="N213" s="5"/>
      <c r="O213" s="5"/>
      <c r="P213" s="5"/>
      <c r="Q213" s="5"/>
      <c r="R213" s="5"/>
      <c r="S213" s="5"/>
      <c r="T213" s="5"/>
      <c r="U213" s="5"/>
      <c r="V213" s="5"/>
      <c r="W213" s="5"/>
      <c r="X213" s="5"/>
      <c r="Y213" s="5"/>
      <c r="Z213" s="5"/>
      <c r="AA213" s="5"/>
      <c r="AB213" s="5"/>
    </row>
    <row r="214" ht="15.75" customHeight="1">
      <c r="A214" s="8"/>
      <c r="B214" s="7"/>
      <c r="C214" s="5"/>
      <c r="D214" s="5"/>
      <c r="E214" s="6"/>
      <c r="F214" s="6"/>
      <c r="G214" s="5"/>
      <c r="H214" s="5"/>
      <c r="I214" s="5"/>
      <c r="J214" s="5"/>
      <c r="K214" s="5"/>
      <c r="L214" s="5"/>
      <c r="M214" s="5"/>
      <c r="N214" s="5"/>
      <c r="O214" s="5"/>
      <c r="P214" s="5"/>
      <c r="Q214" s="5"/>
      <c r="R214" s="5"/>
      <c r="S214" s="5"/>
      <c r="T214" s="5"/>
      <c r="U214" s="5"/>
      <c r="V214" s="5"/>
      <c r="W214" s="5"/>
      <c r="X214" s="5"/>
      <c r="Y214" s="5"/>
      <c r="Z214" s="5"/>
      <c r="AA214" s="5"/>
      <c r="AB214" s="5"/>
    </row>
    <row r="215" ht="15.75" customHeight="1">
      <c r="A215" s="8"/>
      <c r="B215" s="7"/>
      <c r="C215" s="5"/>
      <c r="D215" s="5"/>
      <c r="E215" s="6"/>
      <c r="F215" s="6"/>
      <c r="G215" s="5"/>
      <c r="H215" s="5"/>
      <c r="I215" s="5"/>
      <c r="J215" s="5"/>
      <c r="K215" s="5"/>
      <c r="L215" s="5"/>
      <c r="M215" s="5"/>
      <c r="N215" s="5"/>
      <c r="O215" s="5"/>
      <c r="P215" s="5"/>
      <c r="Q215" s="5"/>
      <c r="R215" s="5"/>
      <c r="S215" s="5"/>
      <c r="T215" s="5"/>
      <c r="U215" s="5"/>
      <c r="V215" s="5"/>
      <c r="W215" s="5"/>
      <c r="X215" s="5"/>
      <c r="Y215" s="5"/>
      <c r="Z215" s="5"/>
      <c r="AA215" s="5"/>
      <c r="AB215" s="5"/>
    </row>
    <row r="216" ht="15.75" customHeight="1">
      <c r="A216" s="8"/>
      <c r="B216" s="7"/>
      <c r="C216" s="5"/>
      <c r="D216" s="5"/>
      <c r="E216" s="6"/>
      <c r="F216" s="6"/>
      <c r="G216" s="5"/>
      <c r="H216" s="5"/>
      <c r="I216" s="5"/>
      <c r="J216" s="5"/>
      <c r="K216" s="5"/>
      <c r="L216" s="5"/>
      <c r="M216" s="5"/>
      <c r="N216" s="5"/>
      <c r="O216" s="5"/>
      <c r="P216" s="5"/>
      <c r="Q216" s="5"/>
      <c r="R216" s="5"/>
      <c r="S216" s="5"/>
      <c r="T216" s="5"/>
      <c r="U216" s="5"/>
      <c r="V216" s="5"/>
      <c r="W216" s="5"/>
      <c r="X216" s="5"/>
      <c r="Y216" s="5"/>
      <c r="Z216" s="5"/>
      <c r="AA216" s="5"/>
      <c r="AB216" s="5"/>
    </row>
    <row r="217" ht="15.75" customHeight="1">
      <c r="A217" s="8"/>
      <c r="B217" s="7"/>
      <c r="C217" s="5"/>
      <c r="D217" s="5"/>
      <c r="E217" s="6"/>
      <c r="F217" s="6"/>
      <c r="G217" s="5"/>
      <c r="H217" s="5"/>
      <c r="I217" s="5"/>
      <c r="J217" s="5"/>
      <c r="K217" s="5"/>
      <c r="L217" s="5"/>
      <c r="M217" s="5"/>
      <c r="N217" s="5"/>
      <c r="O217" s="5"/>
      <c r="P217" s="5"/>
      <c r="Q217" s="5"/>
      <c r="R217" s="5"/>
      <c r="S217" s="5"/>
      <c r="T217" s="5"/>
      <c r="U217" s="5"/>
      <c r="V217" s="5"/>
      <c r="W217" s="5"/>
      <c r="X217" s="5"/>
      <c r="Y217" s="5"/>
      <c r="Z217" s="5"/>
      <c r="AA217" s="5"/>
      <c r="AB217" s="5"/>
    </row>
    <row r="218" ht="15.75" customHeight="1">
      <c r="A218" s="8"/>
      <c r="B218" s="7"/>
      <c r="C218" s="5"/>
      <c r="D218" s="5"/>
      <c r="E218" s="6"/>
      <c r="F218" s="6"/>
      <c r="G218" s="5"/>
      <c r="H218" s="5"/>
      <c r="I218" s="5"/>
      <c r="J218" s="5"/>
      <c r="K218" s="5"/>
      <c r="L218" s="5"/>
      <c r="M218" s="5"/>
      <c r="N218" s="5"/>
      <c r="O218" s="5"/>
      <c r="P218" s="5"/>
      <c r="Q218" s="5"/>
      <c r="R218" s="5"/>
      <c r="S218" s="5"/>
      <c r="T218" s="5"/>
      <c r="U218" s="5"/>
      <c r="V218" s="5"/>
      <c r="W218" s="5"/>
      <c r="X218" s="5"/>
      <c r="Y218" s="5"/>
      <c r="Z218" s="5"/>
      <c r="AA218" s="5"/>
      <c r="AB218" s="5"/>
    </row>
    <row r="219" ht="15.75" customHeight="1">
      <c r="A219" s="8"/>
      <c r="B219" s="7"/>
      <c r="C219" s="5"/>
      <c r="D219" s="5"/>
      <c r="E219" s="6"/>
      <c r="F219" s="6"/>
      <c r="G219" s="5"/>
      <c r="H219" s="5"/>
      <c r="I219" s="5"/>
      <c r="J219" s="5"/>
      <c r="K219" s="5"/>
      <c r="L219" s="5"/>
      <c r="M219" s="5"/>
      <c r="N219" s="5"/>
      <c r="O219" s="5"/>
      <c r="P219" s="5"/>
      <c r="Q219" s="5"/>
      <c r="R219" s="5"/>
      <c r="S219" s="5"/>
      <c r="T219" s="5"/>
      <c r="U219" s="5"/>
      <c r="V219" s="5"/>
      <c r="W219" s="5"/>
      <c r="X219" s="5"/>
      <c r="Y219" s="5"/>
      <c r="Z219" s="5"/>
      <c r="AA219" s="5"/>
      <c r="AB219" s="5"/>
    </row>
    <row r="220" ht="15.75" customHeight="1">
      <c r="A220" s="8"/>
      <c r="B220" s="7"/>
      <c r="C220" s="5"/>
      <c r="D220" s="5"/>
      <c r="E220" s="6"/>
      <c r="F220" s="6"/>
      <c r="G220" s="5"/>
      <c r="H220" s="5"/>
      <c r="I220" s="5"/>
      <c r="J220" s="5"/>
      <c r="K220" s="5"/>
      <c r="L220" s="5"/>
      <c r="M220" s="5"/>
      <c r="N220" s="5"/>
      <c r="O220" s="5"/>
      <c r="P220" s="5"/>
      <c r="Q220" s="5"/>
      <c r="R220" s="5"/>
      <c r="S220" s="5"/>
      <c r="T220" s="5"/>
      <c r="U220" s="5"/>
      <c r="V220" s="5"/>
      <c r="W220" s="5"/>
      <c r="X220" s="5"/>
      <c r="Y220" s="5"/>
      <c r="Z220" s="5"/>
      <c r="AA220" s="5"/>
      <c r="AB220" s="5"/>
    </row>
    <row r="221" ht="15.75" customHeight="1">
      <c r="A221" s="8"/>
      <c r="B221" s="7"/>
      <c r="C221" s="5"/>
      <c r="D221" s="5"/>
      <c r="E221" s="6"/>
      <c r="F221" s="6"/>
      <c r="G221" s="5"/>
      <c r="H221" s="5"/>
      <c r="I221" s="5"/>
      <c r="J221" s="5"/>
      <c r="K221" s="5"/>
      <c r="L221" s="5"/>
      <c r="M221" s="5"/>
      <c r="N221" s="5"/>
      <c r="O221" s="5"/>
      <c r="P221" s="5"/>
      <c r="Q221" s="5"/>
      <c r="R221" s="5"/>
      <c r="S221" s="5"/>
      <c r="T221" s="5"/>
      <c r="U221" s="5"/>
      <c r="V221" s="5"/>
      <c r="W221" s="5"/>
      <c r="X221" s="5"/>
      <c r="Y221" s="5"/>
      <c r="Z221" s="5"/>
      <c r="AA221" s="5"/>
      <c r="AB221" s="5"/>
    </row>
    <row r="222" ht="15.75" customHeight="1">
      <c r="A222" s="8"/>
      <c r="B222" s="7"/>
      <c r="C222" s="5"/>
      <c r="D222" s="5"/>
      <c r="E222" s="6"/>
      <c r="F222" s="6"/>
      <c r="G222" s="5"/>
      <c r="H222" s="5"/>
      <c r="I222" s="5"/>
      <c r="J222" s="5"/>
      <c r="K222" s="5"/>
      <c r="L222" s="5"/>
      <c r="M222" s="5"/>
      <c r="N222" s="5"/>
      <c r="O222" s="5"/>
      <c r="P222" s="5"/>
      <c r="Q222" s="5"/>
      <c r="R222" s="5"/>
      <c r="S222" s="5"/>
      <c r="T222" s="5"/>
      <c r="U222" s="5"/>
      <c r="V222" s="5"/>
      <c r="W222" s="5"/>
      <c r="X222" s="5"/>
      <c r="Y222" s="5"/>
      <c r="Z222" s="5"/>
      <c r="AA222" s="5"/>
      <c r="AB222" s="5"/>
    </row>
    <row r="223" ht="15.75" customHeight="1">
      <c r="A223" s="8"/>
      <c r="B223" s="7"/>
      <c r="C223" s="5"/>
      <c r="D223" s="5"/>
      <c r="E223" s="6"/>
      <c r="F223" s="6"/>
      <c r="G223" s="5"/>
      <c r="H223" s="5"/>
      <c r="I223" s="5"/>
      <c r="J223" s="5"/>
      <c r="K223" s="5"/>
      <c r="L223" s="5"/>
      <c r="M223" s="5"/>
      <c r="N223" s="5"/>
      <c r="O223" s="5"/>
      <c r="P223" s="5"/>
      <c r="Q223" s="5"/>
      <c r="R223" s="5"/>
      <c r="S223" s="5"/>
      <c r="T223" s="5"/>
      <c r="U223" s="5"/>
      <c r="V223" s="5"/>
      <c r="W223" s="5"/>
      <c r="X223" s="5"/>
      <c r="Y223" s="5"/>
      <c r="Z223" s="5"/>
      <c r="AA223" s="5"/>
      <c r="AB223" s="5"/>
    </row>
    <row r="224" ht="15.75" customHeight="1">
      <c r="A224" s="8"/>
      <c r="B224" s="7"/>
      <c r="C224" s="11"/>
      <c r="D224" s="5"/>
      <c r="E224" s="6"/>
      <c r="F224" s="6"/>
      <c r="G224" s="5"/>
      <c r="H224" s="5"/>
      <c r="I224" s="5"/>
      <c r="J224" s="5"/>
      <c r="K224" s="5"/>
      <c r="L224" s="5"/>
      <c r="M224" s="5"/>
      <c r="N224" s="5"/>
      <c r="O224" s="5"/>
      <c r="P224" s="5"/>
      <c r="Q224" s="5"/>
      <c r="R224" s="5"/>
      <c r="S224" s="5"/>
      <c r="T224" s="5"/>
      <c r="U224" s="5"/>
      <c r="V224" s="5"/>
      <c r="W224" s="5"/>
      <c r="X224" s="5"/>
      <c r="Y224" s="5"/>
      <c r="Z224" s="5"/>
      <c r="AA224" s="5"/>
      <c r="AB224" s="5"/>
    </row>
    <row r="225" ht="15.75" customHeight="1">
      <c r="A225" s="8"/>
      <c r="B225" s="7"/>
      <c r="C225" s="5"/>
      <c r="D225" s="5"/>
      <c r="E225" s="6"/>
      <c r="F225" s="6"/>
      <c r="G225" s="5"/>
      <c r="H225" s="5"/>
      <c r="I225" s="5"/>
      <c r="J225" s="5"/>
      <c r="K225" s="5"/>
      <c r="L225" s="5"/>
      <c r="M225" s="5"/>
      <c r="N225" s="5"/>
      <c r="O225" s="5"/>
      <c r="P225" s="5"/>
      <c r="Q225" s="5"/>
      <c r="R225" s="5"/>
      <c r="S225" s="5"/>
      <c r="T225" s="5"/>
      <c r="U225" s="5"/>
      <c r="V225" s="5"/>
      <c r="W225" s="5"/>
      <c r="X225" s="5"/>
      <c r="Y225" s="5"/>
      <c r="Z225" s="5"/>
      <c r="AA225" s="5"/>
      <c r="AB225" s="5"/>
    </row>
    <row r="226" ht="15.75" customHeight="1">
      <c r="A226" s="8"/>
      <c r="B226" s="7"/>
      <c r="C226" s="5"/>
      <c r="D226" s="5"/>
      <c r="E226" s="6"/>
      <c r="F226" s="6"/>
      <c r="G226" s="5"/>
      <c r="H226" s="5"/>
      <c r="I226" s="5"/>
      <c r="J226" s="5"/>
      <c r="K226" s="5"/>
      <c r="L226" s="5"/>
      <c r="M226" s="5"/>
      <c r="N226" s="5"/>
      <c r="O226" s="5"/>
      <c r="P226" s="5"/>
      <c r="Q226" s="5"/>
      <c r="R226" s="5"/>
      <c r="S226" s="5"/>
      <c r="T226" s="5"/>
      <c r="U226" s="5"/>
      <c r="V226" s="5"/>
      <c r="W226" s="5"/>
      <c r="X226" s="5"/>
      <c r="Y226" s="5"/>
      <c r="Z226" s="5"/>
      <c r="AA226" s="5"/>
      <c r="AB226" s="5"/>
    </row>
    <row r="227" ht="15.75" customHeight="1">
      <c r="A227" s="8"/>
      <c r="B227" s="7"/>
      <c r="C227" s="5"/>
      <c r="D227" s="5"/>
      <c r="E227" s="6"/>
      <c r="F227" s="6"/>
      <c r="G227" s="5"/>
      <c r="H227" s="5"/>
      <c r="I227" s="5"/>
      <c r="J227" s="5"/>
      <c r="K227" s="5"/>
      <c r="L227" s="5"/>
      <c r="M227" s="5"/>
      <c r="N227" s="5"/>
      <c r="O227" s="5"/>
      <c r="P227" s="5"/>
      <c r="Q227" s="5"/>
      <c r="R227" s="5"/>
      <c r="S227" s="5"/>
      <c r="T227" s="5"/>
      <c r="U227" s="5"/>
      <c r="V227" s="5"/>
      <c r="W227" s="5"/>
      <c r="X227" s="5"/>
      <c r="Y227" s="5"/>
      <c r="Z227" s="5"/>
      <c r="AA227" s="5"/>
      <c r="AB227" s="5"/>
    </row>
    <row r="228" ht="15.75" customHeight="1">
      <c r="A228" s="8"/>
      <c r="B228" s="7"/>
      <c r="C228" s="5"/>
      <c r="D228" s="5"/>
      <c r="E228" s="6"/>
      <c r="F228" s="6"/>
      <c r="G228" s="5"/>
      <c r="H228" s="5"/>
      <c r="I228" s="5"/>
      <c r="J228" s="5"/>
      <c r="K228" s="5"/>
      <c r="L228" s="5"/>
      <c r="M228" s="5"/>
      <c r="N228" s="5"/>
      <c r="O228" s="5"/>
      <c r="P228" s="5"/>
      <c r="Q228" s="5"/>
      <c r="R228" s="5"/>
      <c r="S228" s="5"/>
      <c r="T228" s="5"/>
      <c r="U228" s="5"/>
      <c r="V228" s="5"/>
      <c r="W228" s="5"/>
      <c r="X228" s="5"/>
      <c r="Y228" s="5"/>
      <c r="Z228" s="5"/>
      <c r="AA228" s="5"/>
      <c r="AB228" s="5"/>
    </row>
    <row r="229" ht="15.75" customHeight="1">
      <c r="A229" s="8"/>
      <c r="B229" s="7"/>
      <c r="C229" s="5"/>
      <c r="D229" s="5"/>
      <c r="E229" s="6"/>
      <c r="F229" s="6"/>
      <c r="G229" s="5"/>
      <c r="H229" s="5"/>
      <c r="I229" s="5"/>
      <c r="J229" s="5"/>
      <c r="K229" s="5"/>
      <c r="L229" s="5"/>
      <c r="M229" s="5"/>
      <c r="N229" s="5"/>
      <c r="O229" s="5"/>
      <c r="P229" s="5"/>
      <c r="Q229" s="5"/>
      <c r="R229" s="5"/>
      <c r="S229" s="5"/>
      <c r="T229" s="5"/>
      <c r="U229" s="5"/>
      <c r="V229" s="5"/>
      <c r="W229" s="5"/>
      <c r="X229" s="5"/>
      <c r="Y229" s="5"/>
      <c r="Z229" s="5"/>
      <c r="AA229" s="5"/>
      <c r="AB229" s="5"/>
    </row>
    <row r="230" ht="15.75" customHeight="1">
      <c r="A230" s="8"/>
      <c r="B230" s="7"/>
      <c r="C230" s="5"/>
      <c r="D230" s="5"/>
      <c r="E230" s="6"/>
      <c r="F230" s="6"/>
      <c r="G230" s="5"/>
      <c r="H230" s="5"/>
      <c r="I230" s="5"/>
      <c r="J230" s="5"/>
      <c r="K230" s="5"/>
      <c r="L230" s="5"/>
      <c r="M230" s="5"/>
      <c r="N230" s="5"/>
      <c r="O230" s="5"/>
      <c r="P230" s="5"/>
      <c r="Q230" s="5"/>
      <c r="R230" s="5"/>
      <c r="S230" s="5"/>
      <c r="T230" s="5"/>
      <c r="U230" s="5"/>
      <c r="V230" s="5"/>
      <c r="W230" s="5"/>
      <c r="X230" s="5"/>
      <c r="Y230" s="5"/>
      <c r="Z230" s="5"/>
      <c r="AA230" s="5"/>
      <c r="AB230" s="5"/>
    </row>
    <row r="231" ht="15.75" customHeight="1">
      <c r="A231" s="8"/>
      <c r="B231" s="7"/>
      <c r="C231" s="5"/>
      <c r="D231" s="5"/>
      <c r="E231" s="6"/>
      <c r="F231" s="6"/>
      <c r="G231" s="5"/>
      <c r="H231" s="5"/>
      <c r="I231" s="5"/>
      <c r="J231" s="5"/>
      <c r="K231" s="5"/>
      <c r="L231" s="5"/>
      <c r="M231" s="5"/>
      <c r="N231" s="5"/>
      <c r="O231" s="5"/>
      <c r="P231" s="5"/>
      <c r="Q231" s="5"/>
      <c r="R231" s="5"/>
      <c r="S231" s="5"/>
      <c r="T231" s="5"/>
      <c r="U231" s="5"/>
      <c r="V231" s="5"/>
      <c r="W231" s="5"/>
      <c r="X231" s="5"/>
      <c r="Y231" s="5"/>
      <c r="Z231" s="5"/>
      <c r="AA231" s="5"/>
      <c r="AB231" s="5"/>
    </row>
    <row r="232" ht="15.75" customHeight="1">
      <c r="A232" s="8"/>
      <c r="B232" s="7"/>
      <c r="C232" s="5"/>
      <c r="D232" s="5"/>
      <c r="E232" s="6"/>
      <c r="F232" s="6"/>
      <c r="G232" s="5"/>
      <c r="H232" s="5"/>
      <c r="I232" s="5"/>
      <c r="J232" s="5"/>
      <c r="K232" s="5"/>
      <c r="L232" s="5"/>
      <c r="M232" s="5"/>
      <c r="N232" s="5"/>
      <c r="O232" s="5"/>
      <c r="P232" s="5"/>
      <c r="Q232" s="5"/>
      <c r="R232" s="5"/>
      <c r="S232" s="5"/>
      <c r="T232" s="5"/>
      <c r="U232" s="5"/>
      <c r="V232" s="5"/>
      <c r="W232" s="5"/>
      <c r="X232" s="5"/>
      <c r="Y232" s="5"/>
      <c r="Z232" s="5"/>
      <c r="AA232" s="5"/>
      <c r="AB232" s="5"/>
    </row>
    <row r="233" ht="15.75" customHeight="1">
      <c r="A233" s="8"/>
      <c r="B233" s="7"/>
      <c r="C233" s="5"/>
      <c r="D233" s="5"/>
      <c r="E233" s="6"/>
      <c r="F233" s="6"/>
      <c r="G233" s="5"/>
      <c r="H233" s="5"/>
      <c r="I233" s="5"/>
      <c r="J233" s="5"/>
      <c r="K233" s="5"/>
      <c r="L233" s="5"/>
      <c r="M233" s="5"/>
      <c r="N233" s="5"/>
      <c r="O233" s="5"/>
      <c r="P233" s="5"/>
      <c r="Q233" s="5"/>
      <c r="R233" s="5"/>
      <c r="S233" s="5"/>
      <c r="T233" s="5"/>
      <c r="U233" s="5"/>
      <c r="V233" s="5"/>
      <c r="W233" s="5"/>
      <c r="X233" s="5"/>
      <c r="Y233" s="5"/>
      <c r="Z233" s="5"/>
      <c r="AA233" s="5"/>
      <c r="AB233" s="5"/>
    </row>
    <row r="234" ht="15.75" customHeight="1">
      <c r="A234" s="8"/>
      <c r="B234" s="7"/>
      <c r="C234" s="5"/>
      <c r="D234" s="5"/>
      <c r="E234" s="6"/>
      <c r="F234" s="6"/>
      <c r="G234" s="5"/>
      <c r="H234" s="5"/>
      <c r="I234" s="5"/>
      <c r="J234" s="5"/>
      <c r="K234" s="5"/>
      <c r="L234" s="5"/>
      <c r="M234" s="5"/>
      <c r="N234" s="5"/>
      <c r="O234" s="5"/>
      <c r="P234" s="5"/>
      <c r="Q234" s="5"/>
      <c r="R234" s="5"/>
      <c r="S234" s="5"/>
      <c r="T234" s="5"/>
      <c r="U234" s="5"/>
      <c r="V234" s="5"/>
      <c r="W234" s="5"/>
      <c r="X234" s="5"/>
      <c r="Y234" s="5"/>
      <c r="Z234" s="5"/>
      <c r="AA234" s="5"/>
      <c r="AB234" s="5"/>
    </row>
    <row r="235" ht="15.75" customHeight="1">
      <c r="A235" s="8"/>
      <c r="B235" s="7"/>
      <c r="C235" s="5"/>
      <c r="D235" s="5"/>
      <c r="E235" s="6"/>
      <c r="F235" s="6"/>
      <c r="G235" s="5"/>
      <c r="H235" s="5"/>
      <c r="I235" s="5"/>
      <c r="J235" s="5"/>
      <c r="K235" s="5"/>
      <c r="L235" s="5"/>
      <c r="M235" s="5"/>
      <c r="N235" s="5"/>
      <c r="O235" s="5"/>
      <c r="P235" s="5"/>
      <c r="Q235" s="5"/>
      <c r="R235" s="5"/>
      <c r="S235" s="5"/>
      <c r="T235" s="5"/>
      <c r="U235" s="5"/>
      <c r="V235" s="5"/>
      <c r="W235" s="5"/>
      <c r="X235" s="5"/>
      <c r="Y235" s="5"/>
      <c r="Z235" s="5"/>
      <c r="AA235" s="5"/>
      <c r="AB235" s="5"/>
    </row>
    <row r="236" ht="15.75" customHeight="1">
      <c r="A236" s="8"/>
      <c r="B236" s="7"/>
      <c r="C236" s="5"/>
      <c r="D236" s="5"/>
      <c r="E236" s="6"/>
      <c r="F236" s="6"/>
      <c r="G236" s="5"/>
      <c r="H236" s="5"/>
      <c r="I236" s="5"/>
      <c r="J236" s="5"/>
      <c r="K236" s="5"/>
      <c r="L236" s="5"/>
      <c r="M236" s="5"/>
      <c r="N236" s="5"/>
      <c r="O236" s="5"/>
      <c r="P236" s="5"/>
      <c r="Q236" s="5"/>
      <c r="R236" s="5"/>
      <c r="S236" s="5"/>
      <c r="T236" s="5"/>
      <c r="U236" s="5"/>
      <c r="V236" s="5"/>
      <c r="W236" s="5"/>
      <c r="X236" s="5"/>
      <c r="Y236" s="5"/>
      <c r="Z236" s="5"/>
      <c r="AA236" s="5"/>
      <c r="AB236" s="5"/>
    </row>
    <row r="237" ht="15.75" customHeight="1">
      <c r="A237" s="8"/>
      <c r="B237" s="7"/>
      <c r="C237" s="5"/>
      <c r="D237" s="5"/>
      <c r="E237" s="6"/>
      <c r="F237" s="6"/>
      <c r="G237" s="5"/>
      <c r="H237" s="5"/>
      <c r="I237" s="5"/>
      <c r="J237" s="5"/>
      <c r="K237" s="5"/>
      <c r="L237" s="5"/>
      <c r="M237" s="5"/>
      <c r="N237" s="5"/>
      <c r="O237" s="5"/>
      <c r="P237" s="5"/>
      <c r="Q237" s="5"/>
      <c r="R237" s="5"/>
      <c r="S237" s="5"/>
      <c r="T237" s="5"/>
      <c r="U237" s="5"/>
      <c r="V237" s="5"/>
      <c r="W237" s="5"/>
      <c r="X237" s="5"/>
      <c r="Y237" s="5"/>
      <c r="Z237" s="5"/>
      <c r="AA237" s="5"/>
      <c r="AB237" s="5"/>
    </row>
    <row r="238" ht="15.75" customHeight="1">
      <c r="A238" s="8"/>
      <c r="B238" s="7"/>
      <c r="C238" s="5"/>
      <c r="D238" s="5"/>
      <c r="E238" s="6"/>
      <c r="F238" s="6"/>
      <c r="G238" s="5"/>
      <c r="H238" s="5"/>
      <c r="I238" s="5"/>
      <c r="J238" s="5"/>
      <c r="K238" s="5"/>
      <c r="L238" s="5"/>
      <c r="M238" s="5"/>
      <c r="N238" s="5"/>
      <c r="O238" s="5"/>
      <c r="P238" s="5"/>
      <c r="Q238" s="5"/>
      <c r="R238" s="5"/>
      <c r="S238" s="5"/>
      <c r="T238" s="5"/>
      <c r="U238" s="5"/>
      <c r="V238" s="5"/>
      <c r="W238" s="5"/>
      <c r="X238" s="5"/>
      <c r="Y238" s="5"/>
      <c r="Z238" s="5"/>
      <c r="AA238" s="5"/>
      <c r="AB238" s="5"/>
    </row>
    <row r="239" ht="15.75" customHeight="1">
      <c r="A239" s="8"/>
      <c r="B239" s="7"/>
      <c r="C239" s="5"/>
      <c r="D239" s="5"/>
      <c r="E239" s="6"/>
      <c r="F239" s="6"/>
      <c r="G239" s="5"/>
      <c r="H239" s="5"/>
      <c r="I239" s="5"/>
      <c r="J239" s="5"/>
      <c r="K239" s="5"/>
      <c r="L239" s="5"/>
      <c r="M239" s="5"/>
      <c r="N239" s="5"/>
      <c r="O239" s="5"/>
      <c r="P239" s="5"/>
      <c r="Q239" s="5"/>
      <c r="R239" s="5"/>
      <c r="S239" s="5"/>
      <c r="T239" s="5"/>
      <c r="U239" s="5"/>
      <c r="V239" s="5"/>
      <c r="W239" s="5"/>
      <c r="X239" s="5"/>
      <c r="Y239" s="5"/>
      <c r="Z239" s="5"/>
      <c r="AA239" s="5"/>
      <c r="AB239" s="5"/>
    </row>
    <row r="240" ht="15.75" customHeight="1">
      <c r="A240" s="8"/>
      <c r="B240" s="7"/>
      <c r="C240" s="5"/>
      <c r="D240" s="5"/>
      <c r="E240" s="6"/>
      <c r="F240" s="6"/>
      <c r="G240" s="5"/>
      <c r="H240" s="5"/>
      <c r="I240" s="5"/>
      <c r="J240" s="5"/>
      <c r="K240" s="5"/>
      <c r="L240" s="5"/>
      <c r="M240" s="5"/>
      <c r="N240" s="5"/>
      <c r="O240" s="5"/>
      <c r="P240" s="5"/>
      <c r="Q240" s="5"/>
      <c r="R240" s="5"/>
      <c r="S240" s="5"/>
      <c r="T240" s="5"/>
      <c r="U240" s="5"/>
      <c r="V240" s="5"/>
      <c r="W240" s="5"/>
      <c r="X240" s="5"/>
      <c r="Y240" s="5"/>
      <c r="Z240" s="5"/>
      <c r="AA240" s="5"/>
      <c r="AB240" s="5"/>
    </row>
    <row r="241" ht="15.75" customHeight="1">
      <c r="A241" s="8"/>
      <c r="B241" s="7"/>
      <c r="C241" s="5"/>
      <c r="D241" s="5"/>
      <c r="E241" s="6"/>
      <c r="F241" s="6"/>
      <c r="G241" s="5"/>
      <c r="H241" s="5"/>
      <c r="I241" s="5"/>
      <c r="J241" s="5"/>
      <c r="K241" s="5"/>
      <c r="L241" s="5"/>
      <c r="M241" s="5"/>
      <c r="N241" s="5"/>
      <c r="O241" s="5"/>
      <c r="P241" s="5"/>
      <c r="Q241" s="5"/>
      <c r="R241" s="5"/>
      <c r="S241" s="5"/>
      <c r="T241" s="5"/>
      <c r="U241" s="5"/>
      <c r="V241" s="5"/>
      <c r="W241" s="5"/>
      <c r="X241" s="5"/>
      <c r="Y241" s="5"/>
      <c r="Z241" s="5"/>
      <c r="AA241" s="5"/>
      <c r="AB241" s="5"/>
    </row>
    <row r="242" ht="15.75" customHeight="1">
      <c r="A242" s="8"/>
      <c r="B242" s="7"/>
      <c r="C242" s="5"/>
      <c r="D242" s="5"/>
      <c r="E242" s="6"/>
      <c r="F242" s="6"/>
      <c r="G242" s="5"/>
      <c r="H242" s="5"/>
      <c r="I242" s="5"/>
      <c r="J242" s="5"/>
      <c r="K242" s="5"/>
      <c r="L242" s="5"/>
      <c r="M242" s="5"/>
      <c r="N242" s="5"/>
      <c r="O242" s="5"/>
      <c r="P242" s="5"/>
      <c r="Q242" s="5"/>
      <c r="R242" s="5"/>
      <c r="S242" s="5"/>
      <c r="T242" s="5"/>
      <c r="U242" s="5"/>
      <c r="V242" s="5"/>
      <c r="W242" s="5"/>
      <c r="X242" s="5"/>
      <c r="Y242" s="5"/>
      <c r="Z242" s="5"/>
      <c r="AA242" s="5"/>
      <c r="AB242" s="5"/>
    </row>
    <row r="243" ht="15.75" customHeight="1">
      <c r="A243" s="8"/>
      <c r="B243" s="7"/>
      <c r="C243" s="5"/>
      <c r="D243" s="5"/>
      <c r="E243" s="6"/>
      <c r="F243" s="6"/>
      <c r="G243" s="5"/>
      <c r="H243" s="5"/>
      <c r="I243" s="5"/>
      <c r="J243" s="5"/>
      <c r="K243" s="5"/>
      <c r="L243" s="5"/>
      <c r="M243" s="5"/>
      <c r="N243" s="5"/>
      <c r="O243" s="5"/>
      <c r="P243" s="5"/>
      <c r="Q243" s="5"/>
      <c r="R243" s="5"/>
      <c r="S243" s="5"/>
      <c r="T243" s="5"/>
      <c r="U243" s="5"/>
      <c r="V243" s="5"/>
      <c r="W243" s="5"/>
      <c r="X243" s="5"/>
      <c r="Y243" s="5"/>
      <c r="Z243" s="5"/>
      <c r="AA243" s="5"/>
      <c r="AB243" s="5"/>
    </row>
    <row r="244" ht="15.75" customHeight="1">
      <c r="A244" s="8"/>
      <c r="B244" s="7"/>
      <c r="C244" s="5"/>
      <c r="D244" s="5"/>
      <c r="E244" s="6"/>
      <c r="F244" s="6"/>
      <c r="G244" s="5"/>
      <c r="H244" s="5"/>
      <c r="I244" s="5"/>
      <c r="J244" s="5"/>
      <c r="K244" s="5"/>
      <c r="L244" s="5"/>
      <c r="M244" s="5"/>
      <c r="N244" s="5"/>
      <c r="O244" s="5"/>
      <c r="P244" s="5"/>
      <c r="Q244" s="5"/>
      <c r="R244" s="5"/>
      <c r="S244" s="5"/>
      <c r="T244" s="5"/>
      <c r="U244" s="5"/>
      <c r="V244" s="5"/>
      <c r="W244" s="5"/>
      <c r="X244" s="5"/>
      <c r="Y244" s="5"/>
      <c r="Z244" s="5"/>
      <c r="AA244" s="5"/>
      <c r="AB244" s="5"/>
    </row>
    <row r="245" ht="15.75" customHeight="1">
      <c r="A245" s="8"/>
      <c r="B245" s="7"/>
      <c r="C245" s="5"/>
      <c r="D245" s="5"/>
      <c r="E245" s="6"/>
      <c r="F245" s="6"/>
      <c r="G245" s="5"/>
      <c r="H245" s="5"/>
      <c r="I245" s="5"/>
      <c r="J245" s="5"/>
      <c r="K245" s="5"/>
      <c r="L245" s="5"/>
      <c r="M245" s="5"/>
      <c r="N245" s="5"/>
      <c r="O245" s="5"/>
      <c r="P245" s="5"/>
      <c r="Q245" s="5"/>
      <c r="R245" s="5"/>
      <c r="S245" s="5"/>
      <c r="T245" s="5"/>
      <c r="U245" s="5"/>
      <c r="V245" s="5"/>
      <c r="W245" s="5"/>
      <c r="X245" s="5"/>
      <c r="Y245" s="5"/>
      <c r="Z245" s="5"/>
      <c r="AA245" s="5"/>
      <c r="AB245" s="5"/>
    </row>
    <row r="246" ht="15.75" customHeight="1">
      <c r="A246" s="8"/>
      <c r="B246" s="7"/>
      <c r="C246" s="5"/>
      <c r="D246" s="5"/>
      <c r="E246" s="6"/>
      <c r="F246" s="6"/>
      <c r="G246" s="5"/>
      <c r="H246" s="5"/>
      <c r="I246" s="5"/>
      <c r="J246" s="5"/>
      <c r="K246" s="5"/>
      <c r="L246" s="5"/>
      <c r="M246" s="5"/>
      <c r="N246" s="5"/>
      <c r="O246" s="5"/>
      <c r="P246" s="5"/>
      <c r="Q246" s="5"/>
      <c r="R246" s="5"/>
      <c r="S246" s="5"/>
      <c r="T246" s="5"/>
      <c r="U246" s="5"/>
      <c r="V246" s="5"/>
      <c r="W246" s="5"/>
      <c r="X246" s="5"/>
      <c r="Y246" s="5"/>
      <c r="Z246" s="5"/>
      <c r="AA246" s="5"/>
      <c r="AB246" s="5"/>
    </row>
    <row r="247" ht="15.75" customHeight="1">
      <c r="A247" s="8"/>
      <c r="B247" s="7"/>
      <c r="C247" s="5"/>
      <c r="D247" s="5"/>
      <c r="E247" s="6"/>
      <c r="F247" s="6"/>
      <c r="G247" s="5"/>
      <c r="H247" s="5"/>
      <c r="I247" s="5"/>
      <c r="J247" s="5"/>
      <c r="K247" s="5"/>
      <c r="L247" s="5"/>
      <c r="M247" s="5"/>
      <c r="N247" s="5"/>
      <c r="O247" s="5"/>
      <c r="P247" s="5"/>
      <c r="Q247" s="5"/>
      <c r="R247" s="5"/>
      <c r="S247" s="5"/>
      <c r="T247" s="5"/>
      <c r="U247" s="5"/>
      <c r="V247" s="5"/>
      <c r="W247" s="5"/>
      <c r="X247" s="5"/>
      <c r="Y247" s="5"/>
      <c r="Z247" s="5"/>
      <c r="AA247" s="5"/>
      <c r="AB247" s="5"/>
    </row>
    <row r="248" ht="15.75" customHeight="1">
      <c r="A248" s="8"/>
      <c r="B248" s="7"/>
      <c r="C248" s="5"/>
      <c r="D248" s="5"/>
      <c r="E248" s="6"/>
      <c r="F248" s="6"/>
      <c r="G248" s="5"/>
      <c r="H248" s="5"/>
      <c r="I248" s="5"/>
      <c r="J248" s="5"/>
      <c r="K248" s="5"/>
      <c r="L248" s="5"/>
      <c r="M248" s="5"/>
      <c r="N248" s="5"/>
      <c r="O248" s="5"/>
      <c r="P248" s="5"/>
      <c r="Q248" s="5"/>
      <c r="R248" s="5"/>
      <c r="S248" s="5"/>
      <c r="T248" s="5"/>
      <c r="U248" s="5"/>
      <c r="V248" s="5"/>
      <c r="W248" s="5"/>
      <c r="X248" s="5"/>
      <c r="Y248" s="5"/>
      <c r="Z248" s="5"/>
      <c r="AA248" s="5"/>
      <c r="AB248" s="5"/>
    </row>
    <row r="249" ht="15.75" customHeight="1">
      <c r="A249" s="8"/>
      <c r="B249" s="7"/>
      <c r="C249" s="5"/>
      <c r="D249" s="5"/>
      <c r="E249" s="6"/>
      <c r="F249" s="6"/>
      <c r="G249" s="5"/>
      <c r="H249" s="5"/>
      <c r="I249" s="5"/>
      <c r="J249" s="5"/>
      <c r="K249" s="5"/>
      <c r="L249" s="5"/>
      <c r="M249" s="5"/>
      <c r="N249" s="5"/>
      <c r="O249" s="5"/>
      <c r="P249" s="5"/>
      <c r="Q249" s="5"/>
      <c r="R249" s="5"/>
      <c r="S249" s="5"/>
      <c r="T249" s="5"/>
      <c r="U249" s="5"/>
      <c r="V249" s="5"/>
      <c r="W249" s="5"/>
      <c r="X249" s="5"/>
      <c r="Y249" s="5"/>
      <c r="Z249" s="5"/>
      <c r="AA249" s="5"/>
      <c r="AB249" s="5"/>
    </row>
    <row r="250" ht="15.75" customHeight="1">
      <c r="A250" s="8"/>
      <c r="B250" s="7"/>
      <c r="C250" s="5"/>
      <c r="D250" s="5"/>
      <c r="E250" s="6"/>
      <c r="F250" s="6"/>
      <c r="G250" s="5"/>
      <c r="H250" s="5"/>
      <c r="I250" s="5"/>
      <c r="J250" s="5"/>
      <c r="K250" s="5"/>
      <c r="L250" s="5"/>
      <c r="M250" s="5"/>
      <c r="N250" s="5"/>
      <c r="O250" s="5"/>
      <c r="P250" s="5"/>
      <c r="Q250" s="5"/>
      <c r="R250" s="5"/>
      <c r="S250" s="5"/>
      <c r="T250" s="5"/>
      <c r="U250" s="5"/>
      <c r="V250" s="5"/>
      <c r="W250" s="5"/>
      <c r="X250" s="5"/>
      <c r="Y250" s="5"/>
      <c r="Z250" s="5"/>
      <c r="AA250" s="5"/>
      <c r="AB250" s="5"/>
    </row>
    <row r="251" ht="15.75" customHeight="1">
      <c r="A251" s="8"/>
      <c r="B251" s="7"/>
      <c r="C251" s="5"/>
      <c r="D251" s="5"/>
      <c r="E251" s="6"/>
      <c r="F251" s="6"/>
      <c r="G251" s="5"/>
      <c r="H251" s="5"/>
      <c r="I251" s="5"/>
      <c r="J251" s="5"/>
      <c r="K251" s="5"/>
      <c r="L251" s="5"/>
      <c r="M251" s="5"/>
      <c r="N251" s="5"/>
      <c r="O251" s="5"/>
      <c r="P251" s="5"/>
      <c r="Q251" s="5"/>
      <c r="R251" s="5"/>
      <c r="S251" s="5"/>
      <c r="T251" s="5"/>
      <c r="U251" s="5"/>
      <c r="V251" s="5"/>
      <c r="W251" s="5"/>
      <c r="X251" s="5"/>
      <c r="Y251" s="5"/>
      <c r="Z251" s="5"/>
      <c r="AA251" s="5"/>
      <c r="AB251" s="5"/>
    </row>
    <row r="252" ht="15.75" customHeight="1">
      <c r="A252" s="8"/>
      <c r="B252" s="7"/>
      <c r="C252" s="5"/>
      <c r="D252" s="5"/>
      <c r="E252" s="6"/>
      <c r="F252" s="6"/>
      <c r="G252" s="5"/>
      <c r="H252" s="5"/>
      <c r="I252" s="5"/>
      <c r="J252" s="5"/>
      <c r="K252" s="5"/>
      <c r="L252" s="5"/>
      <c r="M252" s="5"/>
      <c r="N252" s="5"/>
      <c r="O252" s="5"/>
      <c r="P252" s="5"/>
      <c r="Q252" s="5"/>
      <c r="R252" s="5"/>
      <c r="S252" s="5"/>
      <c r="T252" s="5"/>
      <c r="U252" s="5"/>
      <c r="V252" s="5"/>
      <c r="W252" s="5"/>
      <c r="X252" s="5"/>
      <c r="Y252" s="5"/>
      <c r="Z252" s="5"/>
      <c r="AA252" s="5"/>
      <c r="AB252" s="5"/>
    </row>
    <row r="253" ht="15.75" customHeight="1">
      <c r="A253" s="8"/>
      <c r="B253" s="7"/>
      <c r="C253" s="5"/>
      <c r="D253" s="5"/>
      <c r="E253" s="6"/>
      <c r="F253" s="6"/>
      <c r="G253" s="5"/>
      <c r="H253" s="5"/>
      <c r="I253" s="5"/>
      <c r="J253" s="5"/>
      <c r="K253" s="5"/>
      <c r="L253" s="5"/>
      <c r="M253" s="5"/>
      <c r="N253" s="5"/>
      <c r="O253" s="5"/>
      <c r="P253" s="5"/>
      <c r="Q253" s="5"/>
      <c r="R253" s="5"/>
      <c r="S253" s="5"/>
      <c r="T253" s="5"/>
      <c r="U253" s="5"/>
      <c r="V253" s="5"/>
      <c r="W253" s="5"/>
      <c r="X253" s="5"/>
      <c r="Y253" s="5"/>
      <c r="Z253" s="5"/>
      <c r="AA253" s="5"/>
      <c r="AB253" s="5"/>
    </row>
    <row r="254" ht="15.75" customHeight="1">
      <c r="A254" s="8"/>
      <c r="B254" s="7"/>
      <c r="C254" s="5"/>
      <c r="D254" s="5"/>
      <c r="E254" s="6"/>
      <c r="F254" s="6"/>
      <c r="G254" s="5"/>
      <c r="H254" s="5"/>
      <c r="I254" s="5"/>
      <c r="J254" s="5"/>
      <c r="K254" s="5"/>
      <c r="L254" s="5"/>
      <c r="M254" s="5"/>
      <c r="N254" s="5"/>
      <c r="O254" s="5"/>
      <c r="P254" s="5"/>
      <c r="Q254" s="5"/>
      <c r="R254" s="5"/>
      <c r="S254" s="5"/>
      <c r="T254" s="5"/>
      <c r="U254" s="5"/>
      <c r="V254" s="5"/>
      <c r="W254" s="5"/>
      <c r="X254" s="5"/>
      <c r="Y254" s="5"/>
      <c r="Z254" s="5"/>
      <c r="AA254" s="5"/>
      <c r="AB254" s="5"/>
    </row>
    <row r="255" ht="15.75" customHeight="1">
      <c r="A255" s="8"/>
      <c r="B255" s="7"/>
      <c r="C255" s="5"/>
      <c r="D255" s="5"/>
      <c r="E255" s="6"/>
      <c r="F255" s="6"/>
      <c r="G255" s="5"/>
      <c r="H255" s="5"/>
      <c r="I255" s="5"/>
      <c r="J255" s="5"/>
      <c r="K255" s="5"/>
      <c r="L255" s="5"/>
      <c r="M255" s="5"/>
      <c r="N255" s="5"/>
      <c r="O255" s="5"/>
      <c r="P255" s="5"/>
      <c r="Q255" s="5"/>
      <c r="R255" s="5"/>
      <c r="S255" s="5"/>
      <c r="T255" s="5"/>
      <c r="U255" s="5"/>
      <c r="V255" s="5"/>
      <c r="W255" s="5"/>
      <c r="X255" s="5"/>
      <c r="Y255" s="5"/>
      <c r="Z255" s="5"/>
      <c r="AA255" s="5"/>
      <c r="AB255" s="5"/>
    </row>
    <row r="256" ht="15.75" customHeight="1">
      <c r="A256" s="8"/>
      <c r="B256" s="7"/>
      <c r="C256" s="5"/>
      <c r="D256" s="5"/>
      <c r="E256" s="6"/>
      <c r="F256" s="6"/>
      <c r="G256" s="5"/>
      <c r="H256" s="5"/>
      <c r="I256" s="5"/>
      <c r="J256" s="5"/>
      <c r="K256" s="5"/>
      <c r="L256" s="5"/>
      <c r="M256" s="5"/>
      <c r="N256" s="5"/>
      <c r="O256" s="5"/>
      <c r="P256" s="5"/>
      <c r="Q256" s="5"/>
      <c r="R256" s="5"/>
      <c r="S256" s="5"/>
      <c r="T256" s="5"/>
      <c r="U256" s="5"/>
      <c r="V256" s="5"/>
      <c r="W256" s="5"/>
      <c r="X256" s="5"/>
      <c r="Y256" s="5"/>
      <c r="Z256" s="5"/>
      <c r="AA256" s="5"/>
      <c r="AB256" s="5"/>
    </row>
    <row r="257" ht="15.75" customHeight="1">
      <c r="A257" s="8"/>
      <c r="B257" s="7"/>
      <c r="C257" s="5"/>
      <c r="D257" s="5"/>
      <c r="E257" s="6"/>
      <c r="F257" s="6"/>
      <c r="G257" s="5"/>
      <c r="H257" s="5"/>
      <c r="I257" s="5"/>
      <c r="J257" s="5"/>
      <c r="K257" s="5"/>
      <c r="L257" s="5"/>
      <c r="M257" s="5"/>
      <c r="N257" s="5"/>
      <c r="O257" s="5"/>
      <c r="P257" s="5"/>
      <c r="Q257" s="5"/>
      <c r="R257" s="5"/>
      <c r="S257" s="5"/>
      <c r="T257" s="5"/>
      <c r="U257" s="5"/>
      <c r="V257" s="5"/>
      <c r="W257" s="5"/>
      <c r="X257" s="5"/>
      <c r="Y257" s="5"/>
      <c r="Z257" s="5"/>
      <c r="AA257" s="5"/>
      <c r="AB257" s="5"/>
    </row>
    <row r="258" ht="15.75" customHeight="1">
      <c r="A258" s="8"/>
      <c r="B258" s="7"/>
      <c r="C258" s="5"/>
      <c r="D258" s="5"/>
      <c r="E258" s="6"/>
      <c r="F258" s="6"/>
      <c r="G258" s="5"/>
      <c r="H258" s="5"/>
      <c r="I258" s="5"/>
      <c r="J258" s="5"/>
      <c r="K258" s="5"/>
      <c r="L258" s="5"/>
      <c r="M258" s="5"/>
      <c r="N258" s="5"/>
      <c r="O258" s="5"/>
      <c r="P258" s="5"/>
      <c r="Q258" s="5"/>
      <c r="R258" s="5"/>
      <c r="S258" s="5"/>
      <c r="T258" s="5"/>
      <c r="U258" s="5"/>
      <c r="V258" s="5"/>
      <c r="W258" s="5"/>
      <c r="X258" s="5"/>
      <c r="Y258" s="5"/>
      <c r="Z258" s="5"/>
      <c r="AA258" s="5"/>
      <c r="AB258" s="5"/>
    </row>
    <row r="259" ht="15.75" customHeight="1">
      <c r="A259" s="8"/>
      <c r="B259" s="7"/>
      <c r="C259" s="5"/>
      <c r="D259" s="5"/>
      <c r="E259" s="6"/>
      <c r="F259" s="6"/>
      <c r="G259" s="5"/>
      <c r="H259" s="5"/>
      <c r="I259" s="5"/>
      <c r="J259" s="5"/>
      <c r="K259" s="5"/>
      <c r="L259" s="5"/>
      <c r="M259" s="5"/>
      <c r="N259" s="5"/>
      <c r="O259" s="5"/>
      <c r="P259" s="5"/>
      <c r="Q259" s="5"/>
      <c r="R259" s="5"/>
      <c r="S259" s="5"/>
      <c r="T259" s="5"/>
      <c r="U259" s="5"/>
      <c r="V259" s="5"/>
      <c r="W259" s="5"/>
      <c r="X259" s="5"/>
      <c r="Y259" s="5"/>
      <c r="Z259" s="5"/>
      <c r="AA259" s="5"/>
      <c r="AB259" s="5"/>
    </row>
    <row r="260" ht="15.75" customHeight="1">
      <c r="A260" s="8"/>
      <c r="B260" s="7"/>
      <c r="C260" s="5"/>
      <c r="D260" s="5"/>
      <c r="E260" s="6"/>
      <c r="F260" s="6"/>
      <c r="G260" s="5"/>
      <c r="H260" s="5"/>
      <c r="I260" s="5"/>
      <c r="J260" s="5"/>
      <c r="K260" s="5"/>
      <c r="L260" s="5"/>
      <c r="M260" s="5"/>
      <c r="N260" s="5"/>
      <c r="O260" s="5"/>
      <c r="P260" s="5"/>
      <c r="Q260" s="5"/>
      <c r="R260" s="5"/>
      <c r="S260" s="5"/>
      <c r="T260" s="5"/>
      <c r="U260" s="5"/>
      <c r="V260" s="5"/>
      <c r="W260" s="5"/>
      <c r="X260" s="5"/>
      <c r="Y260" s="5"/>
      <c r="Z260" s="5"/>
      <c r="AA260" s="5"/>
      <c r="AB260" s="5"/>
    </row>
    <row r="261" ht="15.75" customHeight="1">
      <c r="A261" s="8"/>
      <c r="B261" s="7"/>
      <c r="C261" s="5"/>
      <c r="D261" s="5"/>
      <c r="E261" s="6"/>
      <c r="F261" s="6"/>
      <c r="G261" s="5"/>
      <c r="H261" s="5"/>
      <c r="I261" s="5"/>
      <c r="J261" s="5"/>
      <c r="K261" s="5"/>
      <c r="L261" s="5"/>
      <c r="M261" s="5"/>
      <c r="N261" s="5"/>
      <c r="O261" s="5"/>
      <c r="P261" s="5"/>
      <c r="Q261" s="5"/>
      <c r="R261" s="5"/>
      <c r="S261" s="5"/>
      <c r="T261" s="5"/>
      <c r="U261" s="5"/>
      <c r="V261" s="5"/>
      <c r="W261" s="5"/>
      <c r="X261" s="5"/>
      <c r="Y261" s="5"/>
      <c r="Z261" s="5"/>
      <c r="AA261" s="5"/>
      <c r="AB261" s="5"/>
    </row>
    <row r="262" ht="15.75" customHeight="1">
      <c r="A262" s="8"/>
      <c r="B262" s="7"/>
      <c r="C262" s="5"/>
      <c r="D262" s="5"/>
      <c r="E262" s="6"/>
      <c r="F262" s="6"/>
      <c r="G262" s="5"/>
      <c r="H262" s="5"/>
      <c r="I262" s="5"/>
      <c r="J262" s="5"/>
      <c r="K262" s="5"/>
      <c r="L262" s="5"/>
      <c r="M262" s="5"/>
      <c r="N262" s="5"/>
      <c r="O262" s="5"/>
      <c r="P262" s="5"/>
      <c r="Q262" s="5"/>
      <c r="R262" s="5"/>
      <c r="S262" s="5"/>
      <c r="T262" s="5"/>
      <c r="U262" s="5"/>
      <c r="V262" s="5"/>
      <c r="W262" s="5"/>
      <c r="X262" s="5"/>
      <c r="Y262" s="5"/>
      <c r="Z262" s="5"/>
      <c r="AA262" s="5"/>
      <c r="AB262" s="5"/>
    </row>
    <row r="263" ht="15.75" customHeight="1">
      <c r="A263" s="8"/>
      <c r="B263" s="7"/>
      <c r="C263" s="5"/>
      <c r="D263" s="5"/>
      <c r="E263" s="6"/>
      <c r="F263" s="6"/>
      <c r="G263" s="5"/>
      <c r="H263" s="5"/>
      <c r="I263" s="5"/>
      <c r="J263" s="5"/>
      <c r="K263" s="5"/>
      <c r="L263" s="5"/>
      <c r="M263" s="5"/>
      <c r="N263" s="5"/>
      <c r="O263" s="5"/>
      <c r="P263" s="5"/>
      <c r="Q263" s="5"/>
      <c r="R263" s="5"/>
      <c r="S263" s="5"/>
      <c r="T263" s="5"/>
      <c r="U263" s="5"/>
      <c r="V263" s="5"/>
      <c r="W263" s="5"/>
      <c r="X263" s="5"/>
      <c r="Y263" s="5"/>
      <c r="Z263" s="5"/>
      <c r="AA263" s="5"/>
      <c r="AB263" s="5"/>
    </row>
    <row r="264" ht="15.75" customHeight="1">
      <c r="A264" s="8"/>
      <c r="B264" s="7"/>
      <c r="C264" s="5"/>
      <c r="D264" s="5"/>
      <c r="E264" s="6"/>
      <c r="F264" s="6"/>
      <c r="G264" s="5"/>
      <c r="H264" s="5"/>
      <c r="I264" s="5"/>
      <c r="J264" s="5"/>
      <c r="K264" s="5"/>
      <c r="L264" s="5"/>
      <c r="M264" s="5"/>
      <c r="N264" s="5"/>
      <c r="O264" s="5"/>
      <c r="P264" s="5"/>
      <c r="Q264" s="5"/>
      <c r="R264" s="5"/>
      <c r="S264" s="5"/>
      <c r="T264" s="5"/>
      <c r="U264" s="5"/>
      <c r="V264" s="5"/>
      <c r="W264" s="5"/>
      <c r="X264" s="5"/>
      <c r="Y264" s="5"/>
      <c r="Z264" s="5"/>
      <c r="AA264" s="5"/>
      <c r="AB264" s="5"/>
    </row>
    <row r="265" ht="15.75" customHeight="1">
      <c r="A265" s="8"/>
      <c r="B265" s="7"/>
      <c r="C265" s="5"/>
      <c r="D265" s="5"/>
      <c r="E265" s="6"/>
      <c r="F265" s="6"/>
      <c r="G265" s="5"/>
      <c r="H265" s="5"/>
      <c r="I265" s="5"/>
      <c r="J265" s="5"/>
      <c r="K265" s="5"/>
      <c r="L265" s="5"/>
      <c r="M265" s="5"/>
      <c r="N265" s="5"/>
      <c r="O265" s="5"/>
      <c r="P265" s="5"/>
      <c r="Q265" s="5"/>
      <c r="R265" s="5"/>
      <c r="S265" s="5"/>
      <c r="T265" s="5"/>
      <c r="U265" s="5"/>
      <c r="V265" s="5"/>
      <c r="W265" s="5"/>
      <c r="X265" s="5"/>
      <c r="Y265" s="5"/>
      <c r="Z265" s="5"/>
      <c r="AA265" s="5"/>
      <c r="AB265" s="5"/>
    </row>
    <row r="266" ht="15.75" customHeight="1">
      <c r="A266" s="8"/>
      <c r="B266" s="7"/>
      <c r="C266" s="5"/>
      <c r="D266" s="5"/>
      <c r="E266" s="6"/>
      <c r="F266" s="6"/>
      <c r="G266" s="5"/>
      <c r="H266" s="5"/>
      <c r="I266" s="5"/>
      <c r="J266" s="5"/>
      <c r="K266" s="5"/>
      <c r="L266" s="5"/>
      <c r="M266" s="5"/>
      <c r="N266" s="5"/>
      <c r="O266" s="5"/>
      <c r="P266" s="5"/>
      <c r="Q266" s="5"/>
      <c r="R266" s="5"/>
      <c r="S266" s="5"/>
      <c r="T266" s="5"/>
      <c r="U266" s="5"/>
      <c r="V266" s="5"/>
      <c r="W266" s="5"/>
      <c r="X266" s="5"/>
      <c r="Y266" s="5"/>
      <c r="Z266" s="5"/>
      <c r="AA266" s="5"/>
      <c r="AB266" s="5"/>
    </row>
    <row r="267" ht="15.75" customHeight="1">
      <c r="A267" s="8"/>
      <c r="B267" s="7"/>
      <c r="C267" s="5"/>
      <c r="D267" s="5"/>
      <c r="E267" s="6"/>
      <c r="F267" s="6"/>
      <c r="G267" s="5"/>
      <c r="H267" s="5"/>
      <c r="I267" s="5"/>
      <c r="J267" s="5"/>
      <c r="K267" s="5"/>
      <c r="L267" s="5"/>
      <c r="M267" s="5"/>
      <c r="N267" s="5"/>
      <c r="O267" s="5"/>
      <c r="P267" s="5"/>
      <c r="Q267" s="5"/>
      <c r="R267" s="5"/>
      <c r="S267" s="5"/>
      <c r="T267" s="5"/>
      <c r="U267" s="5"/>
      <c r="V267" s="5"/>
      <c r="W267" s="5"/>
      <c r="X267" s="5"/>
      <c r="Y267" s="5"/>
      <c r="Z267" s="5"/>
      <c r="AA267" s="5"/>
      <c r="AB267" s="5"/>
    </row>
    <row r="268" ht="15.75" customHeight="1">
      <c r="A268" s="8"/>
      <c r="B268" s="7"/>
      <c r="C268" s="5"/>
      <c r="D268" s="5"/>
      <c r="E268" s="6"/>
      <c r="F268" s="6"/>
      <c r="G268" s="5"/>
      <c r="H268" s="5"/>
      <c r="I268" s="5"/>
      <c r="J268" s="5"/>
      <c r="K268" s="5"/>
      <c r="L268" s="5"/>
      <c r="M268" s="5"/>
      <c r="N268" s="5"/>
      <c r="O268" s="5"/>
      <c r="P268" s="5"/>
      <c r="Q268" s="5"/>
      <c r="R268" s="5"/>
      <c r="S268" s="5"/>
      <c r="T268" s="5"/>
      <c r="U268" s="5"/>
      <c r="V268" s="5"/>
      <c r="W268" s="5"/>
      <c r="X268" s="5"/>
      <c r="Y268" s="5"/>
      <c r="Z268" s="5"/>
      <c r="AA268" s="5"/>
      <c r="AB268" s="5"/>
    </row>
    <row r="269" ht="15.75" customHeight="1">
      <c r="A269" s="8"/>
      <c r="B269" s="7"/>
      <c r="C269" s="5"/>
      <c r="D269" s="5"/>
      <c r="E269" s="6"/>
      <c r="F269" s="6"/>
      <c r="G269" s="5"/>
      <c r="H269" s="5"/>
      <c r="I269" s="5"/>
      <c r="J269" s="5"/>
      <c r="K269" s="5"/>
      <c r="L269" s="5"/>
      <c r="M269" s="5"/>
      <c r="N269" s="5"/>
      <c r="O269" s="5"/>
      <c r="P269" s="5"/>
      <c r="Q269" s="5"/>
      <c r="R269" s="5"/>
      <c r="S269" s="5"/>
      <c r="T269" s="5"/>
      <c r="U269" s="5"/>
      <c r="V269" s="5"/>
      <c r="W269" s="5"/>
      <c r="X269" s="5"/>
      <c r="Y269" s="5"/>
      <c r="Z269" s="5"/>
      <c r="AA269" s="5"/>
      <c r="AB269" s="5"/>
    </row>
    <row r="270" ht="15.75" customHeight="1">
      <c r="A270" s="8"/>
      <c r="B270" s="7"/>
      <c r="C270" s="5"/>
      <c r="D270" s="5"/>
      <c r="E270" s="6"/>
      <c r="F270" s="6"/>
      <c r="G270" s="5"/>
      <c r="H270" s="5"/>
      <c r="I270" s="5"/>
      <c r="J270" s="5"/>
      <c r="K270" s="5"/>
      <c r="L270" s="5"/>
      <c r="M270" s="5"/>
      <c r="N270" s="5"/>
      <c r="O270" s="5"/>
      <c r="P270" s="5"/>
      <c r="Q270" s="5"/>
      <c r="R270" s="5"/>
      <c r="S270" s="5"/>
      <c r="T270" s="5"/>
      <c r="U270" s="5"/>
      <c r="V270" s="5"/>
      <c r="W270" s="5"/>
      <c r="X270" s="5"/>
      <c r="Y270" s="5"/>
      <c r="Z270" s="5"/>
      <c r="AA270" s="5"/>
      <c r="AB270" s="5"/>
    </row>
    <row r="271" ht="15.75" customHeight="1">
      <c r="A271" s="8"/>
      <c r="B271" s="7"/>
      <c r="C271" s="5"/>
      <c r="D271" s="5"/>
      <c r="E271" s="6"/>
      <c r="F271" s="6"/>
      <c r="G271" s="5"/>
      <c r="H271" s="5"/>
      <c r="I271" s="5"/>
      <c r="J271" s="5"/>
      <c r="K271" s="5"/>
      <c r="L271" s="5"/>
      <c r="M271" s="5"/>
      <c r="N271" s="5"/>
      <c r="O271" s="5"/>
      <c r="P271" s="5"/>
      <c r="Q271" s="5"/>
      <c r="R271" s="5"/>
      <c r="S271" s="5"/>
      <c r="T271" s="5"/>
      <c r="U271" s="5"/>
      <c r="V271" s="5"/>
      <c r="W271" s="5"/>
      <c r="X271" s="5"/>
      <c r="Y271" s="5"/>
      <c r="Z271" s="5"/>
      <c r="AA271" s="5"/>
      <c r="AB271" s="5"/>
    </row>
    <row r="272" ht="15.75" customHeight="1">
      <c r="A272" s="8"/>
      <c r="B272" s="7"/>
      <c r="C272" s="5"/>
      <c r="D272" s="5"/>
      <c r="E272" s="6"/>
      <c r="F272" s="6"/>
      <c r="G272" s="5"/>
      <c r="H272" s="5"/>
      <c r="I272" s="5"/>
      <c r="J272" s="5"/>
      <c r="K272" s="5"/>
      <c r="L272" s="5"/>
      <c r="M272" s="5"/>
      <c r="N272" s="5"/>
      <c r="O272" s="5"/>
      <c r="P272" s="5"/>
      <c r="Q272" s="5"/>
      <c r="R272" s="5"/>
      <c r="S272" s="5"/>
      <c r="T272" s="5"/>
      <c r="U272" s="5"/>
      <c r="V272" s="5"/>
      <c r="W272" s="5"/>
      <c r="X272" s="5"/>
      <c r="Y272" s="5"/>
      <c r="Z272" s="5"/>
      <c r="AA272" s="5"/>
      <c r="AB272" s="5"/>
    </row>
    <row r="273" ht="15.75" customHeight="1">
      <c r="A273" s="8"/>
      <c r="B273" s="7"/>
      <c r="C273" s="5"/>
      <c r="D273" s="5"/>
      <c r="E273" s="6"/>
      <c r="F273" s="6"/>
      <c r="G273" s="5"/>
      <c r="H273" s="5"/>
      <c r="I273" s="5"/>
      <c r="J273" s="5"/>
      <c r="K273" s="5"/>
      <c r="L273" s="5"/>
      <c r="M273" s="5"/>
      <c r="N273" s="5"/>
      <c r="O273" s="5"/>
      <c r="P273" s="5"/>
      <c r="Q273" s="5"/>
      <c r="R273" s="5"/>
      <c r="S273" s="5"/>
      <c r="T273" s="5"/>
      <c r="U273" s="5"/>
      <c r="V273" s="5"/>
      <c r="W273" s="5"/>
      <c r="X273" s="5"/>
      <c r="Y273" s="5"/>
      <c r="Z273" s="5"/>
      <c r="AA273" s="5"/>
      <c r="AB273" s="5"/>
    </row>
    <row r="274" ht="15.75" customHeight="1">
      <c r="A274" s="8"/>
      <c r="B274" s="7"/>
      <c r="C274" s="5"/>
      <c r="D274" s="5"/>
      <c r="E274" s="6"/>
      <c r="F274" s="6"/>
      <c r="G274" s="5"/>
      <c r="H274" s="5"/>
      <c r="I274" s="5"/>
      <c r="J274" s="5"/>
      <c r="K274" s="5"/>
      <c r="L274" s="5"/>
      <c r="M274" s="5"/>
      <c r="N274" s="5"/>
      <c r="O274" s="5"/>
      <c r="P274" s="5"/>
      <c r="Q274" s="5"/>
      <c r="R274" s="5"/>
      <c r="S274" s="5"/>
      <c r="T274" s="5"/>
      <c r="U274" s="5"/>
      <c r="V274" s="5"/>
      <c r="W274" s="5"/>
      <c r="X274" s="5"/>
      <c r="Y274" s="5"/>
      <c r="Z274" s="5"/>
      <c r="AA274" s="5"/>
      <c r="AB274" s="5"/>
    </row>
    <row r="275" ht="15.75" customHeight="1">
      <c r="A275" s="8"/>
      <c r="B275" s="7"/>
      <c r="C275" s="11"/>
      <c r="D275" s="5"/>
      <c r="E275" s="6"/>
      <c r="F275" s="6"/>
      <c r="G275" s="5"/>
      <c r="H275" s="5"/>
      <c r="I275" s="5"/>
      <c r="J275" s="5"/>
      <c r="K275" s="5"/>
      <c r="L275" s="5"/>
      <c r="M275" s="5"/>
      <c r="N275" s="5"/>
      <c r="O275" s="5"/>
      <c r="P275" s="5"/>
      <c r="Q275" s="5"/>
      <c r="R275" s="5"/>
      <c r="S275" s="5"/>
      <c r="T275" s="5"/>
      <c r="U275" s="5"/>
      <c r="V275" s="5"/>
      <c r="W275" s="5"/>
      <c r="X275" s="5"/>
      <c r="Y275" s="5"/>
      <c r="Z275" s="5"/>
      <c r="AA275" s="5"/>
      <c r="AB275" s="5"/>
    </row>
    <row r="276" ht="15.75" customHeight="1">
      <c r="A276" s="8"/>
      <c r="B276" s="7"/>
      <c r="C276" s="5"/>
      <c r="D276" s="5"/>
      <c r="E276" s="6"/>
      <c r="F276" s="6"/>
      <c r="G276" s="5"/>
      <c r="H276" s="5"/>
      <c r="I276" s="5"/>
      <c r="J276" s="5"/>
      <c r="K276" s="5"/>
      <c r="L276" s="5"/>
      <c r="M276" s="5"/>
      <c r="N276" s="5"/>
      <c r="O276" s="5"/>
      <c r="P276" s="5"/>
      <c r="Q276" s="5"/>
      <c r="R276" s="5"/>
      <c r="S276" s="5"/>
      <c r="T276" s="5"/>
      <c r="U276" s="5"/>
      <c r="V276" s="5"/>
      <c r="W276" s="5"/>
      <c r="X276" s="5"/>
      <c r="Y276" s="5"/>
      <c r="Z276" s="5"/>
      <c r="AA276" s="5"/>
      <c r="AB276" s="5"/>
    </row>
    <row r="277" ht="15.75" customHeight="1">
      <c r="A277" s="8"/>
      <c r="B277" s="7"/>
      <c r="C277" s="5"/>
      <c r="D277" s="5"/>
      <c r="E277" s="6"/>
      <c r="F277" s="6"/>
      <c r="G277" s="5"/>
      <c r="H277" s="5"/>
      <c r="I277" s="5"/>
      <c r="J277" s="5"/>
      <c r="K277" s="5"/>
      <c r="L277" s="5"/>
      <c r="M277" s="5"/>
      <c r="N277" s="5"/>
      <c r="O277" s="5"/>
      <c r="P277" s="5"/>
      <c r="Q277" s="5"/>
      <c r="R277" s="5"/>
      <c r="S277" s="5"/>
      <c r="T277" s="5"/>
      <c r="U277" s="5"/>
      <c r="V277" s="5"/>
      <c r="W277" s="5"/>
      <c r="X277" s="5"/>
      <c r="Y277" s="5"/>
      <c r="Z277" s="5"/>
      <c r="AA277" s="5"/>
      <c r="AB277" s="5"/>
    </row>
    <row r="278" ht="15.75" customHeight="1">
      <c r="A278" s="8"/>
      <c r="B278" s="7"/>
      <c r="C278" s="5"/>
      <c r="D278" s="5"/>
      <c r="E278" s="6"/>
      <c r="F278" s="6"/>
      <c r="G278" s="5"/>
      <c r="H278" s="5"/>
      <c r="I278" s="5"/>
      <c r="J278" s="5"/>
      <c r="K278" s="5"/>
      <c r="L278" s="5"/>
      <c r="M278" s="5"/>
      <c r="N278" s="5"/>
      <c r="O278" s="5"/>
      <c r="P278" s="5"/>
      <c r="Q278" s="5"/>
      <c r="R278" s="5"/>
      <c r="S278" s="5"/>
      <c r="T278" s="5"/>
      <c r="U278" s="5"/>
      <c r="V278" s="5"/>
      <c r="W278" s="5"/>
      <c r="X278" s="5"/>
      <c r="Y278" s="5"/>
      <c r="Z278" s="5"/>
      <c r="AA278" s="5"/>
      <c r="AB278" s="5"/>
    </row>
    <row r="279" ht="15.75" customHeight="1">
      <c r="A279" s="8"/>
      <c r="B279" s="7"/>
      <c r="C279" s="5"/>
      <c r="D279" s="5"/>
      <c r="E279" s="6"/>
      <c r="F279" s="6"/>
      <c r="G279" s="5"/>
      <c r="H279" s="5"/>
      <c r="I279" s="3"/>
      <c r="J279" s="5"/>
      <c r="K279" s="5"/>
      <c r="L279" s="5"/>
      <c r="M279" s="5"/>
      <c r="N279" s="5"/>
      <c r="O279" s="5"/>
      <c r="P279" s="5"/>
      <c r="Q279" s="5"/>
      <c r="R279" s="5"/>
      <c r="S279" s="5"/>
      <c r="T279" s="5"/>
      <c r="U279" s="5"/>
      <c r="V279" s="5"/>
      <c r="W279" s="5"/>
      <c r="X279" s="5"/>
      <c r="Y279" s="5"/>
      <c r="Z279" s="5"/>
      <c r="AA279" s="5"/>
      <c r="AB279" s="5"/>
    </row>
    <row r="280" ht="15.75" customHeight="1">
      <c r="A280" s="8"/>
      <c r="B280" s="7"/>
      <c r="C280" s="5"/>
      <c r="D280" s="5"/>
      <c r="E280" s="6"/>
      <c r="F280" s="6"/>
      <c r="G280" s="5"/>
      <c r="H280" s="5"/>
      <c r="I280" s="5"/>
      <c r="J280" s="5"/>
      <c r="K280" s="5"/>
      <c r="L280" s="5"/>
      <c r="M280" s="5"/>
      <c r="N280" s="5"/>
      <c r="O280" s="5"/>
      <c r="P280" s="5"/>
      <c r="Q280" s="5"/>
      <c r="R280" s="5"/>
      <c r="S280" s="5"/>
      <c r="T280" s="5"/>
      <c r="U280" s="5"/>
      <c r="V280" s="5"/>
      <c r="W280" s="5"/>
      <c r="X280" s="5"/>
      <c r="Y280" s="5"/>
      <c r="Z280" s="5"/>
      <c r="AA280" s="5"/>
      <c r="AB280" s="5"/>
    </row>
    <row r="281" ht="15.75" customHeight="1">
      <c r="A281" s="8"/>
      <c r="B281" s="7"/>
      <c r="C281" s="5"/>
      <c r="D281" s="5"/>
      <c r="E281" s="6"/>
      <c r="F281" s="6"/>
      <c r="G281" s="5"/>
      <c r="H281" s="5"/>
      <c r="I281" s="5"/>
      <c r="J281" s="5"/>
      <c r="K281" s="5"/>
      <c r="L281" s="5"/>
      <c r="M281" s="5"/>
      <c r="N281" s="5"/>
      <c r="O281" s="5"/>
      <c r="P281" s="5"/>
      <c r="Q281" s="5"/>
      <c r="R281" s="5"/>
      <c r="S281" s="5"/>
      <c r="T281" s="5"/>
      <c r="U281" s="5"/>
      <c r="V281" s="5"/>
      <c r="W281" s="5"/>
      <c r="X281" s="5"/>
      <c r="Y281" s="5"/>
      <c r="Z281" s="5"/>
      <c r="AA281" s="5"/>
      <c r="AB281" s="5"/>
    </row>
    <row r="282" ht="15.75" customHeight="1">
      <c r="A282" s="8"/>
      <c r="B282" s="7"/>
      <c r="C282" s="5"/>
      <c r="D282" s="5"/>
      <c r="E282" s="6"/>
      <c r="F282" s="6"/>
      <c r="G282" s="5"/>
      <c r="H282" s="5"/>
      <c r="I282" s="5"/>
      <c r="J282" s="5"/>
      <c r="K282" s="5"/>
      <c r="L282" s="5"/>
      <c r="M282" s="5"/>
      <c r="N282" s="5"/>
      <c r="O282" s="5"/>
      <c r="P282" s="5"/>
      <c r="Q282" s="5"/>
      <c r="R282" s="5"/>
      <c r="S282" s="5"/>
      <c r="T282" s="5"/>
      <c r="U282" s="5"/>
      <c r="V282" s="5"/>
      <c r="W282" s="5"/>
      <c r="X282" s="5"/>
      <c r="Y282" s="5"/>
      <c r="Z282" s="5"/>
      <c r="AA282" s="5"/>
      <c r="AB282" s="5"/>
    </row>
    <row r="283" ht="15.75" customHeight="1">
      <c r="A283" s="8"/>
      <c r="B283" s="7"/>
      <c r="C283" s="5"/>
      <c r="D283" s="5"/>
      <c r="E283" s="6"/>
      <c r="F283" s="6"/>
      <c r="G283" s="5"/>
      <c r="H283" s="5"/>
      <c r="I283" s="5"/>
      <c r="J283" s="5"/>
      <c r="K283" s="5"/>
      <c r="L283" s="5"/>
      <c r="M283" s="5"/>
      <c r="N283" s="5"/>
      <c r="O283" s="5"/>
      <c r="P283" s="5"/>
      <c r="Q283" s="5"/>
      <c r="R283" s="5"/>
      <c r="S283" s="5"/>
      <c r="T283" s="5"/>
      <c r="U283" s="5"/>
      <c r="V283" s="5"/>
      <c r="W283" s="5"/>
      <c r="X283" s="5"/>
      <c r="Y283" s="5"/>
      <c r="Z283" s="5"/>
      <c r="AA283" s="5"/>
      <c r="AB283" s="5"/>
    </row>
    <row r="284" ht="15.75" customHeight="1">
      <c r="A284" s="8"/>
      <c r="B284" s="7"/>
      <c r="C284" s="5"/>
      <c r="D284" s="5"/>
      <c r="E284" s="6"/>
      <c r="F284" s="6"/>
      <c r="G284" s="5"/>
      <c r="H284" s="5"/>
      <c r="I284" s="5"/>
      <c r="J284" s="5"/>
      <c r="K284" s="5"/>
      <c r="L284" s="5"/>
      <c r="M284" s="5"/>
      <c r="N284" s="5"/>
      <c r="O284" s="5"/>
      <c r="P284" s="5"/>
      <c r="Q284" s="5"/>
      <c r="R284" s="5"/>
      <c r="S284" s="5"/>
      <c r="T284" s="5"/>
      <c r="U284" s="5"/>
      <c r="V284" s="5"/>
      <c r="W284" s="5"/>
      <c r="X284" s="5"/>
      <c r="Y284" s="5"/>
      <c r="Z284" s="5"/>
      <c r="AA284" s="5"/>
      <c r="AB284" s="5"/>
    </row>
    <row r="285" ht="15.75" customHeight="1">
      <c r="A285" s="8"/>
      <c r="B285" s="7"/>
      <c r="C285" s="5"/>
      <c r="D285" s="5"/>
      <c r="E285" s="6"/>
      <c r="F285" s="6"/>
      <c r="G285" s="5"/>
      <c r="H285" s="5"/>
      <c r="I285" s="5"/>
      <c r="J285" s="5"/>
      <c r="K285" s="5"/>
      <c r="L285" s="5"/>
      <c r="M285" s="5"/>
      <c r="N285" s="5"/>
      <c r="O285" s="5"/>
      <c r="P285" s="5"/>
      <c r="Q285" s="5"/>
      <c r="R285" s="5"/>
      <c r="S285" s="5"/>
      <c r="T285" s="5"/>
      <c r="U285" s="5"/>
      <c r="V285" s="5"/>
      <c r="W285" s="5"/>
      <c r="X285" s="5"/>
      <c r="Y285" s="5"/>
      <c r="Z285" s="5"/>
      <c r="AA285" s="5"/>
      <c r="AB285" s="5"/>
    </row>
    <row r="286" ht="15.75" customHeight="1">
      <c r="A286" s="8"/>
      <c r="B286" s="7"/>
      <c r="C286" s="5"/>
      <c r="D286" s="5"/>
      <c r="E286" s="6"/>
      <c r="F286" s="6"/>
      <c r="G286" s="5"/>
      <c r="H286" s="5"/>
      <c r="I286" s="5"/>
      <c r="J286" s="5"/>
      <c r="K286" s="5"/>
      <c r="L286" s="5"/>
      <c r="M286" s="5"/>
      <c r="N286" s="5"/>
      <c r="O286" s="5"/>
      <c r="P286" s="5"/>
      <c r="Q286" s="5"/>
      <c r="R286" s="5"/>
      <c r="S286" s="5"/>
      <c r="T286" s="5"/>
      <c r="U286" s="5"/>
      <c r="V286" s="5"/>
      <c r="W286" s="5"/>
      <c r="X286" s="5"/>
      <c r="Y286" s="5"/>
      <c r="Z286" s="5"/>
      <c r="AA286" s="5"/>
      <c r="AB286" s="5"/>
    </row>
    <row r="287" ht="15.75" customHeight="1">
      <c r="A287" s="8"/>
      <c r="B287" s="7"/>
      <c r="C287" s="5"/>
      <c r="D287" s="5"/>
      <c r="E287" s="6"/>
      <c r="F287" s="6"/>
      <c r="G287" s="5"/>
      <c r="H287" s="5"/>
      <c r="I287" s="5"/>
      <c r="J287" s="5"/>
      <c r="K287" s="5"/>
      <c r="L287" s="5"/>
      <c r="M287" s="5"/>
      <c r="N287" s="5"/>
      <c r="O287" s="5"/>
      <c r="P287" s="5"/>
      <c r="Q287" s="5"/>
      <c r="R287" s="5"/>
      <c r="S287" s="5"/>
      <c r="T287" s="5"/>
      <c r="U287" s="5"/>
      <c r="V287" s="5"/>
      <c r="W287" s="5"/>
      <c r="X287" s="5"/>
      <c r="Y287" s="5"/>
      <c r="Z287" s="5"/>
      <c r="AA287" s="5"/>
      <c r="AB287" s="5"/>
    </row>
    <row r="288" ht="15.75" customHeight="1">
      <c r="A288" s="8"/>
      <c r="B288" s="7"/>
      <c r="C288" s="5"/>
      <c r="D288" s="5"/>
      <c r="E288" s="6"/>
      <c r="F288" s="6"/>
      <c r="G288" s="5"/>
      <c r="H288" s="5"/>
      <c r="I288" s="5"/>
      <c r="J288" s="5"/>
      <c r="K288" s="5"/>
      <c r="L288" s="5"/>
      <c r="M288" s="5"/>
      <c r="N288" s="5"/>
      <c r="O288" s="5"/>
      <c r="P288" s="5"/>
      <c r="Q288" s="5"/>
      <c r="R288" s="5"/>
      <c r="S288" s="5"/>
      <c r="T288" s="5"/>
      <c r="U288" s="5"/>
      <c r="V288" s="5"/>
      <c r="W288" s="5"/>
      <c r="X288" s="5"/>
      <c r="Y288" s="5"/>
      <c r="Z288" s="5"/>
      <c r="AA288" s="5"/>
      <c r="AB288" s="5"/>
    </row>
    <row r="289" ht="15.75" customHeight="1">
      <c r="A289" s="8"/>
      <c r="B289" s="7"/>
      <c r="C289" s="5"/>
      <c r="D289" s="5"/>
      <c r="E289" s="6"/>
      <c r="F289" s="18"/>
      <c r="G289" s="5"/>
      <c r="H289" s="5"/>
      <c r="I289" s="5"/>
      <c r="J289" s="5"/>
      <c r="K289" s="5"/>
      <c r="L289" s="5"/>
      <c r="M289" s="5"/>
      <c r="N289" s="5"/>
      <c r="O289" s="5"/>
      <c r="P289" s="5"/>
      <c r="Q289" s="5"/>
      <c r="R289" s="5"/>
      <c r="S289" s="5"/>
      <c r="T289" s="5"/>
      <c r="U289" s="5"/>
      <c r="V289" s="5"/>
      <c r="W289" s="5"/>
      <c r="X289" s="5"/>
      <c r="Y289" s="5"/>
      <c r="Z289" s="5"/>
      <c r="AA289" s="5"/>
      <c r="AB289" s="5"/>
    </row>
    <row r="290" ht="15.75" customHeight="1">
      <c r="A290" s="8"/>
      <c r="B290" s="7"/>
      <c r="C290" s="5"/>
      <c r="D290" s="5"/>
      <c r="E290" s="19"/>
      <c r="F290" s="19"/>
      <c r="G290" s="5"/>
      <c r="H290" s="5"/>
      <c r="I290" s="5"/>
      <c r="J290" s="5"/>
      <c r="K290" s="5"/>
      <c r="L290" s="5"/>
      <c r="M290" s="5"/>
      <c r="N290" s="5"/>
      <c r="O290" s="5"/>
      <c r="P290" s="5"/>
      <c r="Q290" s="5"/>
      <c r="R290" s="5"/>
      <c r="S290" s="5"/>
      <c r="T290" s="5"/>
      <c r="U290" s="5"/>
      <c r="V290" s="5"/>
      <c r="W290" s="5"/>
      <c r="X290" s="5"/>
      <c r="Y290" s="5"/>
      <c r="Z290" s="5"/>
      <c r="AA290" s="5"/>
      <c r="AB290" s="5"/>
    </row>
    <row r="291" ht="15.75" customHeight="1">
      <c r="A291" s="8"/>
      <c r="B291" s="7"/>
      <c r="C291" s="5"/>
      <c r="D291" s="5"/>
      <c r="E291" s="19"/>
      <c r="F291" s="19"/>
      <c r="G291" s="5"/>
      <c r="H291" s="5"/>
      <c r="I291" s="5"/>
      <c r="J291" s="5"/>
      <c r="K291" s="5"/>
      <c r="L291" s="5"/>
      <c r="M291" s="5"/>
      <c r="N291" s="5"/>
      <c r="O291" s="5"/>
      <c r="P291" s="5"/>
      <c r="Q291" s="5"/>
      <c r="R291" s="5"/>
      <c r="S291" s="5"/>
      <c r="T291" s="5"/>
      <c r="U291" s="5"/>
      <c r="V291" s="5"/>
      <c r="W291" s="5"/>
      <c r="X291" s="5"/>
      <c r="Y291" s="5"/>
      <c r="Z291" s="5"/>
      <c r="AA291" s="5"/>
      <c r="AB291" s="5"/>
    </row>
    <row r="292" ht="15.75" customHeight="1">
      <c r="A292" s="8"/>
      <c r="B292" s="7"/>
      <c r="C292" s="5"/>
      <c r="D292" s="5"/>
      <c r="E292" s="6"/>
      <c r="F292" s="6"/>
      <c r="G292" s="5"/>
      <c r="H292" s="5"/>
      <c r="I292" s="5"/>
      <c r="J292" s="5"/>
      <c r="K292" s="5"/>
      <c r="L292" s="5"/>
      <c r="M292" s="5"/>
      <c r="N292" s="5"/>
      <c r="O292" s="5"/>
      <c r="P292" s="5"/>
      <c r="Q292" s="5"/>
      <c r="R292" s="5"/>
      <c r="S292" s="5"/>
      <c r="T292" s="5"/>
      <c r="U292" s="5"/>
      <c r="V292" s="5"/>
      <c r="W292" s="5"/>
      <c r="X292" s="5"/>
      <c r="Y292" s="5"/>
      <c r="Z292" s="5"/>
      <c r="AA292" s="5"/>
      <c r="AB292" s="5"/>
    </row>
    <row r="293" ht="15.75" customHeight="1">
      <c r="A293" s="8"/>
      <c r="B293" s="7"/>
      <c r="C293" s="5"/>
      <c r="D293" s="5"/>
      <c r="E293" s="19"/>
      <c r="F293" s="19"/>
      <c r="G293" s="5"/>
      <c r="H293" s="5"/>
      <c r="I293" s="5"/>
      <c r="J293" s="5"/>
      <c r="K293" s="5"/>
      <c r="L293" s="5"/>
      <c r="M293" s="5"/>
      <c r="N293" s="5"/>
      <c r="O293" s="5"/>
      <c r="P293" s="5"/>
      <c r="Q293" s="5"/>
      <c r="R293" s="5"/>
      <c r="S293" s="5"/>
      <c r="T293" s="5"/>
      <c r="U293" s="5"/>
      <c r="V293" s="5"/>
      <c r="W293" s="5"/>
      <c r="X293" s="5"/>
      <c r="Y293" s="5"/>
      <c r="Z293" s="5"/>
      <c r="AA293" s="5"/>
      <c r="AB293" s="5"/>
    </row>
    <row r="294" ht="15.75" customHeight="1">
      <c r="A294" s="8"/>
      <c r="B294" s="7"/>
      <c r="C294" s="5"/>
      <c r="D294" s="5"/>
      <c r="E294" s="19"/>
      <c r="F294" s="19"/>
      <c r="G294" s="5"/>
      <c r="H294" s="5"/>
      <c r="I294" s="5"/>
      <c r="J294" s="5"/>
      <c r="K294" s="5"/>
      <c r="L294" s="5"/>
      <c r="M294" s="5"/>
      <c r="N294" s="5"/>
      <c r="O294" s="5"/>
      <c r="P294" s="5"/>
      <c r="Q294" s="5"/>
      <c r="R294" s="5"/>
      <c r="S294" s="5"/>
      <c r="T294" s="5"/>
      <c r="U294" s="5"/>
      <c r="V294" s="5"/>
      <c r="W294" s="5"/>
      <c r="X294" s="5"/>
      <c r="Y294" s="5"/>
      <c r="Z294" s="5"/>
      <c r="AA294" s="5"/>
      <c r="AB294" s="5"/>
    </row>
    <row r="295" ht="15.75" customHeight="1">
      <c r="A295" s="8"/>
      <c r="B295" s="7"/>
      <c r="C295" s="5"/>
      <c r="D295" s="5"/>
      <c r="E295" s="19"/>
      <c r="F295" s="19"/>
      <c r="G295" s="5"/>
      <c r="H295" s="5"/>
      <c r="I295" s="5"/>
      <c r="J295" s="5"/>
      <c r="K295" s="5"/>
      <c r="L295" s="5"/>
      <c r="M295" s="5"/>
      <c r="N295" s="5"/>
      <c r="O295" s="5"/>
      <c r="P295" s="5"/>
      <c r="Q295" s="5"/>
      <c r="R295" s="5"/>
      <c r="S295" s="5"/>
      <c r="T295" s="5"/>
      <c r="U295" s="5"/>
      <c r="V295" s="5"/>
      <c r="W295" s="5"/>
      <c r="X295" s="5"/>
      <c r="Y295" s="5"/>
      <c r="Z295" s="5"/>
      <c r="AA295" s="5"/>
      <c r="AB295" s="5"/>
    </row>
    <row r="296" ht="15.75" customHeight="1">
      <c r="A296" s="8"/>
      <c r="B296" s="7"/>
      <c r="C296" s="5"/>
      <c r="D296" s="5"/>
      <c r="E296" s="19"/>
      <c r="F296" s="19"/>
      <c r="G296" s="5"/>
      <c r="H296" s="5"/>
      <c r="I296" s="5"/>
      <c r="J296" s="5"/>
      <c r="K296" s="5"/>
      <c r="L296" s="5"/>
      <c r="M296" s="5"/>
      <c r="N296" s="5"/>
      <c r="O296" s="5"/>
      <c r="P296" s="5"/>
      <c r="Q296" s="5"/>
      <c r="R296" s="5"/>
      <c r="S296" s="5"/>
      <c r="T296" s="5"/>
      <c r="U296" s="5"/>
      <c r="V296" s="5"/>
      <c r="W296" s="5"/>
      <c r="X296" s="5"/>
      <c r="Y296" s="5"/>
      <c r="Z296" s="5"/>
      <c r="AA296" s="5"/>
      <c r="AB296" s="5"/>
    </row>
    <row r="297" ht="15.75" customHeight="1">
      <c r="A297" s="8"/>
      <c r="B297" s="7"/>
      <c r="C297" s="5"/>
      <c r="D297" s="5"/>
      <c r="E297" s="6"/>
      <c r="F297" s="6"/>
      <c r="G297" s="5"/>
      <c r="H297" s="5"/>
      <c r="I297" s="5"/>
      <c r="J297" s="5"/>
      <c r="K297" s="5"/>
      <c r="L297" s="5"/>
      <c r="M297" s="5"/>
      <c r="N297" s="5"/>
      <c r="O297" s="5"/>
      <c r="P297" s="5"/>
      <c r="Q297" s="5"/>
      <c r="R297" s="5"/>
      <c r="S297" s="5"/>
      <c r="T297" s="5"/>
      <c r="U297" s="5"/>
      <c r="V297" s="5"/>
      <c r="W297" s="5"/>
      <c r="X297" s="5"/>
      <c r="Y297" s="5"/>
      <c r="Z297" s="5"/>
      <c r="AA297" s="5"/>
      <c r="AB297" s="5"/>
    </row>
    <row r="298" ht="15.75" customHeight="1">
      <c r="A298" s="8"/>
      <c r="B298" s="7"/>
      <c r="C298" s="5"/>
      <c r="D298" s="5"/>
      <c r="E298" s="20"/>
      <c r="F298" s="20"/>
      <c r="G298" s="5"/>
      <c r="H298" s="5"/>
      <c r="I298" s="5"/>
      <c r="J298" s="5"/>
      <c r="K298" s="5"/>
      <c r="L298" s="5"/>
      <c r="M298" s="5"/>
      <c r="N298" s="5"/>
      <c r="O298" s="5"/>
      <c r="P298" s="5"/>
      <c r="Q298" s="5"/>
      <c r="R298" s="5"/>
      <c r="S298" s="5"/>
      <c r="T298" s="5"/>
      <c r="U298" s="5"/>
      <c r="V298" s="5"/>
      <c r="W298" s="5"/>
      <c r="X298" s="5"/>
      <c r="Y298" s="5"/>
      <c r="Z298" s="5"/>
      <c r="AA298" s="5"/>
      <c r="AB298" s="5"/>
    </row>
    <row r="299" ht="15.75" customHeight="1">
      <c r="A299" s="8"/>
      <c r="B299" s="7"/>
      <c r="C299" s="5"/>
      <c r="D299" s="5"/>
      <c r="E299" s="21"/>
      <c r="F299" s="21"/>
      <c r="G299" s="5"/>
      <c r="H299" s="5"/>
      <c r="I299" s="5"/>
      <c r="J299" s="5"/>
      <c r="K299" s="5"/>
      <c r="L299" s="5"/>
      <c r="M299" s="5"/>
      <c r="N299" s="5"/>
      <c r="O299" s="5"/>
      <c r="P299" s="5"/>
      <c r="Q299" s="5"/>
      <c r="R299" s="5"/>
      <c r="S299" s="5"/>
      <c r="T299" s="5"/>
      <c r="U299" s="5"/>
      <c r="V299" s="5"/>
      <c r="W299" s="5"/>
      <c r="X299" s="5"/>
      <c r="Y299" s="5"/>
      <c r="Z299" s="5"/>
      <c r="AA299" s="5"/>
      <c r="AB299" s="5"/>
    </row>
    <row r="300" ht="15.75" customHeight="1">
      <c r="A300" s="8"/>
      <c r="B300" s="7"/>
      <c r="C300" s="5"/>
      <c r="D300" s="5"/>
      <c r="E300" s="19"/>
      <c r="F300" s="19"/>
      <c r="G300" s="5"/>
      <c r="H300" s="5"/>
      <c r="I300" s="5"/>
      <c r="J300" s="5"/>
      <c r="K300" s="5"/>
      <c r="L300" s="5"/>
      <c r="M300" s="5"/>
      <c r="N300" s="5"/>
      <c r="O300" s="5"/>
      <c r="P300" s="5"/>
      <c r="Q300" s="5"/>
      <c r="R300" s="5"/>
      <c r="S300" s="5"/>
      <c r="T300" s="5"/>
      <c r="U300" s="5"/>
      <c r="V300" s="5"/>
      <c r="W300" s="5"/>
      <c r="X300" s="5"/>
      <c r="Y300" s="5"/>
      <c r="Z300" s="5"/>
      <c r="AA300" s="5"/>
      <c r="AB300" s="5"/>
    </row>
    <row r="301" ht="15.75" customHeight="1">
      <c r="A301" s="8"/>
      <c r="B301" s="7"/>
      <c r="C301" s="5"/>
      <c r="D301" s="5"/>
      <c r="E301" s="19"/>
      <c r="F301" s="19"/>
      <c r="G301" s="5"/>
      <c r="H301" s="5"/>
      <c r="I301" s="5"/>
      <c r="J301" s="5"/>
      <c r="K301" s="5"/>
      <c r="L301" s="5"/>
      <c r="M301" s="5"/>
      <c r="N301" s="5"/>
      <c r="O301" s="5"/>
      <c r="P301" s="5"/>
      <c r="Q301" s="5"/>
      <c r="R301" s="5"/>
      <c r="S301" s="5"/>
      <c r="T301" s="5"/>
      <c r="U301" s="5"/>
      <c r="V301" s="5"/>
      <c r="W301" s="5"/>
      <c r="X301" s="5"/>
      <c r="Y301" s="5"/>
      <c r="Z301" s="5"/>
      <c r="AA301" s="5"/>
      <c r="AB301" s="5"/>
    </row>
    <row r="302" ht="15.75" customHeight="1">
      <c r="A302" s="8"/>
      <c r="B302" s="7"/>
      <c r="C302" s="5"/>
      <c r="D302" s="5"/>
      <c r="E302" s="20"/>
      <c r="F302" s="20"/>
      <c r="G302" s="5"/>
      <c r="H302" s="5"/>
      <c r="I302" s="5"/>
      <c r="J302" s="5"/>
      <c r="K302" s="5"/>
      <c r="L302" s="5"/>
      <c r="M302" s="5"/>
      <c r="N302" s="5"/>
      <c r="O302" s="5"/>
      <c r="P302" s="5"/>
      <c r="Q302" s="5"/>
      <c r="R302" s="5"/>
      <c r="S302" s="5"/>
      <c r="T302" s="5"/>
      <c r="U302" s="5"/>
      <c r="V302" s="5"/>
      <c r="W302" s="5"/>
      <c r="X302" s="5"/>
      <c r="Y302" s="5"/>
      <c r="Z302" s="5"/>
      <c r="AA302" s="5"/>
      <c r="AB302" s="5"/>
    </row>
    <row r="303" ht="15.75" customHeight="1">
      <c r="A303" s="8"/>
      <c r="B303" s="7"/>
      <c r="C303" s="5"/>
      <c r="D303" s="5"/>
      <c r="E303" s="19"/>
      <c r="F303" s="19"/>
      <c r="G303" s="5"/>
      <c r="H303" s="5"/>
      <c r="I303" s="5"/>
      <c r="J303" s="5"/>
      <c r="K303" s="5"/>
      <c r="L303" s="5"/>
      <c r="M303" s="5"/>
      <c r="N303" s="5"/>
      <c r="O303" s="5"/>
      <c r="P303" s="5"/>
      <c r="Q303" s="5"/>
      <c r="R303" s="5"/>
      <c r="S303" s="5"/>
      <c r="T303" s="5"/>
      <c r="U303" s="5"/>
      <c r="V303" s="5"/>
      <c r="W303" s="5"/>
      <c r="X303" s="5"/>
      <c r="Y303" s="5"/>
      <c r="Z303" s="5"/>
      <c r="AA303" s="5"/>
      <c r="AB303" s="5"/>
    </row>
    <row r="304" ht="37.5" customHeight="1">
      <c r="A304" s="8"/>
      <c r="B304" s="7"/>
      <c r="C304" s="12"/>
      <c r="D304" s="12"/>
      <c r="E304" s="22"/>
      <c r="F304" s="22"/>
      <c r="G304" s="12"/>
      <c r="H304" s="12"/>
      <c r="I304" s="12"/>
      <c r="J304" s="5"/>
      <c r="K304" s="5"/>
      <c r="L304" s="13"/>
      <c r="M304" s="5"/>
      <c r="N304" s="5"/>
      <c r="O304" s="5"/>
      <c r="P304" s="5"/>
      <c r="Q304" s="5"/>
      <c r="R304" s="5"/>
      <c r="S304" s="5"/>
      <c r="T304" s="5"/>
      <c r="U304" s="5"/>
      <c r="V304" s="5"/>
      <c r="W304" s="5"/>
      <c r="X304" s="5"/>
      <c r="Y304" s="5"/>
      <c r="Z304" s="5"/>
      <c r="AA304" s="5"/>
      <c r="AB304" s="5"/>
    </row>
    <row r="305" ht="15.75" customHeight="1">
      <c r="A305" s="8"/>
      <c r="B305" s="7"/>
      <c r="C305" s="11"/>
      <c r="D305" s="5"/>
      <c r="E305" s="6"/>
      <c r="F305" s="6"/>
      <c r="G305" s="5"/>
      <c r="H305" s="3"/>
      <c r="I305" s="3"/>
      <c r="J305" s="5"/>
      <c r="K305" s="5"/>
      <c r="L305" s="5"/>
      <c r="M305" s="5"/>
      <c r="N305" s="5"/>
      <c r="O305" s="5"/>
      <c r="P305" s="5"/>
      <c r="Q305" s="5"/>
      <c r="R305" s="5"/>
      <c r="S305" s="5"/>
      <c r="T305" s="5"/>
      <c r="U305" s="5"/>
      <c r="V305" s="5"/>
      <c r="W305" s="5"/>
      <c r="X305" s="5"/>
      <c r="Y305" s="5"/>
      <c r="Z305" s="5"/>
      <c r="AA305" s="5"/>
      <c r="AB305" s="5"/>
    </row>
    <row r="306" ht="37.5" customHeight="1">
      <c r="A306" s="8"/>
      <c r="B306" s="7"/>
      <c r="C306" s="5"/>
      <c r="D306" s="5"/>
      <c r="E306" s="6"/>
      <c r="F306" s="6"/>
      <c r="G306" s="5"/>
      <c r="H306" s="5"/>
      <c r="I306" s="5"/>
      <c r="J306" s="5"/>
      <c r="K306" s="5"/>
      <c r="L306" s="13"/>
      <c r="M306" s="5"/>
      <c r="N306" s="5"/>
      <c r="O306" s="5"/>
      <c r="P306" s="5"/>
      <c r="Q306" s="5"/>
      <c r="R306" s="5"/>
      <c r="S306" s="5"/>
      <c r="T306" s="5"/>
      <c r="U306" s="5"/>
      <c r="V306" s="5"/>
      <c r="W306" s="5"/>
      <c r="X306" s="5"/>
      <c r="Y306" s="5"/>
      <c r="Z306" s="5"/>
      <c r="AA306" s="5"/>
      <c r="AB306" s="5"/>
    </row>
    <row r="307" ht="15.75" customHeight="1">
      <c r="A307" s="8"/>
      <c r="B307" s="7"/>
      <c r="C307" s="5"/>
      <c r="D307" s="5"/>
      <c r="E307" s="6"/>
      <c r="F307" s="6"/>
      <c r="G307" s="5"/>
      <c r="H307" s="5"/>
      <c r="I307" s="5"/>
      <c r="J307" s="12"/>
      <c r="K307" s="5"/>
      <c r="L307" s="5"/>
      <c r="M307" s="5"/>
      <c r="N307" s="5"/>
      <c r="O307" s="5"/>
      <c r="P307" s="5"/>
      <c r="Q307" s="5"/>
      <c r="R307" s="5"/>
      <c r="S307" s="5"/>
      <c r="T307" s="5"/>
      <c r="U307" s="5"/>
      <c r="V307" s="5"/>
      <c r="W307" s="5"/>
      <c r="X307" s="5"/>
      <c r="Y307" s="5"/>
      <c r="Z307" s="5"/>
      <c r="AA307" s="5"/>
      <c r="AB307" s="5"/>
    </row>
    <row r="308" ht="15.75" customHeight="1">
      <c r="A308" s="8"/>
      <c r="B308" s="7"/>
      <c r="C308" s="5"/>
      <c r="D308" s="5"/>
      <c r="E308" s="6"/>
      <c r="F308" s="6"/>
      <c r="G308" s="5"/>
      <c r="H308" s="12"/>
      <c r="I308" s="5"/>
      <c r="J308" s="5"/>
      <c r="K308" s="5"/>
      <c r="L308" s="5"/>
      <c r="M308" s="5"/>
      <c r="N308" s="5"/>
      <c r="O308" s="5"/>
      <c r="P308" s="5"/>
      <c r="Q308" s="5"/>
      <c r="R308" s="5"/>
      <c r="S308" s="5"/>
      <c r="T308" s="5"/>
      <c r="U308" s="5"/>
      <c r="V308" s="5"/>
      <c r="W308" s="5"/>
      <c r="X308" s="5"/>
      <c r="Y308" s="5"/>
      <c r="Z308" s="5"/>
      <c r="AA308" s="5"/>
      <c r="AB308" s="5"/>
    </row>
    <row r="309" ht="15.75" customHeight="1">
      <c r="A309" s="8"/>
      <c r="B309" s="7"/>
      <c r="C309" s="5"/>
      <c r="D309" s="5"/>
      <c r="E309" s="6"/>
      <c r="F309" s="6"/>
      <c r="G309" s="5"/>
      <c r="H309" s="5"/>
      <c r="I309" s="5"/>
      <c r="J309" s="5"/>
      <c r="K309" s="5"/>
      <c r="L309" s="5"/>
      <c r="M309" s="5"/>
      <c r="N309" s="5"/>
      <c r="O309" s="5"/>
      <c r="P309" s="5"/>
      <c r="Q309" s="5"/>
      <c r="R309" s="5"/>
      <c r="S309" s="5"/>
      <c r="T309" s="5"/>
      <c r="U309" s="5"/>
      <c r="V309" s="5"/>
      <c r="W309" s="5"/>
      <c r="X309" s="5"/>
      <c r="Y309" s="5"/>
      <c r="Z309" s="5"/>
      <c r="AA309" s="5"/>
      <c r="AB309" s="5"/>
    </row>
    <row r="310" ht="15.75" customHeight="1">
      <c r="A310" s="8"/>
      <c r="B310" s="7"/>
      <c r="C310" s="5"/>
      <c r="D310" s="5"/>
      <c r="E310" s="6"/>
      <c r="F310" s="6"/>
      <c r="G310" s="5"/>
      <c r="H310" s="5"/>
      <c r="I310" s="5"/>
      <c r="J310" s="5"/>
      <c r="K310" s="5"/>
      <c r="L310" s="5"/>
      <c r="M310" s="5"/>
      <c r="N310" s="5"/>
      <c r="O310" s="5"/>
      <c r="P310" s="5"/>
      <c r="Q310" s="5"/>
      <c r="R310" s="5"/>
      <c r="S310" s="5"/>
      <c r="T310" s="5"/>
      <c r="U310" s="5"/>
      <c r="V310" s="5"/>
      <c r="W310" s="5"/>
      <c r="X310" s="5"/>
      <c r="Y310" s="5"/>
      <c r="Z310" s="5"/>
      <c r="AA310" s="5"/>
      <c r="AB310" s="5"/>
    </row>
    <row r="311" ht="15.75" customHeight="1">
      <c r="A311" s="8"/>
      <c r="B311" s="7"/>
      <c r="C311" s="5"/>
      <c r="D311" s="5"/>
      <c r="E311" s="6"/>
      <c r="F311" s="6"/>
      <c r="G311" s="5"/>
      <c r="H311" s="5"/>
      <c r="I311" s="5"/>
      <c r="J311" s="5"/>
      <c r="K311" s="5"/>
      <c r="L311" s="5"/>
      <c r="M311" s="5"/>
      <c r="N311" s="5"/>
      <c r="O311" s="5"/>
      <c r="P311" s="5"/>
      <c r="Q311" s="5"/>
      <c r="R311" s="5"/>
      <c r="S311" s="5"/>
      <c r="T311" s="5"/>
      <c r="U311" s="5"/>
      <c r="V311" s="5"/>
      <c r="W311" s="5"/>
      <c r="X311" s="5"/>
      <c r="Y311" s="5"/>
      <c r="Z311" s="5"/>
      <c r="AA311" s="5"/>
      <c r="AB311" s="5"/>
    </row>
    <row r="312" ht="15.75" customHeight="1">
      <c r="A312" s="8"/>
      <c r="B312" s="7"/>
      <c r="C312" s="5"/>
      <c r="D312" s="5"/>
      <c r="E312" s="6"/>
      <c r="F312" s="6"/>
      <c r="G312" s="5"/>
      <c r="H312" s="5"/>
      <c r="I312" s="5"/>
      <c r="J312" s="5"/>
      <c r="K312" s="5"/>
      <c r="L312" s="5"/>
      <c r="M312" s="5"/>
      <c r="N312" s="5"/>
      <c r="O312" s="5"/>
      <c r="P312" s="5"/>
      <c r="Q312" s="5"/>
      <c r="R312" s="5"/>
      <c r="S312" s="5"/>
      <c r="T312" s="5"/>
      <c r="U312" s="5"/>
      <c r="V312" s="5"/>
      <c r="W312" s="5"/>
      <c r="X312" s="5"/>
      <c r="Y312" s="5"/>
      <c r="Z312" s="5"/>
      <c r="AA312" s="5"/>
      <c r="AB312" s="5"/>
    </row>
    <row r="313" ht="15.75" customHeight="1">
      <c r="A313" s="8"/>
      <c r="B313" s="7"/>
      <c r="C313" s="5"/>
      <c r="D313" s="5"/>
      <c r="E313" s="6"/>
      <c r="F313" s="6"/>
      <c r="G313" s="5"/>
      <c r="H313" s="5"/>
      <c r="I313" s="5"/>
      <c r="J313" s="5"/>
      <c r="K313" s="5"/>
      <c r="L313" s="5"/>
      <c r="M313" s="5"/>
      <c r="N313" s="5"/>
      <c r="O313" s="5"/>
      <c r="P313" s="5"/>
      <c r="Q313" s="5"/>
      <c r="R313" s="5"/>
      <c r="S313" s="5"/>
      <c r="T313" s="5"/>
      <c r="U313" s="5"/>
      <c r="V313" s="5"/>
      <c r="W313" s="5"/>
      <c r="X313" s="5"/>
      <c r="Y313" s="5"/>
      <c r="Z313" s="5"/>
      <c r="AA313" s="5"/>
      <c r="AB313" s="5"/>
    </row>
    <row r="314" ht="15.75" customHeight="1">
      <c r="A314" s="8"/>
      <c r="B314" s="7"/>
      <c r="C314" s="5"/>
      <c r="D314" s="5"/>
      <c r="E314" s="6"/>
      <c r="F314" s="6"/>
      <c r="G314" s="5"/>
      <c r="H314" s="5"/>
      <c r="I314" s="5"/>
      <c r="J314" s="5"/>
      <c r="K314" s="5"/>
      <c r="L314" s="5"/>
      <c r="M314" s="5"/>
      <c r="N314" s="5"/>
      <c r="O314" s="5"/>
      <c r="P314" s="5"/>
      <c r="Q314" s="5"/>
      <c r="R314" s="5"/>
      <c r="S314" s="5"/>
      <c r="T314" s="5"/>
      <c r="U314" s="5"/>
      <c r="V314" s="5"/>
      <c r="W314" s="5"/>
      <c r="X314" s="5"/>
      <c r="Y314" s="5"/>
      <c r="Z314" s="5"/>
      <c r="AA314" s="5"/>
      <c r="AB314" s="5"/>
    </row>
    <row r="315" ht="15.75" customHeight="1">
      <c r="A315" s="8"/>
      <c r="B315" s="7"/>
      <c r="C315" s="5"/>
      <c r="D315" s="5"/>
      <c r="E315" s="6"/>
      <c r="F315" s="6"/>
      <c r="G315" s="5"/>
      <c r="H315" s="5"/>
      <c r="I315" s="5"/>
      <c r="J315" s="5"/>
      <c r="K315" s="5"/>
      <c r="L315" s="5"/>
      <c r="M315" s="5"/>
      <c r="N315" s="5"/>
      <c r="O315" s="5"/>
      <c r="P315" s="5"/>
      <c r="Q315" s="5"/>
      <c r="R315" s="5"/>
      <c r="S315" s="5"/>
      <c r="T315" s="5"/>
      <c r="U315" s="5"/>
      <c r="V315" s="5"/>
      <c r="W315" s="5"/>
      <c r="X315" s="5"/>
      <c r="Y315" s="5"/>
      <c r="Z315" s="5"/>
      <c r="AA315" s="5"/>
      <c r="AB315" s="5"/>
    </row>
    <row r="316" ht="15.75" customHeight="1">
      <c r="A316" s="8"/>
      <c r="B316" s="7"/>
      <c r="C316" s="5"/>
      <c r="D316" s="5"/>
      <c r="E316" s="6"/>
      <c r="F316" s="6"/>
      <c r="G316" s="5"/>
      <c r="H316" s="5"/>
      <c r="I316" s="5"/>
      <c r="J316" s="5"/>
      <c r="K316" s="5"/>
      <c r="L316" s="5"/>
      <c r="M316" s="5"/>
      <c r="N316" s="5"/>
      <c r="O316" s="5"/>
      <c r="P316" s="5"/>
      <c r="Q316" s="5"/>
      <c r="R316" s="5"/>
      <c r="S316" s="5"/>
      <c r="T316" s="5"/>
      <c r="U316" s="5"/>
      <c r="V316" s="5"/>
      <c r="W316" s="5"/>
      <c r="X316" s="5"/>
      <c r="Y316" s="5"/>
      <c r="Z316" s="5"/>
      <c r="AA316" s="5"/>
      <c r="AB316" s="5"/>
    </row>
    <row r="317" ht="15.75" customHeight="1">
      <c r="A317" s="8"/>
      <c r="B317" s="7"/>
      <c r="C317" s="5"/>
      <c r="D317" s="5"/>
      <c r="E317" s="6"/>
      <c r="F317" s="6"/>
      <c r="G317" s="5"/>
      <c r="H317" s="5"/>
      <c r="I317" s="5"/>
      <c r="J317" s="5"/>
      <c r="K317" s="5"/>
      <c r="L317" s="5"/>
      <c r="M317" s="5"/>
      <c r="N317" s="5"/>
      <c r="O317" s="5"/>
      <c r="P317" s="5"/>
      <c r="Q317" s="5"/>
      <c r="R317" s="5"/>
      <c r="S317" s="5"/>
      <c r="T317" s="5"/>
      <c r="U317" s="5"/>
      <c r="V317" s="5"/>
      <c r="W317" s="5"/>
      <c r="X317" s="5"/>
      <c r="Y317" s="5"/>
      <c r="Z317" s="5"/>
      <c r="AA317" s="5"/>
      <c r="AB317" s="5"/>
    </row>
    <row r="318" ht="15.75" customHeight="1">
      <c r="A318" s="8"/>
      <c r="B318" s="7"/>
      <c r="C318" s="5"/>
      <c r="D318" s="5"/>
      <c r="E318" s="6"/>
      <c r="F318" s="6"/>
      <c r="G318" s="5"/>
      <c r="H318" s="5"/>
      <c r="I318" s="5"/>
      <c r="J318" s="5"/>
      <c r="K318" s="5"/>
      <c r="L318" s="5"/>
      <c r="M318" s="5"/>
      <c r="N318" s="5"/>
      <c r="O318" s="5"/>
      <c r="P318" s="5"/>
      <c r="Q318" s="5"/>
      <c r="R318" s="5"/>
      <c r="S318" s="5"/>
      <c r="T318" s="5"/>
      <c r="U318" s="5"/>
      <c r="V318" s="5"/>
      <c r="W318" s="5"/>
      <c r="X318" s="5"/>
      <c r="Y318" s="5"/>
      <c r="Z318" s="5"/>
      <c r="AA318" s="5"/>
      <c r="AB318" s="5"/>
    </row>
    <row r="319" ht="15.75" customHeight="1">
      <c r="A319" s="8"/>
      <c r="B319" s="7"/>
      <c r="C319" s="5"/>
      <c r="D319" s="5"/>
      <c r="E319" s="6"/>
      <c r="F319" s="6"/>
      <c r="G319" s="5"/>
      <c r="H319" s="5"/>
      <c r="I319" s="5"/>
      <c r="J319" s="5"/>
      <c r="K319" s="5"/>
      <c r="L319" s="5"/>
      <c r="M319" s="5"/>
      <c r="N319" s="5"/>
      <c r="O319" s="5"/>
      <c r="P319" s="5"/>
      <c r="Q319" s="5"/>
      <c r="R319" s="5"/>
      <c r="S319" s="5"/>
      <c r="T319" s="5"/>
      <c r="U319" s="5"/>
      <c r="V319" s="5"/>
      <c r="W319" s="5"/>
      <c r="X319" s="5"/>
      <c r="Y319" s="5"/>
      <c r="Z319" s="5"/>
      <c r="AA319" s="5"/>
      <c r="AB319" s="5"/>
    </row>
    <row r="320" ht="15.75" customHeight="1">
      <c r="A320" s="8"/>
      <c r="B320" s="7"/>
      <c r="C320" s="5"/>
      <c r="D320" s="5"/>
      <c r="E320" s="6"/>
      <c r="F320" s="6"/>
      <c r="G320" s="5"/>
      <c r="H320" s="5"/>
      <c r="I320" s="5"/>
      <c r="J320" s="5"/>
      <c r="K320" s="5"/>
      <c r="L320" s="5"/>
      <c r="M320" s="5"/>
      <c r="N320" s="5"/>
      <c r="O320" s="5"/>
      <c r="P320" s="5"/>
      <c r="Q320" s="5"/>
      <c r="R320" s="5"/>
      <c r="S320" s="5"/>
      <c r="T320" s="5"/>
      <c r="U320" s="5"/>
      <c r="V320" s="5"/>
      <c r="W320" s="5"/>
      <c r="X320" s="5"/>
      <c r="Y320" s="5"/>
      <c r="Z320" s="5"/>
      <c r="AA320" s="5"/>
      <c r="AB320" s="5"/>
    </row>
    <row r="321" ht="15.75" customHeight="1">
      <c r="A321" s="8"/>
      <c r="B321" s="7"/>
      <c r="C321" s="5"/>
      <c r="D321" s="5"/>
      <c r="E321" s="6"/>
      <c r="F321" s="6"/>
      <c r="G321" s="5"/>
      <c r="H321" s="5"/>
      <c r="I321" s="5"/>
      <c r="J321" s="5"/>
      <c r="K321" s="5"/>
      <c r="L321" s="5"/>
      <c r="M321" s="5"/>
      <c r="N321" s="5"/>
      <c r="O321" s="5"/>
      <c r="P321" s="5"/>
      <c r="Q321" s="5"/>
      <c r="R321" s="5"/>
      <c r="S321" s="5"/>
      <c r="T321" s="5"/>
      <c r="U321" s="5"/>
      <c r="V321" s="5"/>
      <c r="W321" s="5"/>
      <c r="X321" s="5"/>
      <c r="Y321" s="5"/>
      <c r="Z321" s="5"/>
      <c r="AA321" s="5"/>
      <c r="AB321" s="5"/>
    </row>
    <row r="322" ht="15.75" customHeight="1">
      <c r="A322" s="8"/>
      <c r="B322" s="7"/>
      <c r="C322" s="5"/>
      <c r="D322" s="5"/>
      <c r="E322" s="6"/>
      <c r="F322" s="6"/>
      <c r="G322" s="5"/>
      <c r="H322" s="5"/>
      <c r="I322" s="5"/>
      <c r="J322" s="5"/>
      <c r="K322" s="5"/>
      <c r="L322" s="5"/>
      <c r="M322" s="5"/>
      <c r="N322" s="5"/>
      <c r="O322" s="5"/>
      <c r="P322" s="5"/>
      <c r="Q322" s="5"/>
      <c r="R322" s="5"/>
      <c r="S322" s="5"/>
      <c r="T322" s="5"/>
      <c r="U322" s="5"/>
      <c r="V322" s="5"/>
      <c r="W322" s="5"/>
      <c r="X322" s="5"/>
      <c r="Y322" s="5"/>
      <c r="Z322" s="5"/>
      <c r="AA322" s="5"/>
      <c r="AB322" s="5"/>
    </row>
    <row r="323" ht="15.75" customHeight="1">
      <c r="A323" s="8"/>
      <c r="B323" s="7"/>
      <c r="C323" s="5"/>
      <c r="D323" s="5"/>
      <c r="E323" s="6"/>
      <c r="F323" s="6"/>
      <c r="G323" s="5"/>
      <c r="H323" s="5"/>
      <c r="I323" s="5"/>
      <c r="J323" s="5"/>
      <c r="K323" s="5"/>
      <c r="L323" s="5"/>
      <c r="M323" s="5"/>
      <c r="N323" s="5"/>
      <c r="O323" s="5"/>
      <c r="P323" s="5"/>
      <c r="Q323" s="5"/>
      <c r="R323" s="5"/>
      <c r="S323" s="5"/>
      <c r="T323" s="5"/>
      <c r="U323" s="5"/>
      <c r="V323" s="5"/>
      <c r="W323" s="5"/>
      <c r="X323" s="5"/>
      <c r="Y323" s="5"/>
      <c r="Z323" s="5"/>
      <c r="AA323" s="5"/>
      <c r="AB323" s="5"/>
    </row>
    <row r="324" ht="15.75" customHeight="1">
      <c r="A324" s="8"/>
      <c r="B324" s="7"/>
      <c r="C324" s="5"/>
      <c r="D324" s="5"/>
      <c r="E324" s="6"/>
      <c r="F324" s="6"/>
      <c r="G324" s="5"/>
      <c r="H324" s="5"/>
      <c r="I324" s="5"/>
      <c r="J324" s="5"/>
      <c r="K324" s="5"/>
      <c r="L324" s="5"/>
      <c r="M324" s="5"/>
      <c r="N324" s="5"/>
      <c r="O324" s="5"/>
      <c r="P324" s="5"/>
      <c r="Q324" s="5"/>
      <c r="R324" s="5"/>
      <c r="S324" s="5"/>
      <c r="T324" s="5"/>
      <c r="U324" s="5"/>
      <c r="V324" s="5"/>
      <c r="W324" s="5"/>
      <c r="X324" s="5"/>
      <c r="Y324" s="5"/>
      <c r="Z324" s="5"/>
      <c r="AA324" s="5"/>
      <c r="AB324" s="5"/>
    </row>
    <row r="325" ht="15.75" customHeight="1">
      <c r="A325" s="8"/>
      <c r="B325" s="7"/>
      <c r="C325" s="5"/>
      <c r="D325" s="5"/>
      <c r="E325" s="6"/>
      <c r="F325" s="6"/>
      <c r="G325" s="5"/>
      <c r="H325" s="5"/>
      <c r="I325" s="5"/>
      <c r="J325" s="5"/>
      <c r="K325" s="5"/>
      <c r="L325" s="5"/>
      <c r="M325" s="5"/>
      <c r="N325" s="5"/>
      <c r="O325" s="5"/>
      <c r="P325" s="5"/>
      <c r="Q325" s="5"/>
      <c r="R325" s="5"/>
      <c r="S325" s="5"/>
      <c r="T325" s="5"/>
      <c r="U325" s="5"/>
      <c r="V325" s="5"/>
      <c r="W325" s="5"/>
      <c r="X325" s="5"/>
      <c r="Y325" s="5"/>
      <c r="Z325" s="5"/>
      <c r="AA325" s="5"/>
      <c r="AB325" s="5"/>
    </row>
    <row r="326" ht="15.75" customHeight="1">
      <c r="A326" s="8"/>
      <c r="B326" s="7"/>
      <c r="C326" s="5"/>
      <c r="D326" s="5"/>
      <c r="E326" s="6"/>
      <c r="F326" s="6"/>
      <c r="G326" s="5"/>
      <c r="H326" s="5"/>
      <c r="I326" s="5"/>
      <c r="J326" s="5"/>
      <c r="K326" s="5"/>
      <c r="L326" s="5"/>
      <c r="M326" s="5"/>
      <c r="N326" s="5"/>
      <c r="O326" s="5"/>
      <c r="P326" s="5"/>
      <c r="Q326" s="5"/>
      <c r="R326" s="5"/>
      <c r="S326" s="5"/>
      <c r="T326" s="5"/>
      <c r="U326" s="5"/>
      <c r="V326" s="5"/>
      <c r="W326" s="5"/>
      <c r="X326" s="5"/>
      <c r="Y326" s="5"/>
      <c r="Z326" s="5"/>
      <c r="AA326" s="5"/>
      <c r="AB326" s="5"/>
    </row>
    <row r="327" ht="15.75" customHeight="1">
      <c r="A327" s="8"/>
      <c r="B327" s="7"/>
      <c r="C327" s="11"/>
      <c r="D327" s="5"/>
      <c r="E327" s="6"/>
      <c r="F327" s="6"/>
      <c r="G327" s="5"/>
      <c r="H327" s="5"/>
      <c r="I327" s="5"/>
      <c r="J327" s="5"/>
      <c r="K327" s="5"/>
      <c r="L327" s="5"/>
      <c r="M327" s="5"/>
      <c r="N327" s="5"/>
      <c r="O327" s="5"/>
      <c r="P327" s="5"/>
      <c r="Q327" s="5"/>
      <c r="R327" s="5"/>
      <c r="S327" s="5"/>
      <c r="T327" s="5"/>
      <c r="U327" s="5"/>
      <c r="V327" s="5"/>
      <c r="W327" s="5"/>
      <c r="X327" s="5"/>
      <c r="Y327" s="5"/>
      <c r="Z327" s="5"/>
      <c r="AA327" s="5"/>
      <c r="AB327" s="5"/>
    </row>
    <row r="328" ht="15.75" customHeight="1">
      <c r="A328" s="8"/>
      <c r="B328" s="7"/>
      <c r="C328" s="5"/>
      <c r="D328" s="5"/>
      <c r="E328" s="6"/>
      <c r="F328" s="6"/>
      <c r="G328" s="5"/>
      <c r="H328" s="5"/>
      <c r="I328" s="5"/>
      <c r="J328" s="5"/>
      <c r="K328" s="5"/>
      <c r="L328" s="5"/>
      <c r="M328" s="5"/>
      <c r="N328" s="5"/>
      <c r="O328" s="5"/>
      <c r="P328" s="5"/>
      <c r="Q328" s="5"/>
      <c r="R328" s="5"/>
      <c r="S328" s="5"/>
      <c r="T328" s="5"/>
      <c r="U328" s="5"/>
      <c r="V328" s="5"/>
      <c r="W328" s="5"/>
      <c r="X328" s="5"/>
      <c r="Y328" s="5"/>
      <c r="Z328" s="5"/>
      <c r="AA328" s="5"/>
      <c r="AB328" s="5"/>
    </row>
    <row r="329" ht="15.75" customHeight="1">
      <c r="A329" s="8"/>
      <c r="B329" s="7"/>
      <c r="C329" s="5"/>
      <c r="D329" s="5"/>
      <c r="E329" s="6"/>
      <c r="F329" s="6"/>
      <c r="G329" s="5"/>
      <c r="H329" s="5"/>
      <c r="I329" s="5"/>
      <c r="J329" s="5"/>
      <c r="K329" s="5"/>
      <c r="L329" s="5"/>
      <c r="M329" s="5"/>
      <c r="N329" s="5"/>
      <c r="O329" s="5"/>
      <c r="P329" s="5"/>
      <c r="Q329" s="5"/>
      <c r="R329" s="5"/>
      <c r="S329" s="5"/>
      <c r="T329" s="5"/>
      <c r="U329" s="5"/>
      <c r="V329" s="5"/>
      <c r="W329" s="5"/>
      <c r="X329" s="5"/>
      <c r="Y329" s="5"/>
      <c r="Z329" s="5"/>
      <c r="AA329" s="5"/>
      <c r="AB329" s="5"/>
    </row>
    <row r="330" ht="15.75" customHeight="1">
      <c r="A330" s="8"/>
      <c r="B330" s="7"/>
      <c r="C330" s="5"/>
      <c r="D330" s="5"/>
      <c r="E330" s="6"/>
      <c r="F330" s="6"/>
      <c r="G330" s="5"/>
      <c r="H330" s="5"/>
      <c r="I330" s="5"/>
      <c r="J330" s="5"/>
      <c r="K330" s="5"/>
      <c r="L330" s="5"/>
      <c r="M330" s="5"/>
      <c r="N330" s="5"/>
      <c r="O330" s="5"/>
      <c r="P330" s="5"/>
      <c r="Q330" s="5"/>
      <c r="R330" s="5"/>
      <c r="S330" s="5"/>
      <c r="T330" s="5"/>
      <c r="U330" s="5"/>
      <c r="V330" s="5"/>
      <c r="W330" s="5"/>
      <c r="X330" s="5"/>
      <c r="Y330" s="5"/>
      <c r="Z330" s="5"/>
      <c r="AA330" s="5"/>
      <c r="AB330" s="5"/>
    </row>
    <row r="331" ht="15.75" customHeight="1">
      <c r="A331" s="8"/>
      <c r="B331" s="7"/>
      <c r="C331" s="5"/>
      <c r="D331" s="5"/>
      <c r="E331" s="6"/>
      <c r="F331" s="6"/>
      <c r="G331" s="5"/>
      <c r="H331" s="5"/>
      <c r="I331" s="5"/>
      <c r="J331" s="5"/>
      <c r="K331" s="5"/>
      <c r="L331" s="5"/>
      <c r="M331" s="5"/>
      <c r="N331" s="5"/>
      <c r="O331" s="5"/>
      <c r="P331" s="5"/>
      <c r="Q331" s="5"/>
      <c r="R331" s="5"/>
      <c r="S331" s="5"/>
      <c r="T331" s="5"/>
      <c r="U331" s="5"/>
      <c r="V331" s="5"/>
      <c r="W331" s="5"/>
      <c r="X331" s="5"/>
      <c r="Y331" s="5"/>
      <c r="Z331" s="5"/>
      <c r="AA331" s="5"/>
      <c r="AB331" s="5"/>
    </row>
    <row r="332" ht="15.75" customHeight="1">
      <c r="A332" s="8"/>
      <c r="B332" s="7"/>
      <c r="C332" s="5"/>
      <c r="D332" s="5"/>
      <c r="E332" s="6"/>
      <c r="F332" s="6"/>
      <c r="G332" s="5"/>
      <c r="H332" s="5"/>
      <c r="I332" s="5"/>
      <c r="J332" s="5"/>
      <c r="K332" s="5"/>
      <c r="L332" s="5"/>
      <c r="M332" s="5"/>
      <c r="N332" s="5"/>
      <c r="O332" s="5"/>
      <c r="P332" s="5"/>
      <c r="Q332" s="5"/>
      <c r="R332" s="5"/>
      <c r="S332" s="5"/>
      <c r="T332" s="5"/>
      <c r="U332" s="5"/>
      <c r="V332" s="5"/>
      <c r="W332" s="5"/>
      <c r="X332" s="5"/>
      <c r="Y332" s="5"/>
      <c r="Z332" s="5"/>
      <c r="AA332" s="5"/>
      <c r="AB332" s="5"/>
    </row>
    <row r="333" ht="15.75" customHeight="1">
      <c r="A333" s="8"/>
      <c r="B333" s="7"/>
      <c r="C333" s="5"/>
      <c r="D333" s="5"/>
      <c r="E333" s="6"/>
      <c r="F333" s="6"/>
      <c r="G333" s="5"/>
      <c r="H333" s="5"/>
      <c r="I333" s="5"/>
      <c r="J333" s="5"/>
      <c r="K333" s="5"/>
      <c r="L333" s="5"/>
      <c r="M333" s="5"/>
      <c r="N333" s="5"/>
      <c r="O333" s="5"/>
      <c r="P333" s="5"/>
      <c r="Q333" s="5"/>
      <c r="R333" s="5"/>
      <c r="S333" s="5"/>
      <c r="T333" s="5"/>
      <c r="U333" s="5"/>
      <c r="V333" s="5"/>
      <c r="W333" s="5"/>
      <c r="X333" s="5"/>
      <c r="Y333" s="5"/>
      <c r="Z333" s="5"/>
      <c r="AA333" s="5"/>
      <c r="AB333" s="5"/>
    </row>
    <row r="334" ht="15.75" customHeight="1">
      <c r="A334" s="8"/>
      <c r="B334" s="7"/>
      <c r="C334" s="5"/>
      <c r="D334" s="5"/>
      <c r="E334" s="6"/>
      <c r="F334" s="6"/>
      <c r="G334" s="5"/>
      <c r="H334" s="5"/>
      <c r="I334" s="5"/>
      <c r="J334" s="5"/>
      <c r="K334" s="5"/>
      <c r="L334" s="5"/>
      <c r="M334" s="5"/>
      <c r="N334" s="5"/>
      <c r="O334" s="5"/>
      <c r="P334" s="5"/>
      <c r="Q334" s="5"/>
      <c r="R334" s="5"/>
      <c r="S334" s="5"/>
      <c r="T334" s="5"/>
      <c r="U334" s="5"/>
      <c r="V334" s="5"/>
      <c r="W334" s="5"/>
      <c r="X334" s="5"/>
      <c r="Y334" s="5"/>
      <c r="Z334" s="5"/>
      <c r="AA334" s="5"/>
      <c r="AB334" s="5"/>
    </row>
    <row r="335" ht="15.75" customHeight="1">
      <c r="A335" s="8"/>
      <c r="B335" s="7"/>
      <c r="C335" s="5"/>
      <c r="D335" s="5"/>
      <c r="E335" s="6"/>
      <c r="F335" s="6"/>
      <c r="G335" s="5"/>
      <c r="H335" s="5"/>
      <c r="I335" s="5"/>
      <c r="J335" s="5"/>
      <c r="K335" s="5"/>
      <c r="L335" s="5"/>
      <c r="M335" s="5"/>
      <c r="N335" s="5"/>
      <c r="O335" s="5"/>
      <c r="P335" s="5"/>
      <c r="Q335" s="5"/>
      <c r="R335" s="5"/>
      <c r="S335" s="5"/>
      <c r="T335" s="5"/>
      <c r="U335" s="5"/>
      <c r="V335" s="5"/>
      <c r="W335" s="5"/>
      <c r="X335" s="5"/>
      <c r="Y335" s="5"/>
      <c r="Z335" s="5"/>
      <c r="AA335" s="5"/>
      <c r="AB335" s="5"/>
    </row>
    <row r="336" ht="15.75" customHeight="1">
      <c r="A336" s="8"/>
      <c r="B336" s="7"/>
      <c r="C336" s="5"/>
      <c r="D336" s="5"/>
      <c r="E336" s="6"/>
      <c r="F336" s="6"/>
      <c r="G336" s="5"/>
      <c r="H336" s="5"/>
      <c r="I336" s="5"/>
      <c r="J336" s="5"/>
      <c r="K336" s="5"/>
      <c r="L336" s="5"/>
      <c r="M336" s="5"/>
      <c r="N336" s="5"/>
      <c r="O336" s="5"/>
      <c r="P336" s="5"/>
      <c r="Q336" s="5"/>
      <c r="R336" s="5"/>
      <c r="S336" s="5"/>
      <c r="T336" s="5"/>
      <c r="U336" s="5"/>
      <c r="V336" s="5"/>
      <c r="W336" s="5"/>
      <c r="X336" s="5"/>
      <c r="Y336" s="5"/>
      <c r="Z336" s="5"/>
      <c r="AA336" s="5"/>
      <c r="AB336" s="5"/>
    </row>
    <row r="337" ht="15.75" customHeight="1">
      <c r="A337" s="8"/>
      <c r="B337" s="7"/>
      <c r="C337" s="5"/>
      <c r="D337" s="5"/>
      <c r="E337" s="6"/>
      <c r="F337" s="6"/>
      <c r="G337" s="5"/>
      <c r="H337" s="5"/>
      <c r="I337" s="5"/>
      <c r="J337" s="5"/>
      <c r="K337" s="5"/>
      <c r="L337" s="5"/>
      <c r="M337" s="5"/>
      <c r="N337" s="5"/>
      <c r="O337" s="5"/>
      <c r="P337" s="5"/>
      <c r="Q337" s="5"/>
      <c r="R337" s="5"/>
      <c r="S337" s="5"/>
      <c r="T337" s="5"/>
      <c r="U337" s="5"/>
      <c r="V337" s="5"/>
      <c r="W337" s="5"/>
      <c r="X337" s="5"/>
      <c r="Y337" s="5"/>
      <c r="Z337" s="5"/>
      <c r="AA337" s="5"/>
      <c r="AB337" s="5"/>
    </row>
    <row r="338" ht="15.75" customHeight="1">
      <c r="A338" s="8"/>
      <c r="B338" s="7"/>
      <c r="C338" s="5"/>
      <c r="D338" s="5"/>
      <c r="E338" s="6"/>
      <c r="F338" s="6"/>
      <c r="G338" s="5"/>
      <c r="H338" s="5"/>
      <c r="I338" s="5"/>
      <c r="J338" s="5"/>
      <c r="K338" s="5"/>
      <c r="L338" s="5"/>
      <c r="M338" s="5"/>
      <c r="N338" s="5"/>
      <c r="O338" s="5"/>
      <c r="P338" s="5"/>
      <c r="Q338" s="5"/>
      <c r="R338" s="5"/>
      <c r="S338" s="5"/>
      <c r="T338" s="5"/>
      <c r="U338" s="5"/>
      <c r="V338" s="5"/>
      <c r="W338" s="5"/>
      <c r="X338" s="5"/>
      <c r="Y338" s="5"/>
      <c r="Z338" s="5"/>
      <c r="AA338" s="5"/>
      <c r="AB338" s="5"/>
    </row>
    <row r="339" ht="15.75" customHeight="1">
      <c r="A339" s="8"/>
      <c r="B339" s="7"/>
      <c r="C339" s="5"/>
      <c r="D339" s="5"/>
      <c r="E339" s="6"/>
      <c r="F339" s="6"/>
      <c r="G339" s="5"/>
      <c r="H339" s="5"/>
      <c r="I339" s="5"/>
      <c r="J339" s="5"/>
      <c r="K339" s="5"/>
      <c r="L339" s="5"/>
      <c r="M339" s="5"/>
      <c r="N339" s="5"/>
      <c r="O339" s="5"/>
      <c r="P339" s="5"/>
      <c r="Q339" s="5"/>
      <c r="R339" s="5"/>
      <c r="S339" s="5"/>
      <c r="T339" s="5"/>
      <c r="U339" s="5"/>
      <c r="V339" s="5"/>
      <c r="W339" s="5"/>
      <c r="X339" s="5"/>
      <c r="Y339" s="5"/>
      <c r="Z339" s="5"/>
      <c r="AA339" s="5"/>
      <c r="AB339" s="5"/>
    </row>
    <row r="340" ht="15.75" customHeight="1">
      <c r="A340" s="8"/>
      <c r="B340" s="7"/>
      <c r="C340" s="5"/>
      <c r="D340" s="5"/>
      <c r="E340" s="6"/>
      <c r="F340" s="6"/>
      <c r="G340" s="5"/>
      <c r="H340" s="5"/>
      <c r="I340" s="5"/>
      <c r="J340" s="5"/>
      <c r="K340" s="5"/>
      <c r="L340" s="5"/>
      <c r="M340" s="5"/>
      <c r="N340" s="5"/>
      <c r="O340" s="5"/>
      <c r="P340" s="5"/>
      <c r="Q340" s="5"/>
      <c r="R340" s="5"/>
      <c r="S340" s="5"/>
      <c r="T340" s="5"/>
      <c r="U340" s="5"/>
      <c r="V340" s="5"/>
      <c r="W340" s="5"/>
      <c r="X340" s="5"/>
      <c r="Y340" s="5"/>
      <c r="Z340" s="5"/>
      <c r="AA340" s="5"/>
      <c r="AB340" s="5"/>
    </row>
    <row r="341" ht="15.75" customHeight="1">
      <c r="A341" s="8"/>
      <c r="B341" s="7"/>
      <c r="C341" s="5"/>
      <c r="D341" s="5"/>
      <c r="E341" s="6"/>
      <c r="F341" s="6"/>
      <c r="G341" s="5"/>
      <c r="H341" s="5"/>
      <c r="I341" s="5"/>
      <c r="J341" s="5"/>
      <c r="K341" s="5"/>
      <c r="L341" s="5"/>
      <c r="M341" s="5"/>
      <c r="N341" s="5"/>
      <c r="O341" s="5"/>
      <c r="P341" s="5"/>
      <c r="Q341" s="5"/>
      <c r="R341" s="5"/>
      <c r="S341" s="5"/>
      <c r="T341" s="5"/>
      <c r="U341" s="5"/>
      <c r="V341" s="5"/>
      <c r="W341" s="5"/>
      <c r="X341" s="5"/>
      <c r="Y341" s="5"/>
      <c r="Z341" s="5"/>
      <c r="AA341" s="5"/>
      <c r="AB341" s="5"/>
    </row>
    <row r="342" ht="15.75" customHeight="1">
      <c r="A342" s="8"/>
      <c r="B342" s="7"/>
      <c r="C342" s="5"/>
      <c r="D342" s="5"/>
      <c r="E342" s="6"/>
      <c r="F342" s="6"/>
      <c r="G342" s="5"/>
      <c r="H342" s="5"/>
      <c r="I342" s="5"/>
      <c r="J342" s="5"/>
      <c r="K342" s="5"/>
      <c r="L342" s="5"/>
      <c r="M342" s="5"/>
      <c r="N342" s="5"/>
      <c r="O342" s="5"/>
      <c r="P342" s="5"/>
      <c r="Q342" s="5"/>
      <c r="R342" s="5"/>
      <c r="S342" s="5"/>
      <c r="T342" s="5"/>
      <c r="U342" s="5"/>
      <c r="V342" s="5"/>
      <c r="W342" s="5"/>
      <c r="X342" s="5"/>
      <c r="Y342" s="5"/>
      <c r="Z342" s="5"/>
      <c r="AA342" s="5"/>
      <c r="AB342" s="5"/>
    </row>
    <row r="343" ht="15.75" customHeight="1">
      <c r="A343" s="8"/>
      <c r="B343" s="7"/>
      <c r="C343" s="5"/>
      <c r="D343" s="5"/>
      <c r="E343" s="6"/>
      <c r="F343" s="6"/>
      <c r="G343" s="5"/>
      <c r="H343" s="5"/>
      <c r="I343" s="5"/>
      <c r="J343" s="5"/>
      <c r="K343" s="5"/>
      <c r="L343" s="5"/>
      <c r="M343" s="5"/>
      <c r="N343" s="5"/>
      <c r="O343" s="5"/>
      <c r="P343" s="5"/>
      <c r="Q343" s="5"/>
      <c r="R343" s="5"/>
      <c r="S343" s="5"/>
      <c r="T343" s="5"/>
      <c r="U343" s="5"/>
      <c r="V343" s="5"/>
      <c r="W343" s="5"/>
      <c r="X343" s="5"/>
      <c r="Y343" s="5"/>
      <c r="Z343" s="5"/>
      <c r="AA343" s="5"/>
      <c r="AB343" s="5"/>
    </row>
    <row r="344" ht="15.75" customHeight="1">
      <c r="A344" s="8"/>
      <c r="B344" s="7"/>
      <c r="C344" s="5"/>
      <c r="D344" s="5"/>
      <c r="E344" s="6"/>
      <c r="F344" s="6"/>
      <c r="G344" s="5"/>
      <c r="H344" s="5"/>
      <c r="I344" s="5"/>
      <c r="J344" s="5"/>
      <c r="K344" s="5"/>
      <c r="L344" s="5"/>
      <c r="M344" s="5"/>
      <c r="N344" s="5"/>
      <c r="O344" s="5"/>
      <c r="P344" s="5"/>
      <c r="Q344" s="5"/>
      <c r="R344" s="5"/>
      <c r="S344" s="5"/>
      <c r="T344" s="5"/>
      <c r="U344" s="5"/>
      <c r="V344" s="5"/>
      <c r="W344" s="5"/>
      <c r="X344" s="5"/>
      <c r="Y344" s="5"/>
      <c r="Z344" s="5"/>
      <c r="AA344" s="5"/>
      <c r="AB344" s="5"/>
    </row>
    <row r="345" ht="15.75" customHeight="1">
      <c r="A345" s="8"/>
      <c r="B345" s="7"/>
      <c r="C345" s="5"/>
      <c r="D345" s="5"/>
      <c r="E345" s="6"/>
      <c r="F345" s="6"/>
      <c r="G345" s="5"/>
      <c r="H345" s="5"/>
      <c r="I345" s="5"/>
      <c r="J345" s="5"/>
      <c r="K345" s="5"/>
      <c r="L345" s="5"/>
      <c r="M345" s="5"/>
      <c r="N345" s="5"/>
      <c r="O345" s="5"/>
      <c r="P345" s="5"/>
      <c r="Q345" s="5"/>
      <c r="R345" s="5"/>
      <c r="S345" s="5"/>
      <c r="T345" s="5"/>
      <c r="U345" s="5"/>
      <c r="V345" s="5"/>
      <c r="W345" s="5"/>
      <c r="X345" s="5"/>
      <c r="Y345" s="5"/>
      <c r="Z345" s="5"/>
      <c r="AA345" s="5"/>
      <c r="AB345" s="5"/>
    </row>
    <row r="346" ht="15.75" customHeight="1">
      <c r="A346" s="8"/>
      <c r="B346" s="7"/>
      <c r="C346" s="5"/>
      <c r="D346" s="5"/>
      <c r="E346" s="6"/>
      <c r="F346" s="6"/>
      <c r="G346" s="5"/>
      <c r="H346" s="5"/>
      <c r="I346" s="5"/>
      <c r="J346" s="5"/>
      <c r="K346" s="5"/>
      <c r="L346" s="5"/>
      <c r="M346" s="5"/>
      <c r="N346" s="5"/>
      <c r="O346" s="5"/>
      <c r="P346" s="5"/>
      <c r="Q346" s="5"/>
      <c r="R346" s="5"/>
      <c r="S346" s="5"/>
      <c r="T346" s="5"/>
      <c r="U346" s="5"/>
      <c r="V346" s="5"/>
      <c r="W346" s="5"/>
      <c r="X346" s="5"/>
      <c r="Y346" s="5"/>
      <c r="Z346" s="5"/>
      <c r="AA346" s="5"/>
      <c r="AB346" s="5"/>
    </row>
    <row r="347" ht="15.75" customHeight="1">
      <c r="A347" s="8"/>
      <c r="B347" s="7"/>
      <c r="C347" s="5"/>
      <c r="D347" s="5"/>
      <c r="E347" s="6"/>
      <c r="F347" s="6"/>
      <c r="G347" s="5"/>
      <c r="H347" s="5"/>
      <c r="I347" s="3"/>
      <c r="J347" s="5"/>
      <c r="K347" s="5"/>
      <c r="L347" s="5"/>
      <c r="M347" s="5"/>
      <c r="N347" s="5"/>
      <c r="O347" s="5"/>
      <c r="P347" s="5"/>
      <c r="Q347" s="5"/>
      <c r="R347" s="5"/>
      <c r="S347" s="5"/>
      <c r="T347" s="5"/>
      <c r="U347" s="5"/>
      <c r="V347" s="5"/>
      <c r="W347" s="5"/>
      <c r="X347" s="5"/>
      <c r="Y347" s="5"/>
      <c r="Z347" s="5"/>
      <c r="AA347" s="5"/>
      <c r="AB347" s="5"/>
    </row>
    <row r="348" ht="15.75" customHeight="1">
      <c r="A348" s="8"/>
      <c r="B348" s="7"/>
      <c r="C348" s="5"/>
      <c r="D348" s="5"/>
      <c r="E348" s="6"/>
      <c r="F348" s="6"/>
      <c r="G348" s="5"/>
      <c r="H348" s="5"/>
      <c r="I348" s="5"/>
      <c r="J348" s="5"/>
      <c r="K348" s="5"/>
      <c r="L348" s="5"/>
      <c r="M348" s="5"/>
      <c r="N348" s="5"/>
      <c r="O348" s="5"/>
      <c r="P348" s="5"/>
      <c r="Q348" s="5"/>
      <c r="R348" s="5"/>
      <c r="S348" s="5"/>
      <c r="T348" s="5"/>
      <c r="U348" s="5"/>
      <c r="V348" s="5"/>
      <c r="W348" s="5"/>
      <c r="X348" s="5"/>
      <c r="Y348" s="5"/>
      <c r="Z348" s="5"/>
      <c r="AA348" s="5"/>
      <c r="AB348" s="5"/>
    </row>
    <row r="349" ht="15.75" customHeight="1">
      <c r="A349" s="8"/>
      <c r="B349" s="7"/>
      <c r="C349" s="5"/>
      <c r="D349" s="5"/>
      <c r="E349" s="6"/>
      <c r="F349" s="6"/>
      <c r="G349" s="5"/>
      <c r="H349" s="5"/>
      <c r="I349" s="5"/>
      <c r="J349" s="5"/>
      <c r="K349" s="5"/>
      <c r="L349" s="5"/>
      <c r="M349" s="5"/>
      <c r="N349" s="5"/>
      <c r="O349" s="5"/>
      <c r="P349" s="5"/>
      <c r="Q349" s="5"/>
      <c r="R349" s="5"/>
      <c r="S349" s="5"/>
      <c r="T349" s="5"/>
      <c r="U349" s="5"/>
      <c r="V349" s="5"/>
      <c r="W349" s="5"/>
      <c r="X349" s="5"/>
      <c r="Y349" s="5"/>
      <c r="Z349" s="5"/>
      <c r="AA349" s="5"/>
      <c r="AB349" s="5"/>
    </row>
    <row r="350" ht="15.75" customHeight="1">
      <c r="A350" s="8"/>
      <c r="B350" s="7"/>
      <c r="C350" s="5"/>
      <c r="D350" s="5"/>
      <c r="E350" s="6"/>
      <c r="F350" s="6"/>
      <c r="G350" s="5"/>
      <c r="H350" s="5"/>
      <c r="I350" s="5"/>
      <c r="J350" s="5"/>
      <c r="K350" s="5"/>
      <c r="L350" s="5"/>
      <c r="M350" s="5"/>
      <c r="N350" s="5"/>
      <c r="O350" s="5"/>
      <c r="P350" s="5"/>
      <c r="Q350" s="5"/>
      <c r="R350" s="5"/>
      <c r="S350" s="5"/>
      <c r="T350" s="5"/>
      <c r="U350" s="5"/>
      <c r="V350" s="5"/>
      <c r="W350" s="5"/>
      <c r="X350" s="5"/>
      <c r="Y350" s="5"/>
      <c r="Z350" s="5"/>
      <c r="AA350" s="5"/>
      <c r="AB350" s="5"/>
    </row>
    <row r="351" ht="15.75" customHeight="1">
      <c r="A351" s="8"/>
      <c r="B351" s="7"/>
      <c r="C351" s="5"/>
      <c r="D351" s="5"/>
      <c r="E351" s="6"/>
      <c r="F351" s="6"/>
      <c r="G351" s="5"/>
      <c r="H351" s="5"/>
      <c r="I351" s="5"/>
      <c r="J351" s="5"/>
      <c r="K351" s="5"/>
      <c r="L351" s="5"/>
      <c r="M351" s="5"/>
      <c r="N351" s="5"/>
      <c r="O351" s="5"/>
      <c r="P351" s="5"/>
      <c r="Q351" s="5"/>
      <c r="R351" s="5"/>
      <c r="S351" s="5"/>
      <c r="T351" s="5"/>
      <c r="U351" s="5"/>
      <c r="V351" s="5"/>
      <c r="W351" s="5"/>
      <c r="X351" s="5"/>
      <c r="Y351" s="5"/>
      <c r="Z351" s="5"/>
      <c r="AA351" s="5"/>
      <c r="AB351" s="5"/>
    </row>
    <row r="352" ht="15.75" customHeight="1">
      <c r="A352" s="8"/>
      <c r="B352" s="7"/>
      <c r="C352" s="5"/>
      <c r="D352" s="5"/>
      <c r="E352" s="6"/>
      <c r="F352" s="6"/>
      <c r="G352" s="5"/>
      <c r="H352" s="5"/>
      <c r="I352" s="5"/>
      <c r="J352" s="5"/>
      <c r="K352" s="5"/>
      <c r="L352" s="5"/>
      <c r="M352" s="5"/>
      <c r="N352" s="5"/>
      <c r="O352" s="5"/>
      <c r="P352" s="5"/>
      <c r="Q352" s="5"/>
      <c r="R352" s="5"/>
      <c r="S352" s="5"/>
      <c r="T352" s="5"/>
      <c r="U352" s="5"/>
      <c r="V352" s="5"/>
      <c r="W352" s="5"/>
      <c r="X352" s="5"/>
      <c r="Y352" s="5"/>
      <c r="Z352" s="5"/>
      <c r="AA352" s="5"/>
      <c r="AB352" s="5"/>
    </row>
    <row r="353" ht="15.75" customHeight="1">
      <c r="A353" s="8"/>
      <c r="B353" s="7"/>
      <c r="C353" s="5"/>
      <c r="D353" s="5"/>
      <c r="E353" s="6"/>
      <c r="F353" s="6"/>
      <c r="G353" s="5"/>
      <c r="H353" s="5"/>
      <c r="I353" s="5"/>
      <c r="J353" s="5"/>
      <c r="K353" s="5"/>
      <c r="L353" s="5"/>
      <c r="M353" s="5"/>
      <c r="N353" s="5"/>
      <c r="O353" s="5"/>
      <c r="P353" s="5"/>
      <c r="Q353" s="5"/>
      <c r="R353" s="5"/>
      <c r="S353" s="5"/>
      <c r="T353" s="5"/>
      <c r="U353" s="5"/>
      <c r="V353" s="5"/>
      <c r="W353" s="5"/>
      <c r="X353" s="5"/>
      <c r="Y353" s="5"/>
      <c r="Z353" s="5"/>
      <c r="AA353" s="5"/>
      <c r="AB353" s="5"/>
    </row>
    <row r="354" ht="15.75" customHeight="1">
      <c r="A354" s="8"/>
      <c r="B354" s="7"/>
      <c r="C354" s="5"/>
      <c r="D354" s="5"/>
      <c r="E354" s="6"/>
      <c r="F354" s="6"/>
      <c r="G354" s="5"/>
      <c r="H354" s="5"/>
      <c r="I354" s="5"/>
      <c r="J354" s="5"/>
      <c r="K354" s="5"/>
      <c r="L354" s="5"/>
      <c r="M354" s="5"/>
      <c r="N354" s="5"/>
      <c r="O354" s="5"/>
      <c r="P354" s="5"/>
      <c r="Q354" s="5"/>
      <c r="R354" s="5"/>
      <c r="S354" s="5"/>
      <c r="T354" s="5"/>
      <c r="U354" s="5"/>
      <c r="V354" s="5"/>
      <c r="W354" s="5"/>
      <c r="X354" s="5"/>
      <c r="Y354" s="5"/>
      <c r="Z354" s="5"/>
      <c r="AA354" s="5"/>
      <c r="AB354" s="5"/>
    </row>
    <row r="355" ht="15.75" customHeight="1">
      <c r="A355" s="8"/>
      <c r="B355" s="7"/>
      <c r="C355" s="5"/>
      <c r="D355" s="5"/>
      <c r="E355" s="6"/>
      <c r="F355" s="6"/>
      <c r="G355" s="5"/>
      <c r="H355" s="5"/>
      <c r="I355" s="5"/>
      <c r="J355" s="5"/>
      <c r="K355" s="5"/>
      <c r="L355" s="5"/>
      <c r="M355" s="5"/>
      <c r="N355" s="5"/>
      <c r="O355" s="5"/>
      <c r="P355" s="5"/>
      <c r="Q355" s="5"/>
      <c r="R355" s="5"/>
      <c r="S355" s="5"/>
      <c r="T355" s="5"/>
      <c r="U355" s="5"/>
      <c r="V355" s="5"/>
      <c r="W355" s="5"/>
      <c r="X355" s="5"/>
      <c r="Y355" s="5"/>
      <c r="Z355" s="5"/>
      <c r="AA355" s="5"/>
      <c r="AB355" s="5"/>
    </row>
    <row r="356" ht="15.75" customHeight="1">
      <c r="A356" s="8"/>
      <c r="B356" s="7"/>
      <c r="C356" s="5"/>
      <c r="D356" s="5"/>
      <c r="E356" s="6"/>
      <c r="F356" s="6"/>
      <c r="G356" s="5"/>
      <c r="H356" s="5"/>
      <c r="I356" s="5"/>
      <c r="J356" s="5"/>
      <c r="K356" s="5"/>
      <c r="L356" s="5"/>
      <c r="M356" s="5"/>
      <c r="N356" s="5"/>
      <c r="O356" s="5"/>
      <c r="P356" s="5"/>
      <c r="Q356" s="5"/>
      <c r="R356" s="5"/>
      <c r="S356" s="5"/>
      <c r="T356" s="5"/>
      <c r="U356" s="5"/>
      <c r="V356" s="5"/>
      <c r="W356" s="5"/>
      <c r="X356" s="5"/>
      <c r="Y356" s="5"/>
      <c r="Z356" s="5"/>
      <c r="AA356" s="5"/>
      <c r="AB356" s="5"/>
    </row>
    <row r="357" ht="15.75" customHeight="1">
      <c r="A357" s="8"/>
      <c r="B357" s="7"/>
      <c r="C357" s="5"/>
      <c r="D357" s="5"/>
      <c r="E357" s="6"/>
      <c r="F357" s="6"/>
      <c r="G357" s="5"/>
      <c r="H357" s="5"/>
      <c r="I357" s="5"/>
      <c r="J357" s="5"/>
      <c r="K357" s="5"/>
      <c r="L357" s="5"/>
      <c r="M357" s="5"/>
      <c r="N357" s="5"/>
      <c r="O357" s="5"/>
      <c r="P357" s="5"/>
      <c r="Q357" s="5"/>
      <c r="R357" s="5"/>
      <c r="S357" s="5"/>
      <c r="T357" s="5"/>
      <c r="U357" s="5"/>
      <c r="V357" s="5"/>
      <c r="W357" s="5"/>
      <c r="X357" s="5"/>
      <c r="Y357" s="5"/>
      <c r="Z357" s="5"/>
      <c r="AA357" s="5"/>
      <c r="AB357" s="5"/>
    </row>
    <row r="358" ht="15.75" customHeight="1">
      <c r="A358" s="8"/>
      <c r="B358" s="7"/>
      <c r="C358" s="5"/>
      <c r="D358" s="5"/>
      <c r="E358" s="6"/>
      <c r="F358" s="6"/>
      <c r="G358" s="5"/>
      <c r="H358" s="5"/>
      <c r="I358" s="5"/>
      <c r="J358" s="5"/>
      <c r="K358" s="5"/>
      <c r="L358" s="5"/>
      <c r="M358" s="5"/>
      <c r="N358" s="5"/>
      <c r="O358" s="5"/>
      <c r="P358" s="5"/>
      <c r="Q358" s="5"/>
      <c r="R358" s="5"/>
      <c r="S358" s="5"/>
      <c r="T358" s="5"/>
      <c r="U358" s="5"/>
      <c r="V358" s="5"/>
      <c r="W358" s="5"/>
      <c r="X358" s="5"/>
      <c r="Y358" s="5"/>
      <c r="Z358" s="5"/>
      <c r="AA358" s="5"/>
      <c r="AB358" s="5"/>
    </row>
    <row r="359" ht="15.75" customHeight="1">
      <c r="A359" s="8"/>
      <c r="B359" s="7"/>
      <c r="C359" s="5"/>
      <c r="D359" s="5"/>
      <c r="E359" s="6"/>
      <c r="F359" s="6"/>
      <c r="G359" s="5"/>
      <c r="H359" s="5"/>
      <c r="I359" s="5"/>
      <c r="J359" s="5"/>
      <c r="K359" s="5"/>
      <c r="L359" s="5"/>
      <c r="M359" s="5"/>
      <c r="N359" s="5"/>
      <c r="O359" s="5"/>
      <c r="P359" s="5"/>
      <c r="Q359" s="5"/>
      <c r="R359" s="5"/>
      <c r="S359" s="5"/>
      <c r="T359" s="5"/>
      <c r="U359" s="5"/>
      <c r="V359" s="5"/>
      <c r="W359" s="5"/>
      <c r="X359" s="5"/>
      <c r="Y359" s="5"/>
      <c r="Z359" s="5"/>
      <c r="AA359" s="5"/>
      <c r="AB359" s="5"/>
    </row>
    <row r="360" ht="15.75" customHeight="1">
      <c r="A360" s="8"/>
      <c r="B360" s="7"/>
      <c r="C360" s="5"/>
      <c r="D360" s="5"/>
      <c r="E360" s="6"/>
      <c r="F360" s="6"/>
      <c r="G360" s="5"/>
      <c r="H360" s="5"/>
      <c r="I360" s="5"/>
      <c r="J360" s="5"/>
      <c r="K360" s="5"/>
      <c r="L360" s="5"/>
      <c r="M360" s="5"/>
      <c r="N360" s="5"/>
      <c r="O360" s="5"/>
      <c r="P360" s="5"/>
      <c r="Q360" s="5"/>
      <c r="R360" s="5"/>
      <c r="S360" s="5"/>
      <c r="T360" s="5"/>
      <c r="U360" s="5"/>
      <c r="V360" s="5"/>
      <c r="W360" s="5"/>
      <c r="X360" s="5"/>
      <c r="Y360" s="5"/>
      <c r="Z360" s="5"/>
      <c r="AA360" s="5"/>
      <c r="AB360" s="5"/>
    </row>
    <row r="361" ht="15.75" customHeight="1">
      <c r="A361" s="8"/>
      <c r="B361" s="7"/>
      <c r="C361" s="5"/>
      <c r="D361" s="5"/>
      <c r="E361" s="6"/>
      <c r="F361" s="6"/>
      <c r="G361" s="5"/>
      <c r="H361" s="5"/>
      <c r="I361" s="5"/>
      <c r="J361" s="5"/>
      <c r="K361" s="5"/>
      <c r="L361" s="5"/>
      <c r="M361" s="5"/>
      <c r="N361" s="5"/>
      <c r="O361" s="5"/>
      <c r="P361" s="5"/>
      <c r="Q361" s="5"/>
      <c r="R361" s="5"/>
      <c r="S361" s="5"/>
      <c r="T361" s="5"/>
      <c r="U361" s="5"/>
      <c r="V361" s="5"/>
      <c r="W361" s="5"/>
      <c r="X361" s="5"/>
      <c r="Y361" s="5"/>
      <c r="Z361" s="5"/>
      <c r="AA361" s="5"/>
      <c r="AB361" s="5"/>
    </row>
    <row r="362" ht="15.75" customHeight="1">
      <c r="A362" s="8"/>
      <c r="B362" s="7"/>
      <c r="C362" s="11"/>
      <c r="D362" s="5"/>
      <c r="E362" s="6"/>
      <c r="F362" s="6"/>
      <c r="G362" s="5"/>
      <c r="H362" s="5"/>
      <c r="I362" s="5"/>
      <c r="J362" s="5"/>
      <c r="K362" s="5"/>
      <c r="L362" s="5"/>
      <c r="M362" s="5"/>
      <c r="N362" s="5"/>
      <c r="O362" s="5"/>
      <c r="P362" s="5"/>
      <c r="Q362" s="5"/>
      <c r="R362" s="5"/>
      <c r="S362" s="5"/>
      <c r="T362" s="5"/>
      <c r="U362" s="5"/>
      <c r="V362" s="5"/>
      <c r="W362" s="5"/>
      <c r="X362" s="5"/>
      <c r="Y362" s="5"/>
      <c r="Z362" s="5"/>
      <c r="AA362" s="5"/>
      <c r="AB362" s="5"/>
    </row>
    <row r="363" ht="15.75" customHeight="1">
      <c r="A363" s="8"/>
      <c r="B363" s="7"/>
      <c r="C363" s="5"/>
      <c r="D363" s="5"/>
      <c r="E363" s="6"/>
      <c r="F363" s="6"/>
      <c r="G363" s="5"/>
      <c r="H363" s="5"/>
      <c r="I363" s="5"/>
      <c r="J363" s="5"/>
      <c r="K363" s="5"/>
      <c r="L363" s="5"/>
      <c r="M363" s="5"/>
      <c r="N363" s="5"/>
      <c r="O363" s="5"/>
      <c r="P363" s="5"/>
      <c r="Q363" s="5"/>
      <c r="R363" s="5"/>
      <c r="S363" s="5"/>
      <c r="T363" s="5"/>
      <c r="U363" s="5"/>
      <c r="V363" s="5"/>
      <c r="W363" s="5"/>
      <c r="X363" s="5"/>
      <c r="Y363" s="5"/>
      <c r="Z363" s="5"/>
      <c r="AA363" s="5"/>
      <c r="AB363" s="5"/>
    </row>
    <row r="364" ht="15.75" customHeight="1">
      <c r="A364" s="8"/>
      <c r="B364" s="7"/>
      <c r="C364" s="5"/>
      <c r="D364" s="5"/>
      <c r="E364" s="6"/>
      <c r="F364" s="6"/>
      <c r="G364" s="5"/>
      <c r="H364" s="5"/>
      <c r="I364" s="5"/>
      <c r="J364" s="5"/>
      <c r="K364" s="5"/>
      <c r="L364" s="5"/>
      <c r="M364" s="5"/>
      <c r="N364" s="5"/>
      <c r="O364" s="5"/>
      <c r="P364" s="5"/>
      <c r="Q364" s="5"/>
      <c r="R364" s="5"/>
      <c r="S364" s="5"/>
      <c r="T364" s="5"/>
      <c r="U364" s="5"/>
      <c r="V364" s="5"/>
      <c r="W364" s="5"/>
      <c r="X364" s="5"/>
      <c r="Y364" s="5"/>
      <c r="Z364" s="5"/>
      <c r="AA364" s="5"/>
      <c r="AB364" s="5"/>
    </row>
    <row r="365" ht="15.75" customHeight="1">
      <c r="A365" s="8"/>
      <c r="B365" s="7"/>
      <c r="C365" s="5"/>
      <c r="D365" s="5"/>
      <c r="E365" s="6"/>
      <c r="F365" s="6"/>
      <c r="G365" s="12"/>
      <c r="H365" s="12"/>
      <c r="I365" s="5"/>
      <c r="J365" s="5"/>
      <c r="K365" s="5"/>
      <c r="L365" s="5"/>
      <c r="M365" s="5"/>
      <c r="N365" s="5"/>
      <c r="O365" s="5"/>
      <c r="P365" s="5"/>
      <c r="Q365" s="5"/>
      <c r="R365" s="5"/>
      <c r="S365" s="5"/>
      <c r="T365" s="5"/>
      <c r="U365" s="5"/>
      <c r="V365" s="5"/>
      <c r="W365" s="5"/>
      <c r="X365" s="5"/>
      <c r="Y365" s="5"/>
      <c r="Z365" s="5"/>
      <c r="AA365" s="5"/>
      <c r="AB365" s="5"/>
    </row>
    <row r="366" ht="15.75" customHeight="1">
      <c r="A366" s="8"/>
      <c r="B366" s="7"/>
      <c r="C366" s="5"/>
      <c r="D366" s="5"/>
      <c r="E366" s="6"/>
      <c r="F366" s="6"/>
      <c r="G366" s="5"/>
      <c r="H366" s="5"/>
      <c r="I366" s="5"/>
      <c r="J366" s="5"/>
      <c r="K366" s="5"/>
      <c r="L366" s="5"/>
      <c r="M366" s="5"/>
      <c r="N366" s="5"/>
      <c r="O366" s="5"/>
      <c r="P366" s="5"/>
      <c r="Q366" s="5"/>
      <c r="R366" s="5"/>
      <c r="S366" s="5"/>
      <c r="T366" s="5"/>
      <c r="U366" s="5"/>
      <c r="V366" s="5"/>
      <c r="W366" s="5"/>
      <c r="X366" s="5"/>
      <c r="Y366" s="5"/>
      <c r="Z366" s="5"/>
      <c r="AA366" s="5"/>
      <c r="AB366" s="5"/>
    </row>
    <row r="367" ht="37.5" customHeight="1">
      <c r="A367" s="8"/>
      <c r="B367" s="7"/>
      <c r="C367" s="5"/>
      <c r="D367" s="5"/>
      <c r="E367" s="6"/>
      <c r="F367" s="6"/>
      <c r="G367" s="5"/>
      <c r="H367" s="5"/>
      <c r="I367" s="5"/>
      <c r="J367" s="5"/>
      <c r="K367" s="5"/>
      <c r="L367" s="5"/>
      <c r="M367" s="5"/>
      <c r="N367" s="5"/>
      <c r="O367" s="5"/>
      <c r="P367" s="5"/>
      <c r="Q367" s="5"/>
      <c r="R367" s="5"/>
      <c r="S367" s="5"/>
      <c r="T367" s="5"/>
      <c r="U367" s="5"/>
      <c r="V367" s="5"/>
      <c r="W367" s="5"/>
      <c r="X367" s="5"/>
      <c r="Y367" s="5"/>
      <c r="Z367" s="5"/>
      <c r="AA367" s="5"/>
      <c r="AB367" s="5"/>
    </row>
    <row r="368" ht="15.75" customHeight="1">
      <c r="A368" s="8"/>
      <c r="B368" s="7"/>
      <c r="C368" s="5"/>
      <c r="D368" s="5"/>
      <c r="E368" s="6"/>
      <c r="F368" s="6"/>
      <c r="G368" s="5"/>
      <c r="H368" s="5"/>
      <c r="I368" s="5"/>
      <c r="J368" s="5"/>
      <c r="K368" s="5"/>
      <c r="L368" s="5"/>
      <c r="M368" s="5"/>
      <c r="N368" s="5"/>
      <c r="O368" s="5"/>
      <c r="P368" s="5"/>
      <c r="Q368" s="5"/>
      <c r="R368" s="5"/>
      <c r="S368" s="5"/>
      <c r="T368" s="5"/>
      <c r="U368" s="5"/>
      <c r="V368" s="5"/>
      <c r="W368" s="5"/>
      <c r="X368" s="5"/>
      <c r="Y368" s="5"/>
      <c r="Z368" s="5"/>
      <c r="AA368" s="5"/>
      <c r="AB368" s="5"/>
    </row>
    <row r="369" ht="15.75" customHeight="1">
      <c r="A369" s="8"/>
      <c r="B369" s="7"/>
      <c r="C369" s="5"/>
      <c r="D369" s="5"/>
      <c r="E369" s="6"/>
      <c r="F369" s="6"/>
      <c r="G369" s="5"/>
      <c r="H369" s="5"/>
      <c r="I369" s="5"/>
      <c r="J369" s="5"/>
      <c r="K369" s="5"/>
      <c r="L369" s="5"/>
      <c r="M369" s="5"/>
      <c r="N369" s="5"/>
      <c r="O369" s="5"/>
      <c r="P369" s="5"/>
      <c r="Q369" s="5"/>
      <c r="R369" s="5"/>
      <c r="S369" s="5"/>
      <c r="T369" s="5"/>
      <c r="U369" s="5"/>
      <c r="V369" s="5"/>
      <c r="W369" s="5"/>
      <c r="X369" s="5"/>
      <c r="Y369" s="5"/>
      <c r="Z369" s="5"/>
      <c r="AA369" s="5"/>
      <c r="AB369" s="5"/>
    </row>
    <row r="370" ht="15.75" customHeight="1">
      <c r="A370" s="8"/>
      <c r="B370" s="7"/>
      <c r="C370" s="5"/>
      <c r="D370" s="5"/>
      <c r="E370" s="6"/>
      <c r="F370" s="6"/>
      <c r="G370" s="5"/>
      <c r="H370" s="5"/>
      <c r="I370" s="5"/>
      <c r="J370" s="5"/>
      <c r="K370" s="5"/>
      <c r="L370" s="5"/>
      <c r="M370" s="5"/>
      <c r="N370" s="5"/>
      <c r="O370" s="5"/>
      <c r="P370" s="5"/>
      <c r="Q370" s="5"/>
      <c r="R370" s="5"/>
      <c r="S370" s="5"/>
      <c r="T370" s="5"/>
      <c r="U370" s="5"/>
      <c r="V370" s="5"/>
      <c r="W370" s="5"/>
      <c r="X370" s="5"/>
      <c r="Y370" s="5"/>
      <c r="Z370" s="5"/>
      <c r="AA370" s="5"/>
      <c r="AB370" s="5"/>
    </row>
    <row r="371" ht="15.75" customHeight="1">
      <c r="A371" s="8"/>
      <c r="B371" s="7"/>
      <c r="C371" s="5"/>
      <c r="D371" s="5"/>
      <c r="E371" s="6"/>
      <c r="F371" s="6"/>
      <c r="G371" s="5"/>
      <c r="H371" s="5"/>
      <c r="I371" s="5"/>
      <c r="J371" s="5"/>
      <c r="K371" s="5"/>
      <c r="L371" s="5"/>
      <c r="M371" s="5"/>
      <c r="N371" s="5"/>
      <c r="O371" s="5"/>
      <c r="P371" s="5"/>
      <c r="Q371" s="5"/>
      <c r="R371" s="5"/>
      <c r="S371" s="5"/>
      <c r="T371" s="5"/>
      <c r="U371" s="5"/>
      <c r="V371" s="5"/>
      <c r="W371" s="5"/>
      <c r="X371" s="5"/>
      <c r="Y371" s="5"/>
      <c r="Z371" s="5"/>
      <c r="AA371" s="5"/>
      <c r="AB371" s="5"/>
    </row>
    <row r="372" ht="15.75" customHeight="1">
      <c r="A372" s="8"/>
      <c r="B372" s="7"/>
      <c r="C372" s="5"/>
      <c r="D372" s="5"/>
      <c r="E372" s="6"/>
      <c r="F372" s="6"/>
      <c r="G372" s="5"/>
      <c r="H372" s="5"/>
      <c r="I372" s="5"/>
      <c r="J372" s="5"/>
      <c r="K372" s="5"/>
      <c r="L372" s="5"/>
      <c r="M372" s="5"/>
      <c r="N372" s="5"/>
      <c r="O372" s="5"/>
      <c r="P372" s="5"/>
      <c r="Q372" s="5"/>
      <c r="R372" s="5"/>
      <c r="S372" s="5"/>
      <c r="T372" s="5"/>
      <c r="U372" s="5"/>
      <c r="V372" s="5"/>
      <c r="W372" s="5"/>
      <c r="X372" s="5"/>
      <c r="Y372" s="5"/>
      <c r="Z372" s="5"/>
      <c r="AA372" s="5"/>
      <c r="AB372" s="5"/>
    </row>
    <row r="373" ht="15.75" customHeight="1">
      <c r="A373" s="8"/>
      <c r="B373" s="7"/>
      <c r="C373" s="5"/>
      <c r="D373" s="5"/>
      <c r="E373" s="6"/>
      <c r="F373" s="6"/>
      <c r="G373" s="5"/>
      <c r="H373" s="5"/>
      <c r="I373" s="5"/>
      <c r="J373" s="5"/>
      <c r="K373" s="5"/>
      <c r="L373" s="5"/>
      <c r="M373" s="5"/>
      <c r="N373" s="5"/>
      <c r="O373" s="5"/>
      <c r="P373" s="5"/>
      <c r="Q373" s="5"/>
      <c r="R373" s="5"/>
      <c r="S373" s="5"/>
      <c r="T373" s="5"/>
      <c r="U373" s="5"/>
      <c r="V373" s="5"/>
      <c r="W373" s="5"/>
      <c r="X373" s="5"/>
      <c r="Y373" s="5"/>
      <c r="Z373" s="5"/>
      <c r="AA373" s="5"/>
      <c r="AB373" s="5"/>
    </row>
    <row r="374" ht="15.75" customHeight="1">
      <c r="A374" s="8"/>
      <c r="B374" s="7"/>
      <c r="C374" s="5"/>
      <c r="D374" s="5"/>
      <c r="E374" s="6"/>
      <c r="F374" s="6"/>
      <c r="G374" s="5"/>
      <c r="H374" s="5"/>
      <c r="I374" s="5"/>
      <c r="J374" s="5"/>
      <c r="K374" s="5"/>
      <c r="L374" s="5"/>
      <c r="M374" s="5"/>
      <c r="N374" s="5"/>
      <c r="O374" s="5"/>
      <c r="P374" s="5"/>
      <c r="Q374" s="5"/>
      <c r="R374" s="5"/>
      <c r="S374" s="5"/>
      <c r="T374" s="5"/>
      <c r="U374" s="5"/>
      <c r="V374" s="5"/>
      <c r="W374" s="5"/>
      <c r="X374" s="5"/>
      <c r="Y374" s="5"/>
      <c r="Z374" s="5"/>
      <c r="AA374" s="5"/>
      <c r="AB374" s="5"/>
    </row>
    <row r="375" ht="15.75" customHeight="1">
      <c r="A375" s="8"/>
      <c r="B375" s="7"/>
      <c r="C375" s="5"/>
      <c r="D375" s="5"/>
      <c r="E375" s="6"/>
      <c r="F375" s="6"/>
      <c r="G375" s="5"/>
      <c r="H375" s="5"/>
      <c r="I375" s="5"/>
      <c r="J375" s="5"/>
      <c r="K375" s="5"/>
      <c r="L375" s="5"/>
      <c r="M375" s="5"/>
      <c r="N375" s="5"/>
      <c r="O375" s="5"/>
      <c r="P375" s="5"/>
      <c r="Q375" s="5"/>
      <c r="R375" s="5"/>
      <c r="S375" s="5"/>
      <c r="T375" s="5"/>
      <c r="U375" s="5"/>
      <c r="V375" s="5"/>
      <c r="W375" s="5"/>
      <c r="X375" s="5"/>
      <c r="Y375" s="5"/>
      <c r="Z375" s="5"/>
      <c r="AA375" s="5"/>
      <c r="AB375" s="5"/>
    </row>
    <row r="376" ht="15.75" customHeight="1">
      <c r="A376" s="8"/>
      <c r="B376" s="7"/>
      <c r="C376" s="5"/>
      <c r="D376" s="5"/>
      <c r="E376" s="6"/>
      <c r="F376" s="6"/>
      <c r="G376" s="5"/>
      <c r="H376" s="5"/>
      <c r="I376" s="5"/>
      <c r="J376" s="5"/>
      <c r="K376" s="5"/>
      <c r="L376" s="5"/>
      <c r="M376" s="5"/>
      <c r="N376" s="5"/>
      <c r="O376" s="5"/>
      <c r="P376" s="5"/>
      <c r="Q376" s="5"/>
      <c r="R376" s="5"/>
      <c r="S376" s="5"/>
      <c r="T376" s="5"/>
      <c r="U376" s="5"/>
      <c r="V376" s="5"/>
      <c r="W376" s="5"/>
      <c r="X376" s="5"/>
      <c r="Y376" s="5"/>
      <c r="Z376" s="5"/>
      <c r="AA376" s="5"/>
      <c r="AB376" s="5"/>
    </row>
    <row r="377" ht="15.75" customHeight="1">
      <c r="A377" s="8"/>
      <c r="B377" s="7"/>
      <c r="C377" s="5"/>
      <c r="D377" s="5"/>
      <c r="E377" s="6"/>
      <c r="F377" s="6"/>
      <c r="G377" s="5"/>
      <c r="H377" s="5"/>
      <c r="I377" s="5"/>
      <c r="J377" s="5"/>
      <c r="K377" s="5"/>
      <c r="L377" s="5"/>
      <c r="M377" s="5"/>
      <c r="N377" s="5"/>
      <c r="O377" s="5"/>
      <c r="P377" s="5"/>
      <c r="Q377" s="5"/>
      <c r="R377" s="5"/>
      <c r="S377" s="5"/>
      <c r="T377" s="5"/>
      <c r="U377" s="5"/>
      <c r="V377" s="5"/>
      <c r="W377" s="5"/>
      <c r="X377" s="5"/>
      <c r="Y377" s="5"/>
      <c r="Z377" s="5"/>
      <c r="AA377" s="5"/>
      <c r="AB377" s="5"/>
    </row>
    <row r="378" ht="15.75" customHeight="1">
      <c r="A378" s="8"/>
      <c r="B378" s="7"/>
      <c r="C378" s="5"/>
      <c r="D378" s="5"/>
      <c r="E378" s="6"/>
      <c r="F378" s="6"/>
      <c r="G378" s="5"/>
      <c r="H378" s="5"/>
      <c r="I378" s="5"/>
      <c r="J378" s="5"/>
      <c r="K378" s="5"/>
      <c r="L378" s="5"/>
      <c r="M378" s="5"/>
      <c r="N378" s="5"/>
      <c r="O378" s="5"/>
      <c r="P378" s="5"/>
      <c r="Q378" s="5"/>
      <c r="R378" s="5"/>
      <c r="S378" s="5"/>
      <c r="T378" s="5"/>
      <c r="U378" s="5"/>
      <c r="V378" s="5"/>
      <c r="W378" s="5"/>
      <c r="X378" s="5"/>
      <c r="Y378" s="5"/>
      <c r="Z378" s="5"/>
      <c r="AA378" s="5"/>
      <c r="AB378" s="5"/>
    </row>
    <row r="379" ht="15.75" customHeight="1">
      <c r="A379" s="8"/>
      <c r="B379" s="7"/>
      <c r="C379" s="5"/>
      <c r="D379" s="5"/>
      <c r="E379" s="6"/>
      <c r="F379" s="6"/>
      <c r="G379" s="5"/>
      <c r="H379" s="5"/>
      <c r="I379" s="5"/>
      <c r="J379" s="5"/>
      <c r="K379" s="5"/>
      <c r="L379" s="5"/>
      <c r="M379" s="5"/>
      <c r="N379" s="5"/>
      <c r="O379" s="5"/>
      <c r="P379" s="5"/>
      <c r="Q379" s="5"/>
      <c r="R379" s="5"/>
      <c r="S379" s="5"/>
      <c r="T379" s="5"/>
      <c r="U379" s="5"/>
      <c r="V379" s="5"/>
      <c r="W379" s="5"/>
      <c r="X379" s="5"/>
      <c r="Y379" s="5"/>
      <c r="Z379" s="5"/>
      <c r="AA379" s="5"/>
      <c r="AB379" s="5"/>
    </row>
    <row r="380" ht="15.75" customHeight="1">
      <c r="A380" s="8"/>
      <c r="B380" s="7"/>
      <c r="C380" s="5"/>
      <c r="D380" s="5"/>
      <c r="E380" s="6"/>
      <c r="F380" s="6"/>
      <c r="G380" s="5"/>
      <c r="H380" s="5"/>
      <c r="I380" s="5"/>
      <c r="J380" s="5"/>
      <c r="K380" s="5"/>
      <c r="L380" s="5"/>
      <c r="M380" s="5"/>
      <c r="N380" s="5"/>
      <c r="O380" s="5"/>
      <c r="P380" s="5"/>
      <c r="Q380" s="5"/>
      <c r="R380" s="5"/>
      <c r="S380" s="5"/>
      <c r="T380" s="5"/>
      <c r="U380" s="5"/>
      <c r="V380" s="5"/>
      <c r="W380" s="5"/>
      <c r="X380" s="5"/>
      <c r="Y380" s="5"/>
      <c r="Z380" s="5"/>
      <c r="AA380" s="5"/>
      <c r="AB380" s="5"/>
    </row>
    <row r="381" ht="15.75" customHeight="1">
      <c r="A381" s="8"/>
      <c r="B381" s="7"/>
      <c r="C381" s="5"/>
      <c r="D381" s="5"/>
      <c r="E381" s="6"/>
      <c r="F381" s="6"/>
      <c r="G381" s="5"/>
      <c r="H381" s="5"/>
      <c r="I381" s="5"/>
      <c r="J381" s="5"/>
      <c r="K381" s="5"/>
      <c r="L381" s="5"/>
      <c r="M381" s="5"/>
      <c r="N381" s="5"/>
      <c r="O381" s="5"/>
      <c r="P381" s="5"/>
      <c r="Q381" s="5"/>
      <c r="R381" s="5"/>
      <c r="S381" s="5"/>
      <c r="T381" s="5"/>
      <c r="U381" s="5"/>
      <c r="V381" s="5"/>
      <c r="W381" s="5"/>
      <c r="X381" s="5"/>
      <c r="Y381" s="5"/>
      <c r="Z381" s="5"/>
      <c r="AA381" s="5"/>
      <c r="AB381" s="5"/>
    </row>
    <row r="382" ht="15.75" customHeight="1">
      <c r="A382" s="8"/>
      <c r="B382" s="7"/>
      <c r="C382" s="5"/>
      <c r="D382" s="5"/>
      <c r="E382" s="20"/>
      <c r="F382" s="20"/>
      <c r="G382" s="5"/>
      <c r="H382" s="5"/>
      <c r="I382" s="5"/>
      <c r="J382" s="5"/>
      <c r="K382" s="5"/>
      <c r="L382" s="5"/>
      <c r="M382" s="5"/>
      <c r="N382" s="5"/>
      <c r="O382" s="5"/>
      <c r="P382" s="5"/>
      <c r="Q382" s="5"/>
      <c r="R382" s="5"/>
      <c r="S382" s="5"/>
      <c r="T382" s="5"/>
      <c r="U382" s="5"/>
      <c r="V382" s="5"/>
      <c r="W382" s="5"/>
      <c r="X382" s="5"/>
      <c r="Y382" s="5"/>
      <c r="Z382" s="5"/>
      <c r="AA382" s="5"/>
      <c r="AB382" s="5"/>
    </row>
    <row r="383" ht="15.75" customHeight="1">
      <c r="A383" s="8"/>
      <c r="B383" s="7"/>
      <c r="C383" s="5"/>
      <c r="D383" s="5"/>
      <c r="E383" s="19"/>
      <c r="F383" s="19"/>
      <c r="G383" s="5"/>
      <c r="H383" s="5"/>
      <c r="I383" s="5"/>
      <c r="J383" s="5"/>
      <c r="K383" s="5"/>
      <c r="L383" s="5"/>
      <c r="M383" s="5"/>
      <c r="N383" s="5"/>
      <c r="O383" s="5"/>
      <c r="P383" s="5"/>
      <c r="Q383" s="5"/>
      <c r="R383" s="5"/>
      <c r="S383" s="5"/>
      <c r="T383" s="5"/>
      <c r="U383" s="5"/>
      <c r="V383" s="5"/>
      <c r="W383" s="5"/>
      <c r="X383" s="5"/>
      <c r="Y383" s="5"/>
      <c r="Z383" s="5"/>
      <c r="AA383" s="5"/>
      <c r="AB383" s="5"/>
    </row>
    <row r="384" ht="15.75" customHeight="1">
      <c r="A384" s="8"/>
      <c r="B384" s="7"/>
      <c r="C384" s="5"/>
      <c r="D384" s="5"/>
      <c r="E384" s="20"/>
      <c r="F384" s="20"/>
      <c r="G384" s="5"/>
      <c r="H384" s="5"/>
      <c r="I384" s="5"/>
      <c r="J384" s="5"/>
      <c r="K384" s="5"/>
      <c r="L384" s="5"/>
      <c r="M384" s="5"/>
      <c r="N384" s="5"/>
      <c r="O384" s="5"/>
      <c r="P384" s="5"/>
      <c r="Q384" s="5"/>
      <c r="R384" s="5"/>
      <c r="S384" s="5"/>
      <c r="T384" s="5"/>
      <c r="U384" s="5"/>
      <c r="V384" s="5"/>
      <c r="W384" s="5"/>
      <c r="X384" s="5"/>
      <c r="Y384" s="5"/>
      <c r="Z384" s="5"/>
      <c r="AA384" s="5"/>
      <c r="AB384" s="5"/>
    </row>
    <row r="385" ht="15.75" customHeight="1">
      <c r="A385" s="8"/>
      <c r="B385" s="7"/>
      <c r="C385" s="11"/>
      <c r="D385" s="5"/>
      <c r="E385" s="19"/>
      <c r="F385" s="19"/>
      <c r="G385" s="5"/>
      <c r="H385" s="5"/>
      <c r="I385" s="5"/>
      <c r="J385" s="5"/>
      <c r="K385" s="5"/>
      <c r="L385" s="5"/>
      <c r="M385" s="5"/>
      <c r="N385" s="5"/>
      <c r="O385" s="5"/>
      <c r="P385" s="5"/>
      <c r="Q385" s="5"/>
      <c r="R385" s="5"/>
      <c r="S385" s="5"/>
      <c r="T385" s="5"/>
      <c r="U385" s="5"/>
      <c r="V385" s="5"/>
      <c r="W385" s="5"/>
      <c r="X385" s="5"/>
      <c r="Y385" s="5"/>
      <c r="Z385" s="5"/>
      <c r="AA385" s="5"/>
      <c r="AB385" s="5"/>
    </row>
    <row r="386" ht="15.75" customHeight="1">
      <c r="A386" s="8"/>
      <c r="B386" s="7"/>
      <c r="C386" s="5"/>
      <c r="D386" s="5"/>
      <c r="E386" s="6"/>
      <c r="F386" s="6"/>
      <c r="G386" s="5"/>
      <c r="H386" s="5"/>
      <c r="I386" s="5"/>
      <c r="J386" s="5"/>
      <c r="K386" s="5"/>
      <c r="L386" s="5"/>
      <c r="M386" s="5"/>
      <c r="N386" s="5"/>
      <c r="O386" s="5"/>
      <c r="P386" s="5"/>
      <c r="Q386" s="5"/>
      <c r="R386" s="5"/>
      <c r="S386" s="5"/>
      <c r="T386" s="5"/>
      <c r="U386" s="5"/>
      <c r="V386" s="5"/>
      <c r="W386" s="5"/>
      <c r="X386" s="5"/>
      <c r="Y386" s="5"/>
      <c r="Z386" s="5"/>
      <c r="AA386" s="5"/>
      <c r="AB386" s="5"/>
    </row>
    <row r="387" ht="15.75" customHeight="1">
      <c r="A387" s="8"/>
      <c r="B387" s="7"/>
      <c r="C387" s="5"/>
      <c r="D387" s="5"/>
      <c r="E387" s="6"/>
      <c r="F387" s="6"/>
      <c r="G387" s="5"/>
      <c r="H387" s="5"/>
      <c r="I387" s="5"/>
      <c r="J387" s="5"/>
      <c r="K387" s="5"/>
      <c r="L387" s="5"/>
      <c r="M387" s="5"/>
      <c r="N387" s="5"/>
      <c r="O387" s="5"/>
      <c r="P387" s="5"/>
      <c r="Q387" s="5"/>
      <c r="R387" s="5"/>
      <c r="S387" s="5"/>
      <c r="T387" s="5"/>
      <c r="U387" s="5"/>
      <c r="V387" s="5"/>
      <c r="W387" s="5"/>
      <c r="X387" s="5"/>
      <c r="Y387" s="5"/>
      <c r="Z387" s="5"/>
      <c r="AA387" s="5"/>
      <c r="AB387" s="5"/>
    </row>
    <row r="388" ht="15.75" customHeight="1">
      <c r="A388" s="8"/>
      <c r="B388" s="7"/>
      <c r="C388" s="5"/>
      <c r="D388" s="5"/>
      <c r="E388" s="6"/>
      <c r="F388" s="6"/>
      <c r="G388" s="5"/>
      <c r="H388" s="5"/>
      <c r="I388" s="5"/>
      <c r="J388" s="5"/>
      <c r="K388" s="5"/>
      <c r="L388" s="5"/>
      <c r="M388" s="5"/>
      <c r="N388" s="5"/>
      <c r="O388" s="5"/>
      <c r="P388" s="5"/>
      <c r="Q388" s="5"/>
      <c r="R388" s="5"/>
      <c r="S388" s="5"/>
      <c r="T388" s="5"/>
      <c r="U388" s="5"/>
      <c r="V388" s="5"/>
      <c r="W388" s="5"/>
      <c r="X388" s="5"/>
      <c r="Y388" s="5"/>
      <c r="Z388" s="5"/>
      <c r="AA388" s="5"/>
      <c r="AB388" s="5"/>
    </row>
    <row r="389" ht="15.75" customHeight="1">
      <c r="A389" s="8"/>
      <c r="B389" s="7"/>
      <c r="C389" s="5"/>
      <c r="D389" s="5"/>
      <c r="E389" s="6"/>
      <c r="F389" s="6"/>
      <c r="G389" s="5"/>
      <c r="H389" s="5"/>
      <c r="I389" s="5"/>
      <c r="J389" s="5"/>
      <c r="K389" s="5"/>
      <c r="L389" s="5"/>
      <c r="M389" s="5"/>
      <c r="N389" s="5"/>
      <c r="O389" s="5"/>
      <c r="P389" s="5"/>
      <c r="Q389" s="5"/>
      <c r="R389" s="5"/>
      <c r="S389" s="5"/>
      <c r="T389" s="5"/>
      <c r="U389" s="5"/>
      <c r="V389" s="5"/>
      <c r="W389" s="5"/>
      <c r="X389" s="5"/>
      <c r="Y389" s="5"/>
      <c r="Z389" s="5"/>
      <c r="AA389" s="5"/>
      <c r="AB389" s="5"/>
    </row>
    <row r="390" ht="15.75" customHeight="1">
      <c r="A390" s="8"/>
      <c r="B390" s="7"/>
      <c r="C390" s="5"/>
      <c r="D390" s="5"/>
      <c r="E390" s="20"/>
      <c r="F390" s="20"/>
      <c r="G390" s="5"/>
      <c r="H390" s="5"/>
      <c r="I390" s="5"/>
      <c r="J390" s="5"/>
      <c r="K390" s="5"/>
      <c r="L390" s="5"/>
      <c r="M390" s="5"/>
      <c r="N390" s="5"/>
      <c r="O390" s="5"/>
      <c r="P390" s="5"/>
      <c r="Q390" s="5"/>
      <c r="R390" s="5"/>
      <c r="S390" s="5"/>
      <c r="T390" s="5"/>
      <c r="U390" s="5"/>
      <c r="V390" s="5"/>
      <c r="W390" s="5"/>
      <c r="X390" s="5"/>
      <c r="Y390" s="5"/>
      <c r="Z390" s="5"/>
      <c r="AA390" s="5"/>
      <c r="AB390" s="5"/>
    </row>
    <row r="391" ht="15.75" customHeight="1">
      <c r="A391" s="8"/>
      <c r="B391" s="7"/>
      <c r="C391" s="5"/>
      <c r="D391" s="5"/>
      <c r="E391" s="19"/>
      <c r="F391" s="19"/>
      <c r="G391" s="5"/>
      <c r="H391" s="5"/>
      <c r="I391" s="5"/>
      <c r="J391" s="5"/>
      <c r="K391" s="5"/>
      <c r="L391" s="5"/>
      <c r="M391" s="5"/>
      <c r="N391" s="5"/>
      <c r="O391" s="5"/>
      <c r="P391" s="5"/>
      <c r="Q391" s="5"/>
      <c r="R391" s="5"/>
      <c r="S391" s="5"/>
      <c r="T391" s="5"/>
      <c r="U391" s="5"/>
      <c r="V391" s="5"/>
      <c r="W391" s="5"/>
      <c r="X391" s="5"/>
      <c r="Y391" s="5"/>
      <c r="Z391" s="5"/>
      <c r="AA391" s="5"/>
      <c r="AB391" s="5"/>
    </row>
    <row r="392" ht="15.75" customHeight="1">
      <c r="A392" s="8"/>
      <c r="B392" s="7"/>
      <c r="C392" s="5"/>
      <c r="D392" s="5"/>
      <c r="E392" s="23"/>
      <c r="F392" s="23"/>
      <c r="G392" s="5"/>
      <c r="H392" s="5"/>
      <c r="I392" s="5"/>
      <c r="J392" s="5"/>
      <c r="K392" s="5"/>
      <c r="L392" s="5"/>
      <c r="M392" s="5"/>
      <c r="N392" s="5"/>
      <c r="O392" s="5"/>
      <c r="P392" s="5"/>
      <c r="Q392" s="5"/>
      <c r="R392" s="5"/>
      <c r="S392" s="5"/>
      <c r="T392" s="5"/>
      <c r="U392" s="5"/>
      <c r="V392" s="5"/>
      <c r="W392" s="5"/>
      <c r="X392" s="5"/>
      <c r="Y392" s="5"/>
      <c r="Z392" s="5"/>
      <c r="AA392" s="5"/>
      <c r="AB392" s="5"/>
    </row>
    <row r="393" ht="15.75" customHeight="1">
      <c r="A393" s="8"/>
      <c r="B393" s="7"/>
      <c r="C393" s="5"/>
      <c r="D393" s="5"/>
      <c r="E393" s="19"/>
      <c r="F393" s="19"/>
      <c r="G393" s="5"/>
      <c r="H393" s="5"/>
      <c r="I393" s="5"/>
      <c r="J393" s="5"/>
      <c r="K393" s="5"/>
      <c r="L393" s="5"/>
      <c r="M393" s="5"/>
      <c r="N393" s="5"/>
      <c r="O393" s="5"/>
      <c r="P393" s="5"/>
      <c r="Q393" s="5"/>
      <c r="R393" s="5"/>
      <c r="S393" s="5"/>
      <c r="T393" s="5"/>
      <c r="U393" s="5"/>
      <c r="V393" s="5"/>
      <c r="W393" s="5"/>
      <c r="X393" s="5"/>
      <c r="Y393" s="5"/>
      <c r="Z393" s="5"/>
      <c r="AA393" s="5"/>
      <c r="AB393" s="5"/>
    </row>
    <row r="394" ht="15.75" customHeight="1">
      <c r="A394" s="8"/>
      <c r="B394" s="7"/>
      <c r="C394" s="5"/>
      <c r="D394" s="5"/>
      <c r="E394" s="6"/>
      <c r="F394" s="6"/>
      <c r="G394" s="5"/>
      <c r="H394" s="5"/>
      <c r="I394" s="5"/>
      <c r="J394" s="5"/>
      <c r="K394" s="5"/>
      <c r="L394" s="5"/>
      <c r="M394" s="5"/>
      <c r="N394" s="5"/>
      <c r="O394" s="5"/>
      <c r="P394" s="5"/>
      <c r="Q394" s="5"/>
      <c r="R394" s="5"/>
      <c r="S394" s="5"/>
      <c r="T394" s="5"/>
      <c r="U394" s="5"/>
      <c r="V394" s="5"/>
      <c r="W394" s="5"/>
      <c r="X394" s="5"/>
      <c r="Y394" s="5"/>
      <c r="Z394" s="5"/>
      <c r="AA394" s="5"/>
      <c r="AB394" s="5"/>
    </row>
    <row r="395" ht="15.75" customHeight="1">
      <c r="A395" s="8"/>
      <c r="B395" s="7"/>
      <c r="C395" s="5"/>
      <c r="D395" s="5"/>
      <c r="E395" s="19"/>
      <c r="F395" s="19"/>
      <c r="G395" s="5"/>
      <c r="H395" s="5"/>
      <c r="I395" s="5"/>
      <c r="J395" s="5"/>
      <c r="K395" s="5"/>
      <c r="L395" s="5"/>
      <c r="M395" s="5"/>
      <c r="N395" s="5"/>
      <c r="O395" s="5"/>
      <c r="P395" s="5"/>
      <c r="Q395" s="5"/>
      <c r="R395" s="5"/>
      <c r="S395" s="5"/>
      <c r="T395" s="5"/>
      <c r="U395" s="5"/>
      <c r="V395" s="5"/>
      <c r="W395" s="5"/>
      <c r="X395" s="5"/>
      <c r="Y395" s="5"/>
      <c r="Z395" s="5"/>
      <c r="AA395" s="5"/>
      <c r="AB395" s="5"/>
    </row>
    <row r="396" ht="15.75" customHeight="1">
      <c r="A396" s="8"/>
      <c r="B396" s="7"/>
      <c r="C396" s="5"/>
      <c r="D396" s="5"/>
      <c r="E396" s="24"/>
      <c r="F396" s="24"/>
      <c r="G396" s="5"/>
      <c r="H396" s="5"/>
      <c r="I396" s="5"/>
      <c r="J396" s="5"/>
      <c r="K396" s="5"/>
      <c r="L396" s="5"/>
      <c r="M396" s="5"/>
      <c r="N396" s="5"/>
      <c r="O396" s="5"/>
      <c r="P396" s="5"/>
      <c r="Q396" s="5"/>
      <c r="R396" s="5"/>
      <c r="S396" s="5"/>
      <c r="T396" s="5"/>
      <c r="U396" s="5"/>
      <c r="V396" s="5"/>
      <c r="W396" s="5"/>
      <c r="X396" s="5"/>
      <c r="Y396" s="5"/>
      <c r="Z396" s="5"/>
      <c r="AA396" s="5"/>
      <c r="AB396" s="5"/>
    </row>
    <row r="397" ht="15.75" customHeight="1">
      <c r="A397" s="8"/>
      <c r="B397" s="7"/>
      <c r="C397" s="5"/>
      <c r="D397" s="5"/>
      <c r="E397" s="24"/>
      <c r="F397" s="24"/>
      <c r="G397" s="5"/>
      <c r="H397" s="5"/>
      <c r="I397" s="5"/>
      <c r="J397" s="5"/>
      <c r="K397" s="5"/>
      <c r="L397" s="5"/>
      <c r="M397" s="5"/>
      <c r="N397" s="5"/>
      <c r="O397" s="5"/>
      <c r="P397" s="5"/>
      <c r="Q397" s="5"/>
      <c r="R397" s="5"/>
      <c r="S397" s="5"/>
      <c r="T397" s="5"/>
      <c r="U397" s="5"/>
      <c r="V397" s="5"/>
      <c r="W397" s="5"/>
      <c r="X397" s="5"/>
      <c r="Y397" s="5"/>
      <c r="Z397" s="5"/>
      <c r="AA397" s="5"/>
      <c r="AB397" s="5"/>
    </row>
    <row r="398" ht="15.75" customHeight="1">
      <c r="A398" s="8"/>
      <c r="B398" s="7"/>
      <c r="C398" s="5"/>
      <c r="D398" s="5"/>
      <c r="E398" s="6"/>
      <c r="F398" s="6"/>
      <c r="G398" s="5"/>
      <c r="H398" s="5"/>
      <c r="I398" s="5"/>
      <c r="J398" s="5"/>
      <c r="K398" s="5"/>
      <c r="L398" s="5"/>
      <c r="M398" s="5"/>
      <c r="N398" s="5"/>
      <c r="O398" s="5"/>
      <c r="P398" s="5"/>
      <c r="Q398" s="5"/>
      <c r="R398" s="5"/>
      <c r="S398" s="5"/>
      <c r="T398" s="5"/>
      <c r="U398" s="5"/>
      <c r="V398" s="5"/>
      <c r="W398" s="5"/>
      <c r="X398" s="5"/>
      <c r="Y398" s="5"/>
      <c r="Z398" s="5"/>
      <c r="AA398" s="5"/>
      <c r="AB398" s="5"/>
    </row>
    <row r="399" ht="15.75" customHeight="1">
      <c r="A399" s="8"/>
      <c r="B399" s="7"/>
      <c r="C399" s="5"/>
      <c r="D399" s="5"/>
      <c r="E399" s="20"/>
      <c r="F399" s="20"/>
      <c r="G399" s="5"/>
      <c r="H399" s="5"/>
      <c r="I399" s="3"/>
      <c r="J399" s="5"/>
      <c r="K399" s="5"/>
      <c r="L399" s="5"/>
      <c r="M399" s="5"/>
      <c r="N399" s="5"/>
      <c r="O399" s="5"/>
      <c r="P399" s="5"/>
      <c r="Q399" s="5"/>
      <c r="R399" s="5"/>
      <c r="S399" s="5"/>
      <c r="T399" s="5"/>
      <c r="U399" s="5"/>
      <c r="V399" s="5"/>
      <c r="W399" s="5"/>
      <c r="X399" s="5"/>
      <c r="Y399" s="5"/>
      <c r="Z399" s="5"/>
      <c r="AA399" s="5"/>
      <c r="AB399" s="5"/>
    </row>
    <row r="400" ht="15.75" customHeight="1">
      <c r="A400" s="8"/>
      <c r="B400" s="7"/>
      <c r="C400" s="5"/>
      <c r="D400" s="5"/>
      <c r="E400" s="21"/>
      <c r="F400" s="21"/>
      <c r="G400" s="5"/>
      <c r="H400" s="5"/>
      <c r="I400" s="5"/>
      <c r="J400" s="5"/>
      <c r="K400" s="5"/>
      <c r="L400" s="5"/>
      <c r="M400" s="5"/>
      <c r="N400" s="5"/>
      <c r="O400" s="5"/>
      <c r="P400" s="5"/>
      <c r="Q400" s="5"/>
      <c r="R400" s="5"/>
      <c r="S400" s="5"/>
      <c r="T400" s="5"/>
      <c r="U400" s="5"/>
      <c r="V400" s="5"/>
      <c r="W400" s="5"/>
      <c r="X400" s="5"/>
      <c r="Y400" s="5"/>
      <c r="Z400" s="5"/>
      <c r="AA400" s="5"/>
      <c r="AB400" s="5"/>
    </row>
    <row r="401" ht="15.75" customHeight="1">
      <c r="A401" s="8"/>
      <c r="B401" s="7"/>
      <c r="C401" s="5"/>
      <c r="D401" s="5"/>
      <c r="E401" s="6"/>
      <c r="F401" s="6"/>
      <c r="G401" s="5"/>
      <c r="H401" s="5"/>
      <c r="I401" s="5"/>
      <c r="J401" s="5"/>
      <c r="K401" s="5"/>
      <c r="L401" s="5"/>
      <c r="M401" s="5"/>
      <c r="N401" s="5"/>
      <c r="O401" s="5"/>
      <c r="P401" s="5"/>
      <c r="Q401" s="5"/>
      <c r="R401" s="5"/>
      <c r="S401" s="5"/>
      <c r="T401" s="5"/>
      <c r="U401" s="5"/>
      <c r="V401" s="5"/>
      <c r="W401" s="5"/>
      <c r="X401" s="5"/>
      <c r="Y401" s="5"/>
      <c r="Z401" s="5"/>
      <c r="AA401" s="5"/>
      <c r="AB401" s="5"/>
    </row>
    <row r="402" ht="37.5" customHeight="1">
      <c r="A402" s="8"/>
      <c r="B402" s="7"/>
      <c r="C402" s="5"/>
      <c r="D402" s="5"/>
      <c r="E402" s="25"/>
      <c r="F402" s="20"/>
      <c r="G402" s="5"/>
      <c r="H402" s="5"/>
      <c r="I402" s="5"/>
      <c r="J402" s="5"/>
      <c r="K402" s="5"/>
      <c r="L402" s="13"/>
      <c r="M402" s="5"/>
      <c r="N402" s="5"/>
      <c r="O402" s="5"/>
      <c r="P402" s="5"/>
      <c r="Q402" s="5"/>
      <c r="R402" s="5"/>
      <c r="S402" s="5"/>
      <c r="T402" s="5"/>
      <c r="U402" s="5"/>
      <c r="V402" s="5"/>
      <c r="W402" s="5"/>
      <c r="X402" s="5"/>
      <c r="Y402" s="5"/>
      <c r="Z402" s="5"/>
      <c r="AA402" s="5"/>
      <c r="AB402" s="5"/>
    </row>
    <row r="403" ht="15.75" customHeight="1">
      <c r="A403" s="8"/>
      <c r="B403" s="7"/>
      <c r="C403" s="5"/>
      <c r="D403" s="5"/>
      <c r="E403" s="21"/>
      <c r="F403" s="21"/>
      <c r="G403" s="5"/>
      <c r="H403" s="5"/>
      <c r="I403" s="5"/>
      <c r="J403" s="5"/>
      <c r="K403" s="5"/>
      <c r="L403" s="5"/>
      <c r="M403" s="5"/>
      <c r="N403" s="5"/>
      <c r="O403" s="5"/>
      <c r="P403" s="5"/>
      <c r="Q403" s="5"/>
      <c r="R403" s="5"/>
      <c r="S403" s="5"/>
      <c r="T403" s="5"/>
      <c r="U403" s="5"/>
      <c r="V403" s="5"/>
      <c r="W403" s="5"/>
      <c r="X403" s="5"/>
      <c r="Y403" s="5"/>
      <c r="Z403" s="5"/>
      <c r="AA403" s="5"/>
      <c r="AB403" s="5"/>
    </row>
    <row r="404" ht="15.75" customHeight="1">
      <c r="A404" s="8"/>
      <c r="B404" s="7"/>
      <c r="C404" s="5"/>
      <c r="D404" s="5"/>
      <c r="E404" s="6"/>
      <c r="F404" s="6"/>
      <c r="G404" s="5"/>
      <c r="H404" s="5"/>
      <c r="I404" s="5"/>
      <c r="J404" s="5"/>
      <c r="K404" s="5"/>
      <c r="L404" s="5"/>
      <c r="M404" s="5"/>
      <c r="N404" s="5"/>
      <c r="O404" s="5"/>
      <c r="P404" s="5"/>
      <c r="Q404" s="5"/>
      <c r="R404" s="5"/>
      <c r="S404" s="5"/>
      <c r="T404" s="5"/>
      <c r="U404" s="5"/>
      <c r="V404" s="5"/>
      <c r="W404" s="5"/>
      <c r="X404" s="5"/>
      <c r="Y404" s="5"/>
      <c r="Z404" s="5"/>
      <c r="AA404" s="5"/>
      <c r="AB404" s="5"/>
    </row>
    <row r="405" ht="15.75" customHeight="1">
      <c r="A405" s="8"/>
      <c r="B405" s="7"/>
      <c r="C405" s="5"/>
      <c r="D405" s="5"/>
      <c r="E405" s="19"/>
      <c r="F405" s="19"/>
      <c r="G405" s="5"/>
      <c r="H405" s="5"/>
      <c r="I405" s="5"/>
      <c r="J405" s="5"/>
      <c r="K405" s="5"/>
      <c r="L405" s="5"/>
      <c r="M405" s="5"/>
      <c r="N405" s="5"/>
      <c r="O405" s="5"/>
      <c r="P405" s="5"/>
      <c r="Q405" s="5"/>
      <c r="R405" s="5"/>
      <c r="S405" s="5"/>
      <c r="T405" s="5"/>
      <c r="U405" s="5"/>
      <c r="V405" s="5"/>
      <c r="W405" s="5"/>
      <c r="X405" s="5"/>
      <c r="Y405" s="5"/>
      <c r="Z405" s="5"/>
      <c r="AA405" s="5"/>
      <c r="AB405" s="5"/>
    </row>
    <row r="406" ht="15.75" customHeight="1">
      <c r="A406" s="8"/>
      <c r="B406" s="7"/>
      <c r="C406" s="5"/>
      <c r="D406" s="5"/>
      <c r="E406" s="19"/>
      <c r="F406" s="19"/>
      <c r="H406" s="5"/>
      <c r="I406" s="5"/>
      <c r="J406" s="5"/>
      <c r="K406" s="5"/>
      <c r="L406" s="5"/>
      <c r="M406" s="5"/>
      <c r="N406" s="5"/>
      <c r="O406" s="5"/>
      <c r="P406" s="5"/>
      <c r="Q406" s="5"/>
      <c r="R406" s="5"/>
      <c r="S406" s="5"/>
      <c r="T406" s="5"/>
      <c r="U406" s="5"/>
      <c r="V406" s="5"/>
      <c r="W406" s="5"/>
      <c r="X406" s="5"/>
      <c r="Y406" s="5"/>
      <c r="Z406" s="5"/>
      <c r="AA406" s="5"/>
      <c r="AB406" s="5"/>
    </row>
    <row r="407" ht="15.75" customHeight="1">
      <c r="A407" s="8"/>
      <c r="B407" s="7"/>
      <c r="C407" s="5"/>
      <c r="D407" s="5"/>
      <c r="E407" s="6"/>
      <c r="F407" s="6"/>
      <c r="G407" s="5"/>
      <c r="H407" s="5"/>
      <c r="I407" s="5"/>
      <c r="J407" s="5"/>
      <c r="K407" s="5"/>
      <c r="L407" s="5"/>
      <c r="M407" s="5"/>
      <c r="N407" s="5"/>
      <c r="O407" s="5"/>
      <c r="P407" s="5"/>
      <c r="Q407" s="5"/>
      <c r="R407" s="5"/>
      <c r="S407" s="5"/>
      <c r="T407" s="5"/>
      <c r="U407" s="5"/>
      <c r="V407" s="5"/>
      <c r="W407" s="5"/>
      <c r="X407" s="5"/>
      <c r="Y407" s="5"/>
      <c r="Z407" s="5"/>
      <c r="AA407" s="5"/>
      <c r="AB407" s="5"/>
    </row>
    <row r="408" ht="15.75" customHeight="1">
      <c r="A408" s="8"/>
      <c r="B408" s="7"/>
      <c r="C408" s="5"/>
      <c r="D408" s="5"/>
      <c r="E408" s="6"/>
      <c r="F408" s="6"/>
      <c r="G408" s="5"/>
      <c r="H408" s="5"/>
      <c r="I408" s="5"/>
      <c r="J408" s="5"/>
      <c r="K408" s="5"/>
      <c r="L408" s="5"/>
      <c r="M408" s="5"/>
      <c r="N408" s="5"/>
      <c r="O408" s="5"/>
      <c r="P408" s="5"/>
      <c r="Q408" s="5"/>
      <c r="R408" s="5"/>
      <c r="S408" s="5"/>
      <c r="T408" s="5"/>
      <c r="U408" s="5"/>
      <c r="V408" s="5"/>
      <c r="W408" s="5"/>
      <c r="X408" s="5"/>
      <c r="Y408" s="5"/>
      <c r="Z408" s="5"/>
      <c r="AA408" s="5"/>
      <c r="AB408" s="5"/>
    </row>
    <row r="409" ht="15.75" customHeight="1">
      <c r="A409" s="8"/>
      <c r="B409" s="7"/>
      <c r="C409" s="5"/>
      <c r="D409" s="5"/>
      <c r="E409" s="19"/>
      <c r="F409" s="19"/>
      <c r="G409" s="5"/>
      <c r="H409" s="5"/>
      <c r="I409" s="5"/>
      <c r="J409" s="5"/>
      <c r="K409" s="5"/>
      <c r="L409" s="5"/>
      <c r="M409" s="5"/>
      <c r="N409" s="5"/>
      <c r="O409" s="5"/>
      <c r="P409" s="5"/>
      <c r="Q409" s="5"/>
      <c r="R409" s="5"/>
      <c r="S409" s="5"/>
      <c r="T409" s="5"/>
      <c r="U409" s="5"/>
      <c r="V409" s="5"/>
      <c r="W409" s="5"/>
      <c r="X409" s="5"/>
      <c r="Y409" s="5"/>
      <c r="Z409" s="5"/>
      <c r="AA409" s="5"/>
      <c r="AB409" s="5"/>
    </row>
    <row r="410" ht="15.75" customHeight="1">
      <c r="A410" s="8"/>
      <c r="B410" s="7"/>
      <c r="C410" s="5"/>
      <c r="D410" s="5"/>
      <c r="E410" s="23"/>
      <c r="F410" s="23"/>
      <c r="G410" s="5"/>
      <c r="H410" s="26"/>
      <c r="I410" s="5"/>
      <c r="J410" s="5"/>
      <c r="K410" s="5"/>
      <c r="L410" s="5"/>
      <c r="M410" s="5"/>
      <c r="N410" s="5"/>
      <c r="O410" s="5"/>
      <c r="P410" s="5"/>
      <c r="Q410" s="5"/>
      <c r="R410" s="5"/>
      <c r="S410" s="5"/>
      <c r="T410" s="5"/>
      <c r="U410" s="5"/>
      <c r="V410" s="5"/>
      <c r="W410" s="5"/>
      <c r="X410" s="5"/>
      <c r="Y410" s="5"/>
      <c r="Z410" s="5"/>
      <c r="AA410" s="5"/>
      <c r="AB410" s="5"/>
    </row>
    <row r="411" ht="15.75" customHeight="1">
      <c r="A411" s="8"/>
      <c r="B411" s="7"/>
      <c r="C411" s="5"/>
      <c r="D411" s="5"/>
      <c r="E411" s="27"/>
      <c r="F411" s="19"/>
      <c r="G411" s="5"/>
      <c r="H411" s="5"/>
      <c r="I411" s="5"/>
      <c r="J411" s="5"/>
      <c r="K411" s="5"/>
      <c r="L411" s="5"/>
      <c r="M411" s="5"/>
      <c r="N411" s="5"/>
      <c r="O411" s="5"/>
      <c r="P411" s="5"/>
      <c r="Q411" s="5"/>
      <c r="R411" s="5"/>
      <c r="S411" s="5"/>
      <c r="T411" s="5"/>
      <c r="U411" s="5"/>
      <c r="V411" s="5"/>
      <c r="W411" s="5"/>
      <c r="X411" s="5"/>
      <c r="Y411" s="5"/>
      <c r="Z411" s="5"/>
      <c r="AA411" s="5"/>
      <c r="AB411" s="5"/>
    </row>
    <row r="412" ht="15.75" customHeight="1">
      <c r="A412" s="8"/>
      <c r="B412" s="7"/>
      <c r="C412" s="5"/>
      <c r="D412" s="5"/>
      <c r="E412" s="19"/>
      <c r="F412" s="19"/>
      <c r="G412" s="5"/>
      <c r="H412" s="5"/>
      <c r="I412" s="5"/>
      <c r="J412" s="5"/>
      <c r="K412" s="5"/>
      <c r="L412" s="5"/>
      <c r="M412" s="5"/>
      <c r="N412" s="5"/>
      <c r="O412" s="5"/>
      <c r="P412" s="5"/>
      <c r="Q412" s="5"/>
      <c r="R412" s="5"/>
      <c r="S412" s="5"/>
      <c r="T412" s="5"/>
      <c r="U412" s="5"/>
      <c r="V412" s="5"/>
      <c r="W412" s="5"/>
      <c r="X412" s="5"/>
      <c r="Y412" s="5"/>
      <c r="Z412" s="5"/>
      <c r="AA412" s="5"/>
      <c r="AB412" s="5"/>
    </row>
    <row r="413" ht="15.75" customHeight="1">
      <c r="A413" s="8"/>
      <c r="B413" s="7"/>
      <c r="C413" s="5"/>
      <c r="D413" s="5"/>
      <c r="E413" s="23"/>
      <c r="F413" s="23"/>
      <c r="G413" s="5"/>
      <c r="H413" s="5"/>
      <c r="I413" s="5"/>
      <c r="J413" s="5"/>
      <c r="K413" s="5"/>
      <c r="L413" s="5"/>
      <c r="M413" s="5"/>
      <c r="N413" s="5"/>
      <c r="O413" s="5"/>
      <c r="P413" s="5"/>
      <c r="Q413" s="5"/>
      <c r="R413" s="5"/>
      <c r="S413" s="5"/>
      <c r="T413" s="5"/>
      <c r="U413" s="5"/>
      <c r="V413" s="5"/>
      <c r="W413" s="5"/>
      <c r="X413" s="5"/>
      <c r="Y413" s="5"/>
      <c r="Z413" s="5"/>
      <c r="AA413" s="5"/>
      <c r="AB413" s="5"/>
    </row>
    <row r="414" ht="15.75" customHeight="1">
      <c r="A414" s="8"/>
      <c r="B414" s="7"/>
      <c r="C414" s="11"/>
      <c r="D414" s="5"/>
      <c r="E414" s="23"/>
      <c r="F414" s="23"/>
      <c r="G414" s="3"/>
      <c r="H414" s="5"/>
      <c r="I414" s="3"/>
      <c r="J414" s="5"/>
      <c r="K414" s="5"/>
      <c r="L414" s="5"/>
      <c r="M414" s="5"/>
      <c r="N414" s="5"/>
      <c r="O414" s="5"/>
      <c r="P414" s="5"/>
      <c r="Q414" s="5"/>
      <c r="R414" s="5"/>
      <c r="S414" s="5"/>
      <c r="T414" s="5"/>
      <c r="U414" s="5"/>
      <c r="V414" s="5"/>
      <c r="W414" s="5"/>
      <c r="X414" s="5"/>
      <c r="Y414" s="5"/>
      <c r="Z414" s="5"/>
      <c r="AA414" s="5"/>
      <c r="AB414" s="5"/>
    </row>
    <row r="415" ht="15.75" customHeight="1">
      <c r="A415" s="8"/>
      <c r="B415" s="7"/>
      <c r="C415" s="5"/>
      <c r="D415" s="5"/>
      <c r="E415" s="6"/>
      <c r="F415" s="24"/>
      <c r="G415" s="5"/>
      <c r="H415" s="5"/>
      <c r="I415" s="5"/>
      <c r="J415" s="5"/>
      <c r="K415" s="5"/>
      <c r="L415" s="5"/>
      <c r="M415" s="5"/>
      <c r="N415" s="5"/>
      <c r="O415" s="5"/>
      <c r="P415" s="5"/>
      <c r="Q415" s="5"/>
      <c r="R415" s="5"/>
      <c r="S415" s="5"/>
      <c r="T415" s="5"/>
      <c r="U415" s="5"/>
      <c r="V415" s="5"/>
      <c r="W415" s="5"/>
      <c r="X415" s="5"/>
      <c r="Y415" s="5"/>
      <c r="Z415" s="5"/>
      <c r="AA415" s="5"/>
      <c r="AB415" s="5"/>
    </row>
    <row r="416" ht="37.5" customHeight="1">
      <c r="A416" s="8"/>
      <c r="B416" s="7"/>
      <c r="C416" s="5"/>
      <c r="D416" s="5"/>
      <c r="E416" s="6"/>
      <c r="F416" s="6"/>
      <c r="G416" s="5"/>
      <c r="H416" s="5"/>
      <c r="I416" s="5"/>
      <c r="J416" s="5"/>
      <c r="K416" s="5"/>
      <c r="L416" s="5"/>
      <c r="M416" s="5"/>
      <c r="N416" s="5"/>
      <c r="O416" s="5"/>
      <c r="P416" s="5"/>
      <c r="Q416" s="5"/>
      <c r="R416" s="5"/>
      <c r="S416" s="5"/>
      <c r="T416" s="5"/>
      <c r="U416" s="5"/>
      <c r="V416" s="5"/>
      <c r="W416" s="5"/>
      <c r="X416" s="5"/>
      <c r="Y416" s="5"/>
      <c r="Z416" s="5"/>
      <c r="AA416" s="5"/>
      <c r="AB416" s="5"/>
    </row>
    <row r="417" ht="15.75" customHeight="1">
      <c r="A417" s="8"/>
      <c r="B417" s="7"/>
      <c r="C417" s="5"/>
      <c r="D417" s="5"/>
      <c r="E417" s="6"/>
      <c r="F417" s="28"/>
      <c r="G417" s="5"/>
      <c r="H417" s="5"/>
      <c r="I417" s="5"/>
      <c r="J417" s="5"/>
      <c r="K417" s="5"/>
      <c r="L417" s="5"/>
      <c r="M417" s="5"/>
      <c r="N417" s="5"/>
      <c r="O417" s="5"/>
      <c r="P417" s="5"/>
      <c r="Q417" s="5"/>
      <c r="R417" s="5"/>
      <c r="S417" s="5"/>
      <c r="T417" s="5"/>
      <c r="U417" s="5"/>
      <c r="V417" s="5"/>
      <c r="W417" s="5"/>
      <c r="X417" s="5"/>
      <c r="Y417" s="5"/>
      <c r="Z417" s="5"/>
      <c r="AA417" s="5"/>
      <c r="AB417" s="5"/>
    </row>
    <row r="418" ht="15.75" customHeight="1">
      <c r="A418" s="8"/>
      <c r="B418" s="7"/>
      <c r="C418" s="5"/>
      <c r="D418" s="5"/>
      <c r="E418" s="6"/>
      <c r="F418" s="6"/>
      <c r="G418" s="5"/>
      <c r="H418" s="5"/>
      <c r="I418" s="5"/>
      <c r="J418" s="5"/>
      <c r="K418" s="5"/>
      <c r="L418" s="5"/>
      <c r="M418" s="5"/>
      <c r="N418" s="5"/>
      <c r="O418" s="5"/>
      <c r="P418" s="5"/>
      <c r="Q418" s="5"/>
      <c r="R418" s="5"/>
      <c r="S418" s="5"/>
      <c r="T418" s="5"/>
      <c r="U418" s="5"/>
      <c r="V418" s="5"/>
      <c r="W418" s="5"/>
      <c r="X418" s="5"/>
      <c r="Y418" s="5"/>
      <c r="Z418" s="5"/>
      <c r="AA418" s="5"/>
      <c r="AB418" s="5"/>
    </row>
    <row r="419" ht="15.75" customHeight="1">
      <c r="A419" s="8"/>
      <c r="B419" s="7"/>
      <c r="C419" s="5"/>
      <c r="D419" s="5"/>
      <c r="E419" s="6"/>
      <c r="F419" s="6"/>
      <c r="G419" s="5"/>
      <c r="H419" s="5"/>
      <c r="I419" s="5"/>
      <c r="J419" s="5"/>
      <c r="K419" s="5"/>
      <c r="L419" s="5"/>
      <c r="M419" s="5"/>
      <c r="N419" s="5"/>
      <c r="O419" s="5"/>
      <c r="P419" s="5"/>
      <c r="Q419" s="5"/>
      <c r="R419" s="5"/>
      <c r="S419" s="5"/>
      <c r="T419" s="5"/>
      <c r="U419" s="5"/>
      <c r="V419" s="5"/>
      <c r="W419" s="5"/>
      <c r="X419" s="5"/>
      <c r="Y419" s="5"/>
      <c r="Z419" s="5"/>
      <c r="AA419" s="5"/>
      <c r="AB419" s="5"/>
    </row>
    <row r="420" ht="15.75" customHeight="1">
      <c r="A420" s="8"/>
      <c r="B420" s="7"/>
      <c r="C420" s="5"/>
      <c r="D420" s="5"/>
      <c r="E420" s="6"/>
      <c r="F420" s="6"/>
      <c r="G420" s="5"/>
      <c r="H420" s="5"/>
      <c r="I420" s="5"/>
      <c r="J420" s="5"/>
      <c r="K420" s="5"/>
      <c r="L420" s="5"/>
      <c r="M420" s="5"/>
      <c r="N420" s="5"/>
      <c r="O420" s="5"/>
      <c r="P420" s="5"/>
      <c r="Q420" s="5"/>
      <c r="R420" s="5"/>
      <c r="S420" s="5"/>
      <c r="T420" s="5"/>
      <c r="U420" s="5"/>
      <c r="V420" s="5"/>
      <c r="W420" s="5"/>
      <c r="X420" s="5"/>
      <c r="Y420" s="5"/>
      <c r="Z420" s="5"/>
      <c r="AA420" s="5"/>
      <c r="AB420" s="5"/>
    </row>
    <row r="421" ht="15.75" customHeight="1">
      <c r="A421" s="8"/>
      <c r="B421" s="7"/>
      <c r="C421" s="5"/>
      <c r="D421" s="5"/>
      <c r="E421" s="6"/>
      <c r="F421" s="6"/>
      <c r="G421" s="5"/>
      <c r="H421" s="5"/>
      <c r="I421" s="5"/>
      <c r="J421" s="5"/>
      <c r="K421" s="5"/>
      <c r="L421" s="5"/>
      <c r="M421" s="5"/>
      <c r="N421" s="5"/>
      <c r="O421" s="5"/>
      <c r="P421" s="5"/>
      <c r="Q421" s="5"/>
      <c r="R421" s="5"/>
      <c r="S421" s="5"/>
      <c r="T421" s="5"/>
      <c r="U421" s="5"/>
      <c r="V421" s="5"/>
      <c r="W421" s="5"/>
      <c r="X421" s="5"/>
      <c r="Y421" s="5"/>
      <c r="Z421" s="5"/>
      <c r="AA421" s="5"/>
      <c r="AB421" s="5"/>
    </row>
    <row r="422" ht="15.75" customHeight="1">
      <c r="A422" s="8"/>
      <c r="B422" s="7"/>
      <c r="C422" s="5"/>
      <c r="D422" s="5"/>
      <c r="E422" s="6"/>
      <c r="F422" s="6"/>
      <c r="G422" s="5"/>
      <c r="H422" s="5"/>
      <c r="I422" s="5"/>
      <c r="J422" s="5"/>
      <c r="K422" s="5"/>
      <c r="L422" s="5"/>
      <c r="M422" s="5"/>
      <c r="N422" s="5"/>
      <c r="O422" s="5"/>
      <c r="P422" s="5"/>
      <c r="Q422" s="5"/>
      <c r="R422" s="5"/>
      <c r="S422" s="5"/>
      <c r="T422" s="5"/>
      <c r="U422" s="5"/>
      <c r="V422" s="5"/>
      <c r="W422" s="5"/>
      <c r="X422" s="5"/>
      <c r="Y422" s="5"/>
      <c r="Z422" s="5"/>
      <c r="AA422" s="5"/>
      <c r="AB422" s="5"/>
    </row>
    <row r="423" ht="15.75" customHeight="1">
      <c r="A423" s="8"/>
      <c r="B423" s="7"/>
      <c r="C423" s="5"/>
      <c r="D423" s="5"/>
      <c r="E423" s="6"/>
      <c r="F423" s="6"/>
      <c r="G423" s="5"/>
      <c r="H423" s="5"/>
      <c r="I423" s="5"/>
      <c r="J423" s="5"/>
      <c r="K423" s="5"/>
      <c r="L423" s="5"/>
      <c r="M423" s="5"/>
      <c r="N423" s="5"/>
      <c r="O423" s="5"/>
      <c r="P423" s="5"/>
      <c r="Q423" s="5"/>
      <c r="R423" s="5"/>
      <c r="S423" s="5"/>
      <c r="T423" s="5"/>
      <c r="U423" s="5"/>
      <c r="V423" s="5"/>
      <c r="W423" s="5"/>
      <c r="X423" s="5"/>
      <c r="Y423" s="5"/>
      <c r="Z423" s="5"/>
      <c r="AA423" s="5"/>
      <c r="AB423" s="5"/>
    </row>
    <row r="424" ht="15.75" customHeight="1">
      <c r="A424" s="8"/>
      <c r="B424" s="7"/>
      <c r="C424" s="5"/>
      <c r="D424" s="5"/>
      <c r="E424" s="6"/>
      <c r="F424" s="6"/>
      <c r="G424" s="5"/>
      <c r="H424" s="5"/>
      <c r="I424" s="5"/>
      <c r="J424" s="5"/>
      <c r="K424" s="5"/>
      <c r="L424" s="5"/>
      <c r="M424" s="5"/>
      <c r="N424" s="5"/>
      <c r="O424" s="5"/>
      <c r="P424" s="5"/>
      <c r="Q424" s="5"/>
      <c r="R424" s="5"/>
      <c r="S424" s="5"/>
      <c r="T424" s="5"/>
      <c r="U424" s="5"/>
      <c r="V424" s="5"/>
      <c r="W424" s="5"/>
      <c r="X424" s="5"/>
      <c r="Y424" s="5"/>
      <c r="Z424" s="5"/>
      <c r="AA424" s="5"/>
      <c r="AB424" s="5"/>
    </row>
    <row r="425" ht="15.75" customHeight="1">
      <c r="A425" s="8"/>
      <c r="B425" s="7"/>
      <c r="C425" s="5"/>
      <c r="D425" s="5"/>
      <c r="E425" s="6"/>
      <c r="F425" s="6"/>
      <c r="G425" s="5"/>
      <c r="H425" s="5"/>
      <c r="I425" s="5"/>
      <c r="J425" s="5"/>
      <c r="K425" s="5"/>
      <c r="L425" s="5"/>
      <c r="M425" s="5"/>
      <c r="N425" s="5"/>
      <c r="O425" s="5"/>
      <c r="P425" s="5"/>
      <c r="Q425" s="5"/>
      <c r="R425" s="5"/>
      <c r="S425" s="5"/>
      <c r="T425" s="5"/>
      <c r="U425" s="5"/>
      <c r="V425" s="5"/>
      <c r="W425" s="5"/>
      <c r="X425" s="5"/>
      <c r="Y425" s="5"/>
      <c r="Z425" s="5"/>
      <c r="AA425" s="5"/>
      <c r="AB425" s="5"/>
    </row>
    <row r="426" ht="15.75" customHeight="1">
      <c r="A426" s="8"/>
      <c r="B426" s="7"/>
      <c r="C426" s="5"/>
      <c r="D426" s="5"/>
      <c r="E426" s="6"/>
      <c r="F426" s="6"/>
      <c r="G426" s="5"/>
      <c r="H426" s="3"/>
      <c r="I426" s="5"/>
      <c r="J426" s="5"/>
      <c r="K426" s="5"/>
      <c r="L426" s="5"/>
      <c r="M426" s="5"/>
      <c r="N426" s="5"/>
      <c r="O426" s="5"/>
      <c r="P426" s="5"/>
      <c r="Q426" s="5"/>
      <c r="R426" s="5"/>
      <c r="S426" s="5"/>
      <c r="T426" s="5"/>
      <c r="U426" s="5"/>
      <c r="V426" s="5"/>
      <c r="W426" s="5"/>
      <c r="X426" s="5"/>
      <c r="Y426" s="5"/>
      <c r="Z426" s="5"/>
      <c r="AA426" s="5"/>
      <c r="AB426" s="5"/>
    </row>
    <row r="427" ht="15.75" customHeight="1">
      <c r="A427" s="8"/>
      <c r="B427" s="7"/>
      <c r="C427" s="5"/>
      <c r="D427" s="5"/>
      <c r="E427" s="6"/>
      <c r="F427" s="6"/>
      <c r="G427" s="5"/>
      <c r="H427" s="5"/>
      <c r="I427" s="5"/>
      <c r="J427" s="5"/>
      <c r="K427" s="5"/>
      <c r="L427" s="5"/>
      <c r="M427" s="5"/>
      <c r="N427" s="5"/>
      <c r="O427" s="5"/>
      <c r="P427" s="5"/>
      <c r="Q427" s="5"/>
      <c r="R427" s="5"/>
      <c r="S427" s="5"/>
      <c r="T427" s="5"/>
      <c r="U427" s="5"/>
      <c r="V427" s="5"/>
      <c r="W427" s="5"/>
      <c r="X427" s="5"/>
      <c r="Y427" s="5"/>
      <c r="Z427" s="5"/>
      <c r="AA427" s="5"/>
      <c r="AB427" s="5"/>
    </row>
    <row r="428" ht="15.75" customHeight="1">
      <c r="A428" s="8"/>
      <c r="B428" s="7"/>
      <c r="C428" s="5"/>
      <c r="D428" s="5"/>
      <c r="E428" s="6"/>
      <c r="F428" s="6"/>
      <c r="G428" s="5"/>
      <c r="H428" s="5"/>
      <c r="I428" s="5"/>
      <c r="J428" s="5"/>
      <c r="K428" s="5"/>
      <c r="L428" s="5"/>
      <c r="M428" s="5"/>
      <c r="N428" s="5"/>
      <c r="O428" s="5"/>
      <c r="P428" s="5"/>
      <c r="Q428" s="5"/>
      <c r="R428" s="5"/>
      <c r="S428" s="5"/>
      <c r="T428" s="5"/>
      <c r="U428" s="5"/>
      <c r="V428" s="5"/>
      <c r="W428" s="5"/>
      <c r="X428" s="5"/>
      <c r="Y428" s="5"/>
      <c r="Z428" s="5"/>
      <c r="AA428" s="5"/>
      <c r="AB428" s="5"/>
    </row>
    <row r="429" ht="15.75" customHeight="1">
      <c r="A429" s="8"/>
      <c r="B429" s="7"/>
      <c r="C429" s="5"/>
      <c r="D429" s="5"/>
      <c r="E429" s="6"/>
      <c r="F429" s="6"/>
      <c r="G429" s="5"/>
      <c r="H429" s="5"/>
      <c r="I429" s="5"/>
      <c r="J429" s="5"/>
      <c r="K429" s="5"/>
      <c r="L429" s="5"/>
      <c r="M429" s="5"/>
      <c r="N429" s="5"/>
      <c r="O429" s="5"/>
      <c r="P429" s="5"/>
      <c r="Q429" s="5"/>
      <c r="R429" s="5"/>
      <c r="S429" s="5"/>
      <c r="T429" s="5"/>
      <c r="U429" s="5"/>
      <c r="V429" s="5"/>
      <c r="W429" s="5"/>
      <c r="X429" s="5"/>
      <c r="Y429" s="5"/>
      <c r="Z429" s="5"/>
      <c r="AA429" s="5"/>
      <c r="AB429" s="5"/>
    </row>
    <row r="430" ht="15.75" customHeight="1">
      <c r="A430" s="8"/>
      <c r="B430" s="7"/>
      <c r="C430" s="5"/>
      <c r="D430" s="5"/>
      <c r="E430" s="6"/>
      <c r="F430" s="6"/>
      <c r="G430" s="5"/>
      <c r="H430" s="5"/>
      <c r="I430" s="5"/>
      <c r="J430" s="5"/>
      <c r="K430" s="5"/>
      <c r="L430" s="5"/>
      <c r="M430" s="5"/>
      <c r="N430" s="5"/>
      <c r="O430" s="5"/>
      <c r="P430" s="5"/>
      <c r="Q430" s="5"/>
      <c r="R430" s="5"/>
      <c r="S430" s="5"/>
      <c r="T430" s="5"/>
      <c r="U430" s="5"/>
      <c r="V430" s="5"/>
      <c r="W430" s="5"/>
      <c r="X430" s="5"/>
      <c r="Y430" s="5"/>
      <c r="Z430" s="5"/>
      <c r="AA430" s="5"/>
      <c r="AB430" s="5"/>
    </row>
    <row r="431" ht="15.75" customHeight="1">
      <c r="A431" s="8"/>
      <c r="B431" s="7"/>
      <c r="C431" s="5"/>
      <c r="D431" s="5"/>
      <c r="E431" s="6"/>
      <c r="F431" s="6"/>
      <c r="G431" s="5"/>
      <c r="H431" s="5"/>
      <c r="I431" s="5"/>
      <c r="J431" s="5"/>
      <c r="K431" s="5"/>
      <c r="L431" s="5"/>
      <c r="M431" s="5"/>
      <c r="N431" s="5"/>
      <c r="O431" s="5"/>
      <c r="P431" s="5"/>
      <c r="Q431" s="5"/>
      <c r="R431" s="5"/>
      <c r="S431" s="5"/>
      <c r="T431" s="5"/>
      <c r="U431" s="5"/>
      <c r="V431" s="5"/>
      <c r="W431" s="5"/>
      <c r="X431" s="5"/>
      <c r="Y431" s="5"/>
      <c r="Z431" s="5"/>
      <c r="AA431" s="5"/>
      <c r="AB431" s="5"/>
    </row>
    <row r="432" ht="15.75" customHeight="1">
      <c r="A432" s="8"/>
      <c r="B432" s="7"/>
      <c r="C432" s="5"/>
      <c r="D432" s="5"/>
      <c r="E432" s="6"/>
      <c r="F432" s="6"/>
      <c r="G432" s="5"/>
      <c r="H432" s="5"/>
      <c r="I432" s="5"/>
      <c r="J432" s="5"/>
      <c r="K432" s="5"/>
      <c r="L432" s="5"/>
      <c r="M432" s="5"/>
      <c r="N432" s="5"/>
      <c r="O432" s="5"/>
      <c r="P432" s="5"/>
      <c r="Q432" s="5"/>
      <c r="R432" s="5"/>
      <c r="S432" s="5"/>
      <c r="T432" s="5"/>
      <c r="U432" s="5"/>
      <c r="V432" s="5"/>
      <c r="W432" s="5"/>
      <c r="X432" s="5"/>
      <c r="Y432" s="5"/>
      <c r="Z432" s="5"/>
      <c r="AA432" s="5"/>
      <c r="AB432" s="5"/>
    </row>
    <row r="433" ht="15.75" customHeight="1">
      <c r="A433" s="8"/>
      <c r="B433" s="7"/>
      <c r="C433" s="5"/>
      <c r="D433" s="5"/>
      <c r="E433" s="6"/>
      <c r="F433" s="6"/>
      <c r="G433" s="5"/>
      <c r="H433" s="5"/>
      <c r="I433" s="5"/>
      <c r="J433" s="5"/>
      <c r="K433" s="5"/>
      <c r="L433" s="5"/>
      <c r="M433" s="5"/>
      <c r="N433" s="5"/>
      <c r="O433" s="5"/>
      <c r="P433" s="5"/>
      <c r="Q433" s="5"/>
      <c r="R433" s="5"/>
      <c r="S433" s="5"/>
      <c r="T433" s="5"/>
      <c r="U433" s="5"/>
      <c r="V433" s="5"/>
      <c r="W433" s="5"/>
      <c r="X433" s="5"/>
      <c r="Y433" s="5"/>
      <c r="Z433" s="5"/>
      <c r="AA433" s="5"/>
      <c r="AB433" s="5"/>
    </row>
    <row r="434" ht="15.75" customHeight="1">
      <c r="A434" s="8"/>
      <c r="B434" s="7"/>
      <c r="C434" s="5"/>
      <c r="D434" s="5"/>
      <c r="E434" s="6"/>
      <c r="F434" s="6"/>
      <c r="G434" s="5"/>
      <c r="H434" s="5"/>
      <c r="I434" s="5"/>
      <c r="J434" s="5"/>
      <c r="K434" s="5"/>
      <c r="L434" s="5"/>
      <c r="M434" s="5"/>
      <c r="N434" s="5"/>
      <c r="O434" s="5"/>
      <c r="P434" s="5"/>
      <c r="Q434" s="5"/>
      <c r="R434" s="5"/>
      <c r="S434" s="5"/>
      <c r="T434" s="5"/>
      <c r="U434" s="5"/>
      <c r="V434" s="5"/>
      <c r="W434" s="5"/>
      <c r="X434" s="5"/>
      <c r="Y434" s="5"/>
      <c r="Z434" s="5"/>
      <c r="AA434" s="5"/>
      <c r="AB434" s="5"/>
    </row>
    <row r="435" ht="15.75" customHeight="1">
      <c r="A435" s="8"/>
      <c r="B435" s="7"/>
      <c r="C435" s="5"/>
      <c r="D435" s="5"/>
      <c r="E435" s="6"/>
      <c r="F435" s="6"/>
      <c r="G435" s="5"/>
      <c r="H435" s="5"/>
      <c r="I435" s="5"/>
      <c r="J435" s="5"/>
      <c r="K435" s="5"/>
      <c r="L435" s="5"/>
      <c r="M435" s="5"/>
      <c r="N435" s="5"/>
      <c r="O435" s="5"/>
      <c r="P435" s="5"/>
      <c r="Q435" s="5"/>
      <c r="R435" s="5"/>
      <c r="S435" s="5"/>
      <c r="T435" s="5"/>
      <c r="U435" s="5"/>
      <c r="V435" s="5"/>
      <c r="W435" s="5"/>
      <c r="X435" s="5"/>
      <c r="Y435" s="5"/>
      <c r="Z435" s="5"/>
      <c r="AA435" s="5"/>
      <c r="AB435" s="5"/>
    </row>
    <row r="436" ht="15.75" customHeight="1">
      <c r="A436" s="8"/>
      <c r="B436" s="7"/>
      <c r="C436" s="5"/>
      <c r="D436" s="5"/>
      <c r="E436" s="6"/>
      <c r="F436" s="6"/>
      <c r="G436" s="5"/>
      <c r="H436" s="5"/>
      <c r="I436" s="5"/>
      <c r="J436" s="5"/>
      <c r="K436" s="5"/>
      <c r="L436" s="5"/>
      <c r="M436" s="5"/>
      <c r="N436" s="5"/>
      <c r="O436" s="5"/>
      <c r="P436" s="5"/>
      <c r="Q436" s="5"/>
      <c r="R436" s="5"/>
      <c r="S436" s="5"/>
      <c r="T436" s="5"/>
      <c r="U436" s="5"/>
      <c r="V436" s="5"/>
      <c r="W436" s="5"/>
      <c r="X436" s="5"/>
      <c r="Y436" s="5"/>
      <c r="Z436" s="5"/>
      <c r="AA436" s="5"/>
      <c r="AB436" s="5"/>
    </row>
    <row r="437" ht="15.75" customHeight="1">
      <c r="A437" s="8"/>
      <c r="B437" s="7"/>
      <c r="C437" s="5"/>
      <c r="D437" s="5"/>
      <c r="E437" s="6"/>
      <c r="F437" s="6"/>
      <c r="G437" s="5"/>
      <c r="H437" s="5"/>
      <c r="I437" s="5"/>
      <c r="J437" s="5"/>
      <c r="K437" s="5"/>
      <c r="L437" s="5"/>
      <c r="M437" s="5"/>
      <c r="N437" s="5"/>
      <c r="O437" s="5"/>
      <c r="P437" s="5"/>
      <c r="Q437" s="5"/>
      <c r="R437" s="5"/>
      <c r="S437" s="5"/>
      <c r="T437" s="5"/>
      <c r="U437" s="5"/>
      <c r="V437" s="5"/>
      <c r="W437" s="5"/>
      <c r="X437" s="5"/>
      <c r="Y437" s="5"/>
      <c r="Z437" s="5"/>
      <c r="AA437" s="5"/>
      <c r="AB437" s="5"/>
    </row>
    <row r="438" ht="15.75" customHeight="1">
      <c r="A438" s="8"/>
      <c r="B438" s="7"/>
      <c r="C438" s="5"/>
      <c r="D438" s="5"/>
      <c r="E438" s="6"/>
      <c r="F438" s="6"/>
      <c r="G438" s="5"/>
      <c r="H438" s="5"/>
      <c r="I438" s="5"/>
      <c r="J438" s="5"/>
      <c r="K438" s="5"/>
      <c r="L438" s="5"/>
      <c r="M438" s="5"/>
      <c r="N438" s="5"/>
      <c r="O438" s="5"/>
      <c r="P438" s="5"/>
      <c r="Q438" s="5"/>
      <c r="R438" s="5"/>
      <c r="S438" s="5"/>
      <c r="T438" s="5"/>
      <c r="U438" s="5"/>
      <c r="V438" s="5"/>
      <c r="W438" s="5"/>
      <c r="X438" s="5"/>
      <c r="Y438" s="5"/>
      <c r="Z438" s="5"/>
      <c r="AA438" s="5"/>
      <c r="AB438" s="5"/>
    </row>
    <row r="439" ht="15.75" customHeight="1">
      <c r="A439" s="1"/>
      <c r="B439" s="2"/>
      <c r="C439" s="11"/>
      <c r="D439" s="5"/>
      <c r="E439" s="6"/>
      <c r="F439" s="6"/>
      <c r="G439" s="5"/>
      <c r="H439" s="5"/>
      <c r="I439" s="5"/>
      <c r="J439" s="5"/>
      <c r="K439" s="5"/>
      <c r="L439" s="5"/>
      <c r="M439" s="5"/>
      <c r="N439" s="5"/>
      <c r="O439" s="5"/>
      <c r="P439" s="5"/>
      <c r="Q439" s="5"/>
      <c r="R439" s="5"/>
      <c r="S439" s="5"/>
      <c r="T439" s="5"/>
      <c r="U439" s="5"/>
      <c r="V439" s="5"/>
      <c r="W439" s="5"/>
      <c r="X439" s="5"/>
      <c r="Y439" s="5"/>
      <c r="Z439" s="5"/>
      <c r="AA439" s="5"/>
      <c r="AB439" s="5"/>
    </row>
    <row r="440" ht="15.75" customHeight="1">
      <c r="A440" s="1"/>
      <c r="B440" s="2"/>
      <c r="C440" s="5"/>
      <c r="D440" s="5"/>
      <c r="E440" s="6"/>
      <c r="F440" s="6"/>
      <c r="G440" s="5"/>
      <c r="H440" s="5"/>
      <c r="I440" s="5"/>
      <c r="J440" s="5"/>
      <c r="K440" s="5"/>
      <c r="L440" s="5"/>
      <c r="M440" s="5"/>
      <c r="N440" s="5"/>
      <c r="O440" s="5"/>
      <c r="P440" s="5"/>
      <c r="Q440" s="5"/>
      <c r="R440" s="5"/>
      <c r="S440" s="5"/>
      <c r="T440" s="5"/>
      <c r="U440" s="5"/>
      <c r="V440" s="5"/>
      <c r="W440" s="5"/>
      <c r="X440" s="5"/>
      <c r="Y440" s="5"/>
      <c r="Z440" s="5"/>
      <c r="AA440" s="5"/>
      <c r="AB440" s="5"/>
    </row>
    <row r="441" ht="15.75" customHeight="1">
      <c r="A441" s="1"/>
      <c r="B441" s="2"/>
      <c r="C441" s="5"/>
      <c r="D441" s="5"/>
      <c r="E441" s="6"/>
      <c r="F441" s="6"/>
      <c r="G441" s="5"/>
      <c r="H441" s="5"/>
      <c r="I441" s="5"/>
      <c r="J441" s="5"/>
      <c r="K441" s="5"/>
      <c r="L441" s="5"/>
      <c r="M441" s="5"/>
      <c r="N441" s="5"/>
      <c r="O441" s="5"/>
      <c r="P441" s="5"/>
      <c r="Q441" s="5"/>
      <c r="R441" s="5"/>
      <c r="S441" s="5"/>
      <c r="T441" s="5"/>
      <c r="U441" s="5"/>
      <c r="V441" s="5"/>
      <c r="W441" s="5"/>
      <c r="X441" s="5"/>
      <c r="Y441" s="5"/>
      <c r="Z441" s="5"/>
      <c r="AA441" s="5"/>
      <c r="AB441" s="5"/>
    </row>
    <row r="442" ht="15.75" customHeight="1">
      <c r="A442" s="1"/>
      <c r="B442" s="2"/>
      <c r="C442" s="5"/>
      <c r="D442" s="5"/>
      <c r="E442" s="6"/>
      <c r="F442" s="6"/>
      <c r="G442" s="5"/>
      <c r="H442" s="5"/>
      <c r="I442" s="5"/>
      <c r="J442" s="5"/>
      <c r="K442" s="5"/>
      <c r="L442" s="5"/>
      <c r="M442" s="5"/>
      <c r="N442" s="5"/>
      <c r="O442" s="5"/>
      <c r="P442" s="5"/>
      <c r="Q442" s="5"/>
      <c r="R442" s="5"/>
      <c r="S442" s="5"/>
      <c r="T442" s="5"/>
      <c r="U442" s="5"/>
      <c r="V442" s="5"/>
      <c r="W442" s="5"/>
      <c r="X442" s="5"/>
      <c r="Y442" s="5"/>
      <c r="Z442" s="5"/>
      <c r="AA442" s="5"/>
      <c r="AB442" s="5"/>
    </row>
    <row r="443" ht="15.75" customHeight="1">
      <c r="A443" s="1"/>
      <c r="B443" s="2"/>
      <c r="C443" s="5"/>
      <c r="D443" s="5"/>
      <c r="E443" s="6"/>
      <c r="F443" s="6"/>
      <c r="G443" s="5"/>
      <c r="H443" s="5"/>
      <c r="I443" s="5"/>
      <c r="J443" s="5"/>
      <c r="K443" s="5"/>
      <c r="L443" s="5"/>
      <c r="M443" s="5"/>
      <c r="N443" s="5"/>
      <c r="O443" s="5"/>
      <c r="P443" s="5"/>
      <c r="Q443" s="5"/>
      <c r="R443" s="5"/>
      <c r="S443" s="5"/>
      <c r="T443" s="5"/>
      <c r="U443" s="5"/>
      <c r="V443" s="5"/>
      <c r="W443" s="5"/>
      <c r="X443" s="5"/>
      <c r="Y443" s="5"/>
      <c r="Z443" s="5"/>
      <c r="AA443" s="5"/>
      <c r="AB443" s="5"/>
    </row>
    <row r="444" ht="15.75" customHeight="1">
      <c r="A444" s="1"/>
      <c r="B444" s="2"/>
      <c r="C444" s="5"/>
      <c r="D444" s="5"/>
      <c r="E444" s="6"/>
      <c r="F444" s="6"/>
      <c r="G444" s="5"/>
      <c r="H444" s="5"/>
      <c r="I444" s="5"/>
      <c r="J444" s="5"/>
      <c r="K444" s="5"/>
      <c r="L444" s="5"/>
      <c r="M444" s="5"/>
      <c r="N444" s="5"/>
      <c r="O444" s="5"/>
      <c r="P444" s="5"/>
      <c r="Q444" s="5"/>
      <c r="R444" s="5"/>
      <c r="S444" s="5"/>
      <c r="T444" s="5"/>
      <c r="U444" s="5"/>
      <c r="V444" s="5"/>
      <c r="W444" s="5"/>
      <c r="X444" s="5"/>
      <c r="Y444" s="5"/>
      <c r="Z444" s="5"/>
      <c r="AA444" s="5"/>
      <c r="AB444" s="5"/>
    </row>
    <row r="445" ht="15.75" customHeight="1">
      <c r="A445" s="1"/>
      <c r="B445" s="2"/>
      <c r="C445" s="5"/>
      <c r="D445" s="5"/>
      <c r="E445" s="6"/>
      <c r="F445" s="6"/>
      <c r="G445" s="5"/>
      <c r="H445" s="5"/>
      <c r="I445" s="5"/>
      <c r="J445" s="5"/>
      <c r="K445" s="5"/>
      <c r="L445" s="5"/>
      <c r="M445" s="5"/>
      <c r="N445" s="5"/>
      <c r="O445" s="5"/>
      <c r="P445" s="5"/>
      <c r="Q445" s="5"/>
      <c r="R445" s="5"/>
      <c r="S445" s="5"/>
      <c r="T445" s="5"/>
      <c r="U445" s="5"/>
      <c r="V445" s="5"/>
      <c r="W445" s="5"/>
      <c r="X445" s="5"/>
      <c r="Y445" s="5"/>
      <c r="Z445" s="5"/>
      <c r="AA445" s="5"/>
      <c r="AB445" s="5"/>
    </row>
    <row r="446" ht="15.75" customHeight="1">
      <c r="A446" s="1"/>
      <c r="B446" s="2"/>
      <c r="C446" s="5"/>
      <c r="D446" s="5"/>
      <c r="E446" s="6"/>
      <c r="F446" s="6"/>
      <c r="G446" s="5"/>
      <c r="H446" s="5"/>
      <c r="I446" s="5"/>
      <c r="J446" s="5"/>
      <c r="K446" s="5"/>
      <c r="L446" s="5"/>
      <c r="M446" s="5"/>
      <c r="N446" s="5"/>
      <c r="O446" s="5"/>
      <c r="P446" s="5"/>
      <c r="Q446" s="5"/>
      <c r="R446" s="5"/>
      <c r="S446" s="5"/>
      <c r="T446" s="5"/>
      <c r="U446" s="5"/>
      <c r="V446" s="5"/>
      <c r="W446" s="5"/>
      <c r="X446" s="5"/>
      <c r="Y446" s="5"/>
      <c r="Z446" s="5"/>
      <c r="AA446" s="5"/>
      <c r="AB446" s="5"/>
    </row>
    <row r="447" ht="15.75" customHeight="1">
      <c r="A447" s="1"/>
      <c r="B447" s="2"/>
      <c r="C447" s="5"/>
      <c r="D447" s="5"/>
      <c r="E447" s="6"/>
      <c r="F447" s="6"/>
      <c r="G447" s="5"/>
      <c r="H447" s="5"/>
      <c r="I447" s="5"/>
      <c r="J447" s="5"/>
      <c r="K447" s="5"/>
      <c r="L447" s="5"/>
      <c r="M447" s="5"/>
      <c r="N447" s="5"/>
      <c r="O447" s="5"/>
      <c r="P447" s="5"/>
      <c r="Q447" s="5"/>
      <c r="R447" s="5"/>
      <c r="S447" s="5"/>
      <c r="T447" s="5"/>
      <c r="U447" s="5"/>
      <c r="V447" s="5"/>
      <c r="W447" s="5"/>
      <c r="X447" s="5"/>
      <c r="Y447" s="5"/>
      <c r="Z447" s="5"/>
      <c r="AA447" s="5"/>
      <c r="AB447" s="5"/>
    </row>
    <row r="448" ht="15.75" customHeight="1">
      <c r="A448" s="1"/>
      <c r="B448" s="2"/>
      <c r="C448" s="5"/>
      <c r="D448" s="5"/>
      <c r="E448" s="6"/>
      <c r="F448" s="6"/>
      <c r="G448" s="5"/>
      <c r="H448" s="5"/>
      <c r="I448" s="5"/>
      <c r="J448" s="5"/>
      <c r="K448" s="5"/>
      <c r="L448" s="5"/>
      <c r="M448" s="5"/>
      <c r="N448" s="5"/>
      <c r="O448" s="5"/>
      <c r="P448" s="5"/>
      <c r="Q448" s="5"/>
      <c r="R448" s="5"/>
      <c r="S448" s="5"/>
      <c r="T448" s="5"/>
      <c r="U448" s="5"/>
      <c r="V448" s="5"/>
      <c r="W448" s="5"/>
      <c r="X448" s="5"/>
      <c r="Y448" s="5"/>
      <c r="Z448" s="5"/>
      <c r="AA448" s="5"/>
      <c r="AB448" s="5"/>
    </row>
    <row r="449" ht="15.75" customHeight="1">
      <c r="A449" s="1"/>
      <c r="B449" s="2"/>
      <c r="C449" s="5"/>
      <c r="D449" s="5"/>
      <c r="E449" s="6"/>
      <c r="F449" s="6"/>
      <c r="G449" s="5"/>
      <c r="H449" s="5"/>
      <c r="I449" s="5"/>
      <c r="J449" s="5"/>
      <c r="K449" s="5"/>
      <c r="L449" s="5"/>
      <c r="M449" s="5"/>
      <c r="N449" s="5"/>
      <c r="O449" s="5"/>
      <c r="P449" s="5"/>
      <c r="Q449" s="5"/>
      <c r="R449" s="5"/>
      <c r="S449" s="5"/>
      <c r="T449" s="5"/>
      <c r="U449" s="5"/>
      <c r="V449" s="5"/>
      <c r="W449" s="5"/>
      <c r="X449" s="5"/>
      <c r="Y449" s="5"/>
      <c r="Z449" s="5"/>
      <c r="AA449" s="5"/>
      <c r="AB449" s="5"/>
    </row>
    <row r="450" ht="15.75" customHeight="1">
      <c r="A450" s="1"/>
      <c r="B450" s="2"/>
      <c r="C450" s="5"/>
      <c r="D450" s="5"/>
      <c r="E450" s="6"/>
      <c r="F450" s="6"/>
      <c r="G450" s="5"/>
      <c r="H450" s="5"/>
      <c r="I450" s="5"/>
      <c r="J450" s="5"/>
      <c r="K450" s="5"/>
      <c r="L450" s="5"/>
      <c r="M450" s="5"/>
      <c r="N450" s="5"/>
      <c r="O450" s="5"/>
      <c r="P450" s="5"/>
      <c r="Q450" s="5"/>
      <c r="R450" s="5"/>
      <c r="S450" s="5"/>
      <c r="T450" s="5"/>
      <c r="U450" s="5"/>
      <c r="V450" s="5"/>
      <c r="W450" s="5"/>
      <c r="X450" s="5"/>
      <c r="Y450" s="5"/>
      <c r="Z450" s="5"/>
      <c r="AA450" s="5"/>
      <c r="AB450" s="5"/>
    </row>
    <row r="451" ht="15.75" customHeight="1">
      <c r="A451" s="1"/>
      <c r="B451" s="2"/>
      <c r="C451" s="5"/>
      <c r="D451" s="5"/>
      <c r="E451" s="6"/>
      <c r="F451" s="6"/>
      <c r="G451" s="5"/>
      <c r="H451" s="5"/>
      <c r="I451" s="5"/>
      <c r="J451" s="5"/>
      <c r="K451" s="5"/>
      <c r="L451" s="5"/>
      <c r="M451" s="5"/>
      <c r="N451" s="5"/>
      <c r="O451" s="5"/>
      <c r="P451" s="5"/>
      <c r="Q451" s="5"/>
      <c r="R451" s="5"/>
      <c r="S451" s="5"/>
      <c r="T451" s="5"/>
      <c r="U451" s="5"/>
      <c r="V451" s="5"/>
      <c r="W451" s="5"/>
      <c r="X451" s="5"/>
      <c r="Y451" s="5"/>
      <c r="Z451" s="5"/>
      <c r="AA451" s="5"/>
      <c r="AB451" s="5"/>
    </row>
    <row r="452" ht="15.75" customHeight="1">
      <c r="A452" s="1"/>
      <c r="B452" s="2"/>
      <c r="C452" s="5"/>
      <c r="D452" s="5"/>
      <c r="E452" s="6"/>
      <c r="F452" s="6"/>
      <c r="G452" s="5"/>
      <c r="H452" s="5"/>
      <c r="I452" s="5"/>
      <c r="J452" s="5"/>
      <c r="K452" s="5"/>
      <c r="L452" s="5"/>
      <c r="M452" s="5"/>
      <c r="N452" s="5"/>
      <c r="O452" s="5"/>
      <c r="P452" s="5"/>
      <c r="Q452" s="5"/>
      <c r="R452" s="5"/>
      <c r="S452" s="5"/>
      <c r="T452" s="5"/>
      <c r="U452" s="5"/>
      <c r="V452" s="5"/>
      <c r="W452" s="5"/>
      <c r="X452" s="5"/>
      <c r="Y452" s="5"/>
      <c r="Z452" s="5"/>
      <c r="AA452" s="5"/>
      <c r="AB452" s="5"/>
    </row>
    <row r="453" ht="15.75" customHeight="1">
      <c r="A453" s="1"/>
      <c r="B453" s="2"/>
      <c r="C453" s="5"/>
      <c r="D453" s="5"/>
      <c r="E453" s="6"/>
      <c r="F453" s="6"/>
      <c r="G453" s="5"/>
      <c r="H453" s="5"/>
      <c r="I453" s="5"/>
      <c r="J453" s="5"/>
      <c r="K453" s="5"/>
      <c r="L453" s="5"/>
      <c r="M453" s="5"/>
      <c r="N453" s="5"/>
      <c r="O453" s="5"/>
      <c r="P453" s="5"/>
      <c r="Q453" s="5"/>
      <c r="R453" s="5"/>
      <c r="S453" s="5"/>
      <c r="T453" s="5"/>
      <c r="U453" s="5"/>
      <c r="V453" s="5"/>
      <c r="W453" s="5"/>
      <c r="X453" s="5"/>
      <c r="Y453" s="5"/>
      <c r="Z453" s="5"/>
      <c r="AA453" s="5"/>
      <c r="AB453" s="5"/>
    </row>
    <row r="454" ht="15.75" customHeight="1">
      <c r="A454" s="1"/>
      <c r="B454" s="2"/>
      <c r="C454" s="5"/>
      <c r="D454" s="5"/>
      <c r="E454" s="6"/>
      <c r="F454" s="6"/>
      <c r="G454" s="5"/>
      <c r="H454" s="5"/>
      <c r="I454" s="5"/>
      <c r="J454" s="5"/>
      <c r="K454" s="5"/>
      <c r="L454" s="5"/>
      <c r="M454" s="5"/>
      <c r="N454" s="5"/>
      <c r="O454" s="5"/>
      <c r="P454" s="5"/>
      <c r="Q454" s="5"/>
      <c r="R454" s="5"/>
      <c r="S454" s="5"/>
      <c r="T454" s="5"/>
      <c r="U454" s="5"/>
      <c r="V454" s="5"/>
      <c r="W454" s="5"/>
      <c r="X454" s="5"/>
      <c r="Y454" s="5"/>
      <c r="Z454" s="5"/>
      <c r="AA454" s="5"/>
      <c r="AB454" s="5"/>
    </row>
    <row r="455" ht="15.75" customHeight="1">
      <c r="A455" s="1"/>
      <c r="B455" s="2"/>
      <c r="C455" s="5"/>
      <c r="D455" s="5"/>
      <c r="E455" s="6"/>
      <c r="F455" s="6"/>
      <c r="G455" s="5"/>
      <c r="H455" s="5"/>
      <c r="I455" s="5"/>
      <c r="J455" s="5"/>
      <c r="K455" s="5"/>
      <c r="L455" s="5"/>
      <c r="M455" s="5"/>
      <c r="N455" s="5"/>
      <c r="O455" s="5"/>
      <c r="P455" s="5"/>
      <c r="Q455" s="5"/>
      <c r="R455" s="5"/>
      <c r="S455" s="5"/>
      <c r="T455" s="5"/>
      <c r="U455" s="5"/>
      <c r="V455" s="5"/>
      <c r="W455" s="5"/>
      <c r="X455" s="5"/>
      <c r="Y455" s="5"/>
      <c r="Z455" s="5"/>
      <c r="AA455" s="5"/>
      <c r="AB455" s="5"/>
    </row>
    <row r="456" ht="15.75" customHeight="1">
      <c r="A456" s="1"/>
      <c r="B456" s="2"/>
      <c r="C456" s="5"/>
      <c r="D456" s="5"/>
      <c r="E456" s="6"/>
      <c r="F456" s="6"/>
      <c r="G456" s="5"/>
      <c r="H456" s="5"/>
      <c r="I456" s="5"/>
      <c r="J456" s="5"/>
      <c r="K456" s="5"/>
      <c r="L456" s="5"/>
      <c r="M456" s="5"/>
      <c r="N456" s="5"/>
      <c r="O456" s="5"/>
      <c r="P456" s="5"/>
      <c r="Q456" s="5"/>
      <c r="R456" s="5"/>
      <c r="S456" s="5"/>
      <c r="T456" s="5"/>
      <c r="U456" s="5"/>
      <c r="V456" s="5"/>
      <c r="W456" s="5"/>
      <c r="X456" s="5"/>
      <c r="Y456" s="5"/>
      <c r="Z456" s="5"/>
      <c r="AA456" s="5"/>
      <c r="AB456" s="5"/>
    </row>
    <row r="457" ht="15.75" customHeight="1">
      <c r="A457" s="1"/>
      <c r="B457" s="2"/>
      <c r="C457" s="5"/>
      <c r="D457" s="5"/>
      <c r="E457" s="6"/>
      <c r="F457" s="6"/>
      <c r="G457" s="5"/>
      <c r="H457" s="5"/>
      <c r="I457" s="5"/>
      <c r="J457" s="5"/>
      <c r="K457" s="5"/>
      <c r="L457" s="5"/>
      <c r="M457" s="5"/>
      <c r="N457" s="5"/>
      <c r="O457" s="5"/>
      <c r="P457" s="5"/>
      <c r="Q457" s="5"/>
      <c r="R457" s="5"/>
      <c r="S457" s="5"/>
      <c r="T457" s="5"/>
      <c r="U457" s="5"/>
      <c r="V457" s="5"/>
      <c r="W457" s="5"/>
      <c r="X457" s="5"/>
      <c r="Y457" s="5"/>
      <c r="Z457" s="5"/>
      <c r="AA457" s="5"/>
      <c r="AB457" s="5"/>
    </row>
    <row r="458" ht="15.75" customHeight="1">
      <c r="A458" s="1"/>
      <c r="B458" s="2"/>
      <c r="C458" s="5"/>
      <c r="D458" s="5"/>
      <c r="E458" s="6"/>
      <c r="F458" s="6"/>
      <c r="G458" s="5"/>
      <c r="H458" s="5"/>
      <c r="I458" s="5"/>
      <c r="J458" s="5"/>
      <c r="K458" s="5"/>
      <c r="L458" s="5"/>
      <c r="M458" s="5"/>
      <c r="N458" s="5"/>
      <c r="O458" s="5"/>
      <c r="P458" s="5"/>
      <c r="Q458" s="5"/>
      <c r="R458" s="5"/>
      <c r="S458" s="5"/>
      <c r="T458" s="5"/>
      <c r="U458" s="5"/>
      <c r="V458" s="5"/>
      <c r="W458" s="5"/>
      <c r="X458" s="5"/>
      <c r="Y458" s="5"/>
      <c r="Z458" s="5"/>
      <c r="AA458" s="5"/>
      <c r="AB458" s="5"/>
    </row>
    <row r="459" ht="15.75" customHeight="1">
      <c r="A459" s="1"/>
      <c r="B459" s="2"/>
      <c r="C459" s="5"/>
      <c r="D459" s="5"/>
      <c r="E459" s="6"/>
      <c r="F459" s="6"/>
      <c r="G459" s="5"/>
      <c r="H459" s="5"/>
      <c r="I459" s="5"/>
      <c r="J459" s="5"/>
      <c r="K459" s="5"/>
      <c r="L459" s="5"/>
      <c r="M459" s="5"/>
      <c r="N459" s="5"/>
      <c r="O459" s="5"/>
      <c r="P459" s="5"/>
      <c r="Q459" s="5"/>
      <c r="R459" s="5"/>
      <c r="S459" s="5"/>
      <c r="T459" s="5"/>
      <c r="U459" s="5"/>
      <c r="V459" s="5"/>
      <c r="W459" s="5"/>
      <c r="X459" s="5"/>
      <c r="Y459" s="5"/>
      <c r="Z459" s="5"/>
      <c r="AA459" s="5"/>
      <c r="AB459" s="5"/>
    </row>
    <row r="460" ht="15.75" customHeight="1">
      <c r="A460" s="1"/>
      <c r="B460" s="2"/>
      <c r="C460" s="5"/>
      <c r="D460" s="5"/>
      <c r="E460" s="6"/>
      <c r="F460" s="6"/>
      <c r="G460" s="5"/>
      <c r="H460" s="5"/>
      <c r="I460" s="5"/>
      <c r="J460" s="5"/>
      <c r="K460" s="5"/>
      <c r="L460" s="5"/>
      <c r="M460" s="5"/>
      <c r="N460" s="5"/>
      <c r="O460" s="5"/>
      <c r="P460" s="5"/>
      <c r="Q460" s="5"/>
      <c r="R460" s="5"/>
      <c r="S460" s="5"/>
      <c r="T460" s="5"/>
      <c r="U460" s="5"/>
      <c r="V460" s="5"/>
      <c r="W460" s="5"/>
      <c r="X460" s="5"/>
      <c r="Y460" s="5"/>
      <c r="Z460" s="5"/>
      <c r="AA460" s="5"/>
      <c r="AB460" s="5"/>
    </row>
    <row r="461" ht="15.75" customHeight="1">
      <c r="A461" s="1"/>
      <c r="B461" s="2"/>
      <c r="C461" s="5"/>
      <c r="D461" s="5"/>
      <c r="E461" s="29"/>
      <c r="F461" s="6"/>
      <c r="G461" s="5"/>
      <c r="H461" s="5"/>
      <c r="I461" s="5"/>
      <c r="J461" s="5"/>
      <c r="K461" s="5"/>
      <c r="L461" s="5"/>
      <c r="M461" s="5"/>
      <c r="N461" s="5"/>
      <c r="O461" s="5"/>
      <c r="P461" s="5"/>
      <c r="Q461" s="5"/>
      <c r="R461" s="5"/>
      <c r="S461" s="5"/>
      <c r="T461" s="5"/>
      <c r="U461" s="5"/>
      <c r="V461" s="5"/>
      <c r="W461" s="5"/>
      <c r="X461" s="5"/>
      <c r="Y461" s="5"/>
      <c r="Z461" s="5"/>
      <c r="AA461" s="5"/>
      <c r="AB461" s="5"/>
    </row>
    <row r="462" ht="15.75" customHeight="1">
      <c r="A462" s="1"/>
      <c r="B462" s="2"/>
      <c r="C462" s="5"/>
      <c r="D462" s="5"/>
      <c r="E462" s="6"/>
      <c r="F462" s="6"/>
      <c r="G462" s="5"/>
      <c r="H462" s="5"/>
      <c r="I462" s="5"/>
      <c r="J462" s="5"/>
      <c r="K462" s="5"/>
      <c r="L462" s="5"/>
      <c r="M462" s="5"/>
      <c r="N462" s="5"/>
      <c r="O462" s="5"/>
      <c r="P462" s="5"/>
      <c r="Q462" s="5"/>
      <c r="R462" s="5"/>
      <c r="S462" s="5"/>
      <c r="T462" s="5"/>
      <c r="U462" s="5"/>
      <c r="V462" s="5"/>
      <c r="W462" s="5"/>
      <c r="X462" s="5"/>
      <c r="Y462" s="5"/>
      <c r="Z462" s="5"/>
      <c r="AA462" s="5"/>
      <c r="AB462" s="5"/>
    </row>
    <row r="463" ht="15.75" customHeight="1">
      <c r="A463" s="1"/>
      <c r="B463" s="2"/>
      <c r="C463" s="5"/>
      <c r="D463" s="5"/>
      <c r="E463" s="6"/>
      <c r="F463" s="6"/>
      <c r="G463" s="5"/>
      <c r="H463" s="5"/>
      <c r="I463" s="5"/>
      <c r="J463" s="5"/>
      <c r="K463" s="5"/>
      <c r="L463" s="5"/>
      <c r="M463" s="5"/>
      <c r="N463" s="5"/>
      <c r="O463" s="5"/>
      <c r="P463" s="5"/>
      <c r="Q463" s="5"/>
      <c r="R463" s="5"/>
      <c r="S463" s="5"/>
      <c r="T463" s="5"/>
      <c r="U463" s="5"/>
      <c r="V463" s="5"/>
      <c r="W463" s="5"/>
      <c r="X463" s="5"/>
      <c r="Y463" s="5"/>
      <c r="Z463" s="5"/>
      <c r="AA463" s="5"/>
      <c r="AB463" s="5"/>
    </row>
    <row r="464" ht="15.75" customHeight="1">
      <c r="A464" s="1"/>
      <c r="B464" s="2"/>
      <c r="C464" s="5"/>
      <c r="D464" s="5"/>
      <c r="E464" s="6"/>
      <c r="F464" s="6"/>
      <c r="G464" s="5"/>
      <c r="H464" s="5"/>
      <c r="I464" s="5"/>
      <c r="J464" s="5"/>
      <c r="K464" s="5"/>
      <c r="L464" s="5"/>
      <c r="M464" s="5"/>
      <c r="N464" s="5"/>
      <c r="O464" s="5"/>
      <c r="P464" s="5"/>
      <c r="Q464" s="5"/>
      <c r="R464" s="5"/>
      <c r="S464" s="5"/>
      <c r="T464" s="5"/>
      <c r="U464" s="5"/>
      <c r="V464" s="5"/>
      <c r="W464" s="5"/>
      <c r="X464" s="5"/>
      <c r="Y464" s="5"/>
      <c r="Z464" s="5"/>
      <c r="AA464" s="5"/>
      <c r="AB464" s="5"/>
    </row>
    <row r="465" ht="15.75" customHeight="1">
      <c r="A465" s="1"/>
      <c r="B465" s="2"/>
      <c r="C465" s="5"/>
      <c r="D465" s="5"/>
      <c r="E465" s="6"/>
      <c r="F465" s="6"/>
      <c r="G465" s="5"/>
      <c r="H465" s="5"/>
      <c r="I465" s="5"/>
      <c r="J465" s="5"/>
      <c r="K465" s="5"/>
      <c r="L465" s="5"/>
      <c r="M465" s="5"/>
      <c r="N465" s="5"/>
      <c r="O465" s="5"/>
      <c r="P465" s="5"/>
      <c r="Q465" s="5"/>
      <c r="R465" s="5"/>
      <c r="S465" s="5"/>
      <c r="T465" s="5"/>
      <c r="U465" s="5"/>
      <c r="V465" s="5"/>
      <c r="W465" s="5"/>
      <c r="X465" s="5"/>
      <c r="Y465" s="5"/>
      <c r="Z465" s="5"/>
      <c r="AA465" s="5"/>
      <c r="AB465" s="5"/>
    </row>
    <row r="466" ht="15.75" customHeight="1">
      <c r="A466" s="1"/>
      <c r="B466" s="2"/>
      <c r="C466" s="5"/>
      <c r="D466" s="5"/>
      <c r="E466" s="6"/>
      <c r="F466" s="6"/>
      <c r="G466" s="5"/>
      <c r="H466" s="5"/>
      <c r="I466" s="5"/>
      <c r="J466" s="5"/>
      <c r="K466" s="5"/>
      <c r="L466" s="5"/>
      <c r="M466" s="5"/>
      <c r="N466" s="5"/>
      <c r="O466" s="5"/>
      <c r="P466" s="5"/>
      <c r="Q466" s="5"/>
      <c r="R466" s="5"/>
      <c r="S466" s="5"/>
      <c r="T466" s="5"/>
      <c r="U466" s="5"/>
      <c r="V466" s="5"/>
      <c r="W466" s="5"/>
      <c r="X466" s="5"/>
      <c r="Y466" s="5"/>
      <c r="Z466" s="5"/>
      <c r="AA466" s="5"/>
      <c r="AB466" s="5"/>
    </row>
    <row r="467" ht="15.75" customHeight="1">
      <c r="A467" s="1"/>
      <c r="B467" s="2"/>
      <c r="C467" s="5"/>
      <c r="D467" s="5"/>
      <c r="E467" s="6"/>
      <c r="F467" s="6"/>
      <c r="G467" s="5"/>
      <c r="H467" s="5"/>
      <c r="I467" s="3"/>
      <c r="J467" s="5"/>
      <c r="K467" s="5"/>
      <c r="L467" s="5"/>
      <c r="M467" s="5"/>
      <c r="N467" s="5"/>
      <c r="O467" s="5"/>
      <c r="P467" s="5"/>
      <c r="Q467" s="5"/>
      <c r="R467" s="5"/>
      <c r="S467" s="5"/>
      <c r="T467" s="5"/>
      <c r="U467" s="5"/>
      <c r="V467" s="5"/>
      <c r="W467" s="5"/>
      <c r="X467" s="5"/>
      <c r="Y467" s="5"/>
      <c r="Z467" s="5"/>
      <c r="AA467" s="5"/>
      <c r="AB467" s="5"/>
    </row>
    <row r="468" ht="15.75" customHeight="1">
      <c r="A468" s="1"/>
      <c r="B468" s="2"/>
      <c r="C468" s="5"/>
      <c r="D468" s="5"/>
      <c r="E468" s="6"/>
      <c r="F468" s="6"/>
      <c r="G468" s="5"/>
      <c r="H468" s="5"/>
      <c r="I468" s="5"/>
      <c r="J468" s="5"/>
      <c r="K468" s="5"/>
      <c r="L468" s="5"/>
      <c r="M468" s="5"/>
      <c r="N468" s="5"/>
      <c r="O468" s="5"/>
      <c r="P468" s="5"/>
      <c r="Q468" s="5"/>
      <c r="R468" s="5"/>
      <c r="S468" s="5"/>
      <c r="T468" s="5"/>
      <c r="U468" s="5"/>
      <c r="V468" s="5"/>
      <c r="W468" s="5"/>
      <c r="X468" s="5"/>
      <c r="Y468" s="5"/>
      <c r="Z468" s="5"/>
      <c r="AA468" s="5"/>
      <c r="AB468" s="5"/>
    </row>
    <row r="469" ht="15.75" customHeight="1">
      <c r="A469" s="1"/>
      <c r="B469" s="2"/>
      <c r="C469" s="5"/>
      <c r="D469" s="5"/>
      <c r="E469" s="6"/>
      <c r="F469" s="6"/>
      <c r="G469" s="5"/>
      <c r="H469" s="5"/>
      <c r="I469" s="5"/>
      <c r="J469" s="5"/>
      <c r="K469" s="5"/>
      <c r="L469" s="5"/>
      <c r="M469" s="5"/>
      <c r="N469" s="5"/>
      <c r="O469" s="5"/>
      <c r="P469" s="5"/>
      <c r="Q469" s="5"/>
      <c r="R469" s="5"/>
      <c r="S469" s="5"/>
      <c r="T469" s="5"/>
      <c r="U469" s="5"/>
      <c r="V469" s="5"/>
      <c r="W469" s="5"/>
      <c r="X469" s="5"/>
      <c r="Y469" s="5"/>
      <c r="Z469" s="5"/>
      <c r="AA469" s="5"/>
      <c r="AB469" s="5"/>
    </row>
    <row r="470" ht="15.75" customHeight="1">
      <c r="A470" s="1"/>
      <c r="B470" s="2"/>
      <c r="C470" s="30"/>
      <c r="D470" s="5"/>
      <c r="E470" s="6"/>
      <c r="F470" s="6"/>
      <c r="G470" s="5"/>
      <c r="H470" s="5"/>
      <c r="I470" s="5"/>
      <c r="J470" s="5"/>
      <c r="K470" s="5"/>
      <c r="L470" s="5"/>
      <c r="M470" s="5"/>
      <c r="N470" s="5"/>
      <c r="O470" s="5"/>
      <c r="P470" s="5"/>
      <c r="Q470" s="5"/>
      <c r="R470" s="5"/>
      <c r="S470" s="5"/>
      <c r="T470" s="5"/>
      <c r="U470" s="5"/>
      <c r="V470" s="5"/>
      <c r="W470" s="5"/>
      <c r="X470" s="5"/>
      <c r="Y470" s="5"/>
      <c r="Z470" s="5"/>
      <c r="AA470" s="5"/>
      <c r="AB470" s="5"/>
    </row>
    <row r="471" ht="15.75" customHeight="1">
      <c r="A471" s="1"/>
      <c r="B471" s="2"/>
      <c r="C471" s="5"/>
      <c r="D471" s="3"/>
      <c r="E471" s="6"/>
      <c r="F471" s="6"/>
      <c r="G471" s="5"/>
      <c r="H471" s="5"/>
      <c r="I471" s="5"/>
      <c r="J471" s="5"/>
      <c r="K471" s="5"/>
      <c r="L471" s="5"/>
      <c r="M471" s="5"/>
      <c r="N471" s="5"/>
      <c r="O471" s="5"/>
      <c r="P471" s="5"/>
      <c r="Q471" s="5"/>
      <c r="R471" s="5"/>
      <c r="S471" s="5"/>
      <c r="T471" s="5"/>
      <c r="U471" s="5"/>
      <c r="V471" s="5"/>
      <c r="W471" s="5"/>
      <c r="X471" s="5"/>
      <c r="Y471" s="5"/>
      <c r="Z471" s="5"/>
      <c r="AA471" s="5"/>
      <c r="AB471" s="5"/>
    </row>
    <row r="472" ht="15.75" customHeight="1">
      <c r="A472" s="1"/>
      <c r="B472" s="2"/>
      <c r="C472" s="5"/>
      <c r="D472" s="3"/>
      <c r="E472" s="6"/>
      <c r="F472" s="6"/>
      <c r="G472" s="5"/>
      <c r="H472" s="5"/>
      <c r="I472" s="5"/>
      <c r="J472" s="5"/>
      <c r="K472" s="5"/>
      <c r="L472" s="5"/>
      <c r="M472" s="5"/>
      <c r="N472" s="5"/>
      <c r="O472" s="5"/>
      <c r="P472" s="5"/>
      <c r="Q472" s="5"/>
      <c r="R472" s="5"/>
      <c r="S472" s="5"/>
      <c r="T472" s="5"/>
      <c r="U472" s="5"/>
      <c r="V472" s="5"/>
      <c r="W472" s="5"/>
      <c r="X472" s="5"/>
      <c r="Y472" s="5"/>
      <c r="Z472" s="5"/>
      <c r="AA472" s="5"/>
      <c r="AB472" s="5"/>
    </row>
    <row r="473" ht="15.75" customHeight="1">
      <c r="A473" s="1"/>
      <c r="B473" s="2"/>
      <c r="C473" s="5"/>
      <c r="D473" s="3"/>
      <c r="E473" s="6"/>
      <c r="F473" s="6"/>
      <c r="G473" s="5"/>
      <c r="H473" s="5"/>
      <c r="I473" s="5"/>
      <c r="J473" s="5"/>
      <c r="K473" s="5"/>
      <c r="L473" s="5"/>
      <c r="M473" s="5"/>
      <c r="N473" s="5"/>
      <c r="O473" s="5"/>
      <c r="P473" s="5"/>
      <c r="Q473" s="5"/>
      <c r="R473" s="5"/>
      <c r="S473" s="5"/>
      <c r="T473" s="5"/>
      <c r="U473" s="5"/>
      <c r="V473" s="5"/>
      <c r="W473" s="5"/>
      <c r="X473" s="5"/>
      <c r="Y473" s="5"/>
      <c r="Z473" s="5"/>
      <c r="AA473" s="5"/>
      <c r="AB473" s="5"/>
    </row>
    <row r="474" ht="15.75" customHeight="1">
      <c r="A474" s="1"/>
      <c r="B474" s="2"/>
      <c r="C474" s="5"/>
      <c r="D474" s="3"/>
      <c r="E474" s="4"/>
      <c r="F474" s="4"/>
      <c r="G474" s="5"/>
      <c r="H474" s="5"/>
      <c r="I474" s="5"/>
      <c r="J474" s="5"/>
      <c r="K474" s="5"/>
      <c r="L474" s="5"/>
      <c r="M474" s="5"/>
      <c r="N474" s="5"/>
      <c r="O474" s="5"/>
      <c r="P474" s="5"/>
      <c r="Q474" s="5"/>
      <c r="R474" s="5"/>
      <c r="S474" s="5"/>
      <c r="T474" s="5"/>
      <c r="U474" s="5"/>
      <c r="V474" s="5"/>
      <c r="W474" s="5"/>
      <c r="X474" s="5"/>
      <c r="Y474" s="5"/>
      <c r="Z474" s="5"/>
      <c r="AA474" s="5"/>
      <c r="AB474" s="5"/>
    </row>
    <row r="475" ht="15.75" customHeight="1">
      <c r="A475" s="1"/>
      <c r="B475" s="2"/>
      <c r="C475" s="30"/>
      <c r="D475" s="3"/>
      <c r="E475" s="4"/>
      <c r="F475" s="4"/>
      <c r="G475" s="5"/>
      <c r="H475" s="5"/>
      <c r="I475" s="3"/>
      <c r="J475" s="5"/>
      <c r="K475" s="5"/>
      <c r="L475" s="5"/>
      <c r="M475" s="5"/>
      <c r="N475" s="5"/>
      <c r="O475" s="5"/>
      <c r="P475" s="5"/>
      <c r="Q475" s="5"/>
      <c r="R475" s="5"/>
      <c r="S475" s="5"/>
      <c r="T475" s="5"/>
      <c r="U475" s="5"/>
      <c r="V475" s="5"/>
      <c r="W475" s="5"/>
      <c r="X475" s="5"/>
      <c r="Y475" s="5"/>
      <c r="Z475" s="5"/>
      <c r="AA475" s="5"/>
      <c r="AB475" s="5"/>
    </row>
    <row r="476" ht="15.75" customHeight="1">
      <c r="A476" s="1"/>
      <c r="B476" s="2"/>
      <c r="C476" s="5"/>
      <c r="D476" s="3"/>
      <c r="E476" s="4"/>
      <c r="F476" s="4"/>
      <c r="G476" s="5"/>
      <c r="H476" s="3"/>
      <c r="I476" s="3"/>
      <c r="J476" s="5"/>
      <c r="K476" s="5"/>
      <c r="L476" s="5"/>
      <c r="M476" s="5"/>
      <c r="N476" s="5"/>
      <c r="O476" s="5"/>
      <c r="P476" s="5"/>
      <c r="Q476" s="5"/>
      <c r="R476" s="5"/>
      <c r="S476" s="5"/>
      <c r="T476" s="5"/>
      <c r="U476" s="5"/>
      <c r="V476" s="5"/>
      <c r="W476" s="5"/>
      <c r="X476" s="5"/>
      <c r="Y476" s="5"/>
      <c r="Z476" s="5"/>
      <c r="AA476" s="5"/>
      <c r="AB476" s="5"/>
    </row>
    <row r="477" ht="15.75" customHeight="1">
      <c r="A477" s="1"/>
      <c r="B477" s="2"/>
      <c r="C477" s="5"/>
      <c r="D477" s="3"/>
      <c r="E477" s="4"/>
      <c r="F477" s="4"/>
      <c r="G477" s="5"/>
      <c r="H477" s="5"/>
      <c r="I477" s="3"/>
      <c r="J477" s="5"/>
      <c r="K477" s="5"/>
      <c r="L477" s="5"/>
      <c r="M477" s="5"/>
      <c r="N477" s="5"/>
      <c r="O477" s="5"/>
      <c r="P477" s="5"/>
      <c r="Q477" s="5"/>
      <c r="R477" s="5"/>
      <c r="S477" s="5"/>
      <c r="T477" s="5"/>
      <c r="U477" s="5"/>
      <c r="V477" s="5"/>
      <c r="W477" s="5"/>
      <c r="X477" s="5"/>
      <c r="Y477" s="5"/>
      <c r="Z477" s="5"/>
      <c r="AA477" s="5"/>
      <c r="AB477" s="5"/>
    </row>
    <row r="478" ht="15.75" customHeight="1">
      <c r="A478" s="1"/>
      <c r="B478" s="2"/>
      <c r="C478" s="5"/>
      <c r="D478" s="3"/>
      <c r="E478" s="4"/>
      <c r="F478" s="4"/>
      <c r="G478" s="5"/>
      <c r="H478" s="5"/>
      <c r="I478" s="3"/>
      <c r="J478" s="5"/>
      <c r="K478" s="5"/>
      <c r="L478" s="5"/>
      <c r="M478" s="5"/>
      <c r="N478" s="5"/>
      <c r="O478" s="5"/>
      <c r="P478" s="5"/>
      <c r="Q478" s="5"/>
      <c r="R478" s="5"/>
      <c r="S478" s="5"/>
      <c r="T478" s="5"/>
      <c r="U478" s="5"/>
      <c r="V478" s="5"/>
      <c r="W478" s="5"/>
      <c r="X478" s="5"/>
      <c r="Y478" s="5"/>
      <c r="Z478" s="5"/>
      <c r="AA478" s="5"/>
      <c r="AB478" s="5"/>
    </row>
    <row r="479" ht="15.75" customHeight="1">
      <c r="A479" s="1"/>
      <c r="B479" s="2"/>
      <c r="C479" s="5"/>
      <c r="D479" s="3"/>
      <c r="E479" s="4"/>
      <c r="F479" s="4"/>
      <c r="G479" s="5"/>
      <c r="H479" s="3"/>
      <c r="I479" s="3"/>
      <c r="J479" s="5"/>
      <c r="K479" s="5"/>
      <c r="L479" s="5"/>
      <c r="M479" s="5"/>
      <c r="N479" s="5"/>
      <c r="O479" s="5"/>
      <c r="P479" s="5"/>
      <c r="Q479" s="5"/>
      <c r="R479" s="5"/>
      <c r="S479" s="5"/>
      <c r="T479" s="5"/>
      <c r="U479" s="5"/>
      <c r="V479" s="5"/>
      <c r="W479" s="5"/>
      <c r="X479" s="5"/>
      <c r="Y479" s="5"/>
      <c r="Z479" s="5"/>
      <c r="AA479" s="5"/>
      <c r="AB479" s="5"/>
    </row>
    <row r="480" ht="15.75" customHeight="1">
      <c r="A480" s="1"/>
      <c r="B480" s="2"/>
      <c r="C480" s="5"/>
      <c r="D480" s="3"/>
      <c r="E480" s="4"/>
      <c r="F480" s="4"/>
      <c r="G480" s="5"/>
      <c r="H480" s="5"/>
      <c r="I480" s="3"/>
      <c r="J480" s="5"/>
      <c r="K480" s="5"/>
      <c r="L480" s="5"/>
      <c r="M480" s="5"/>
      <c r="N480" s="5"/>
      <c r="O480" s="5"/>
      <c r="P480" s="5"/>
      <c r="Q480" s="5"/>
      <c r="R480" s="5"/>
      <c r="S480" s="5"/>
      <c r="T480" s="5"/>
      <c r="U480" s="5"/>
      <c r="V480" s="5"/>
      <c r="W480" s="5"/>
      <c r="X480" s="5"/>
      <c r="Y480" s="5"/>
      <c r="Z480" s="5"/>
      <c r="AA480" s="5"/>
      <c r="AB480" s="5"/>
    </row>
    <row r="481" ht="15.75" customHeight="1">
      <c r="A481" s="1"/>
      <c r="B481" s="2"/>
      <c r="C481" s="5"/>
      <c r="D481" s="3"/>
      <c r="E481" s="4"/>
      <c r="F481" s="4"/>
      <c r="G481" s="3"/>
      <c r="H481" s="3"/>
      <c r="I481" s="3"/>
      <c r="J481" s="5"/>
      <c r="K481" s="5"/>
      <c r="L481" s="5"/>
      <c r="M481" s="5"/>
      <c r="N481" s="5"/>
      <c r="O481" s="5"/>
      <c r="P481" s="5"/>
      <c r="Q481" s="5"/>
      <c r="R481" s="5"/>
      <c r="S481" s="5"/>
      <c r="T481" s="5"/>
      <c r="U481" s="5"/>
      <c r="V481" s="5"/>
      <c r="W481" s="5"/>
      <c r="X481" s="5"/>
      <c r="Y481" s="5"/>
      <c r="Z481" s="5"/>
      <c r="AA481" s="5"/>
      <c r="AB481" s="5"/>
    </row>
    <row r="482" ht="15.75" customHeight="1">
      <c r="A482" s="1"/>
      <c r="B482" s="2"/>
      <c r="C482" s="5"/>
      <c r="D482" s="3"/>
      <c r="E482" s="4"/>
      <c r="F482" s="4"/>
      <c r="G482" s="5"/>
      <c r="H482" s="5"/>
      <c r="I482" s="3"/>
      <c r="J482" s="5"/>
      <c r="K482" s="5"/>
      <c r="L482" s="5"/>
      <c r="M482" s="5"/>
      <c r="N482" s="5"/>
      <c r="O482" s="5"/>
      <c r="P482" s="5"/>
      <c r="Q482" s="5"/>
      <c r="R482" s="5"/>
      <c r="S482" s="5"/>
      <c r="T482" s="5"/>
      <c r="U482" s="5"/>
      <c r="V482" s="5"/>
      <c r="W482" s="5"/>
      <c r="X482" s="5"/>
      <c r="Y482" s="5"/>
      <c r="Z482" s="5"/>
      <c r="AA482" s="5"/>
      <c r="AB482" s="5"/>
    </row>
    <row r="483" ht="15.75" customHeight="1">
      <c r="A483" s="1"/>
      <c r="B483" s="2"/>
      <c r="C483" s="5"/>
      <c r="D483" s="3"/>
      <c r="E483" s="4"/>
      <c r="F483" s="4"/>
      <c r="G483" s="5"/>
      <c r="H483" s="5"/>
      <c r="I483" s="3"/>
      <c r="J483" s="5"/>
      <c r="K483" s="5"/>
      <c r="L483" s="5"/>
      <c r="M483" s="5"/>
      <c r="N483" s="5"/>
      <c r="O483" s="5"/>
      <c r="P483" s="5"/>
      <c r="Q483" s="5"/>
      <c r="R483" s="5"/>
      <c r="S483" s="5"/>
      <c r="T483" s="5"/>
      <c r="U483" s="5"/>
      <c r="V483" s="5"/>
      <c r="W483" s="5"/>
      <c r="X483" s="5"/>
      <c r="Y483" s="5"/>
      <c r="Z483" s="5"/>
      <c r="AA483" s="5"/>
      <c r="AB483" s="5"/>
    </row>
    <row r="484" ht="15.75" customHeight="1">
      <c r="A484" s="1"/>
      <c r="B484" s="2"/>
      <c r="C484" s="5"/>
      <c r="D484" s="3"/>
      <c r="E484" s="4"/>
      <c r="F484" s="4"/>
      <c r="G484" s="5"/>
      <c r="H484" s="5"/>
      <c r="I484" s="3"/>
      <c r="J484" s="5"/>
      <c r="K484" s="5"/>
      <c r="L484" s="5"/>
      <c r="M484" s="5"/>
      <c r="N484" s="5"/>
      <c r="O484" s="5"/>
      <c r="P484" s="5"/>
      <c r="Q484" s="5"/>
      <c r="R484" s="5"/>
      <c r="S484" s="5"/>
      <c r="T484" s="5"/>
      <c r="U484" s="5"/>
      <c r="V484" s="5"/>
      <c r="W484" s="5"/>
      <c r="X484" s="5"/>
      <c r="Y484" s="5"/>
      <c r="Z484" s="5"/>
      <c r="AA484" s="5"/>
      <c r="AB484" s="5"/>
    </row>
    <row r="485" ht="15.75" customHeight="1">
      <c r="A485" s="1"/>
      <c r="B485" s="2"/>
      <c r="C485" s="5"/>
      <c r="D485" s="3"/>
      <c r="E485" s="4"/>
      <c r="F485" s="4"/>
      <c r="G485" s="5"/>
      <c r="H485" s="3"/>
      <c r="I485" s="5"/>
      <c r="J485" s="5"/>
      <c r="K485" s="5"/>
      <c r="L485" s="5"/>
      <c r="M485" s="5"/>
      <c r="N485" s="5"/>
      <c r="O485" s="5"/>
      <c r="P485" s="5"/>
      <c r="Q485" s="5"/>
      <c r="R485" s="5"/>
      <c r="S485" s="5"/>
      <c r="T485" s="5"/>
      <c r="U485" s="5"/>
      <c r="V485" s="5"/>
      <c r="W485" s="5"/>
      <c r="X485" s="5"/>
      <c r="Y485" s="5"/>
      <c r="Z485" s="5"/>
      <c r="AA485" s="5"/>
      <c r="AB485" s="5"/>
    </row>
    <row r="486" ht="15.75" customHeight="1">
      <c r="A486" s="1"/>
      <c r="B486" s="2"/>
      <c r="C486" s="5"/>
      <c r="D486" s="3"/>
      <c r="E486" s="4"/>
      <c r="F486" s="4"/>
      <c r="G486" s="5"/>
      <c r="H486" s="5"/>
      <c r="I486" s="5"/>
      <c r="J486" s="5"/>
      <c r="K486" s="5"/>
      <c r="L486" s="5"/>
      <c r="M486" s="5"/>
      <c r="N486" s="5"/>
      <c r="O486" s="5"/>
      <c r="P486" s="5"/>
      <c r="Q486" s="5"/>
      <c r="R486" s="5"/>
      <c r="S486" s="5"/>
      <c r="T486" s="5"/>
      <c r="U486" s="5"/>
      <c r="V486" s="5"/>
      <c r="W486" s="5"/>
      <c r="X486" s="5"/>
      <c r="Y486" s="5"/>
      <c r="Z486" s="5"/>
      <c r="AA486" s="5"/>
      <c r="AB486" s="5"/>
    </row>
    <row r="487" ht="15.75" customHeight="1">
      <c r="A487" s="1"/>
      <c r="B487" s="2"/>
      <c r="C487" s="5"/>
      <c r="D487" s="3"/>
      <c r="E487" s="4"/>
      <c r="F487" s="4"/>
      <c r="G487" s="5"/>
      <c r="H487" s="3"/>
      <c r="I487" s="5"/>
      <c r="J487" s="5"/>
      <c r="K487" s="5"/>
      <c r="L487" s="5"/>
      <c r="M487" s="5"/>
      <c r="N487" s="5"/>
      <c r="O487" s="5"/>
      <c r="P487" s="5"/>
      <c r="Q487" s="5"/>
      <c r="R487" s="5"/>
      <c r="S487" s="5"/>
      <c r="T487" s="5"/>
      <c r="U487" s="5"/>
      <c r="V487" s="5"/>
      <c r="W487" s="5"/>
      <c r="X487" s="5"/>
      <c r="Y487" s="5"/>
      <c r="Z487" s="5"/>
      <c r="AA487" s="5"/>
      <c r="AB487" s="5"/>
    </row>
    <row r="488" ht="15.75" customHeight="1">
      <c r="A488" s="1"/>
      <c r="B488" s="2"/>
      <c r="C488" s="30"/>
      <c r="D488" s="3"/>
      <c r="E488" s="4"/>
      <c r="F488" s="4"/>
      <c r="G488" s="3"/>
      <c r="H488" s="3"/>
      <c r="I488" s="3"/>
      <c r="J488" s="5"/>
      <c r="K488" s="5"/>
      <c r="L488" s="5"/>
      <c r="M488" s="5"/>
      <c r="N488" s="5"/>
      <c r="O488" s="5"/>
      <c r="P488" s="5"/>
      <c r="Q488" s="5"/>
      <c r="R488" s="5"/>
      <c r="S488" s="5"/>
      <c r="T488" s="5"/>
      <c r="U488" s="5"/>
      <c r="V488" s="5"/>
      <c r="W488" s="5"/>
      <c r="X488" s="5"/>
      <c r="Y488" s="5"/>
      <c r="Z488" s="5"/>
      <c r="AA488" s="5"/>
      <c r="AB488" s="5"/>
    </row>
    <row r="489" ht="15.75" customHeight="1">
      <c r="A489" s="1"/>
      <c r="B489" s="2"/>
      <c r="C489" s="5"/>
      <c r="D489" s="3"/>
      <c r="E489" s="4"/>
      <c r="F489" s="4"/>
      <c r="G489" s="3"/>
      <c r="H489" s="3"/>
      <c r="I489" s="3"/>
      <c r="J489" s="5"/>
      <c r="K489" s="5"/>
      <c r="L489" s="5"/>
      <c r="M489" s="5"/>
      <c r="N489" s="5"/>
      <c r="O489" s="5"/>
      <c r="P489" s="5"/>
      <c r="Q489" s="5"/>
      <c r="R489" s="5"/>
      <c r="S489" s="5"/>
      <c r="T489" s="5"/>
      <c r="U489" s="5"/>
      <c r="V489" s="5"/>
      <c r="W489" s="5"/>
      <c r="X489" s="5"/>
      <c r="Y489" s="5"/>
      <c r="Z489" s="5"/>
      <c r="AA489" s="5"/>
      <c r="AB489" s="5"/>
    </row>
    <row r="490" ht="15.75" customHeight="1">
      <c r="A490" s="1"/>
      <c r="B490" s="2"/>
      <c r="C490" s="5"/>
      <c r="D490" s="3"/>
      <c r="E490" s="4"/>
      <c r="F490" s="4"/>
      <c r="G490" s="3"/>
      <c r="H490" s="3"/>
      <c r="I490" s="3"/>
      <c r="J490" s="5"/>
      <c r="K490" s="5"/>
      <c r="L490" s="5"/>
      <c r="M490" s="5"/>
      <c r="N490" s="5"/>
      <c r="O490" s="5"/>
      <c r="P490" s="5"/>
      <c r="Q490" s="5"/>
      <c r="R490" s="5"/>
      <c r="S490" s="5"/>
      <c r="T490" s="5"/>
      <c r="U490" s="5"/>
      <c r="V490" s="5"/>
      <c r="W490" s="5"/>
      <c r="X490" s="5"/>
      <c r="Y490" s="5"/>
      <c r="Z490" s="5"/>
      <c r="AA490" s="5"/>
      <c r="AB490" s="5"/>
    </row>
    <row r="491" ht="15.75" customHeight="1">
      <c r="A491" s="1"/>
      <c r="B491" s="2"/>
      <c r="C491" s="5"/>
      <c r="D491" s="3"/>
      <c r="E491" s="4"/>
      <c r="F491" s="4"/>
      <c r="G491" s="3"/>
      <c r="H491" s="3"/>
      <c r="I491" s="3"/>
      <c r="J491" s="5"/>
      <c r="K491" s="5"/>
      <c r="L491" s="5"/>
      <c r="M491" s="5"/>
      <c r="N491" s="5"/>
      <c r="O491" s="5"/>
      <c r="P491" s="5"/>
      <c r="Q491" s="5"/>
      <c r="R491" s="5"/>
      <c r="S491" s="5"/>
      <c r="T491" s="5"/>
      <c r="U491" s="5"/>
      <c r="V491" s="5"/>
      <c r="W491" s="5"/>
      <c r="X491" s="5"/>
      <c r="Y491" s="5"/>
      <c r="Z491" s="5"/>
      <c r="AA491" s="5"/>
      <c r="AB491" s="5"/>
    </row>
    <row r="492" ht="15.75" customHeight="1">
      <c r="A492" s="1"/>
      <c r="B492" s="2"/>
      <c r="C492" s="5"/>
      <c r="D492" s="3"/>
      <c r="E492" s="4"/>
      <c r="F492" s="4"/>
      <c r="G492" s="3"/>
      <c r="H492" s="3"/>
      <c r="I492" s="3"/>
      <c r="J492" s="5"/>
      <c r="K492" s="5"/>
      <c r="L492" s="5"/>
      <c r="M492" s="5"/>
      <c r="N492" s="5"/>
      <c r="O492" s="5"/>
      <c r="P492" s="5"/>
      <c r="Q492" s="5"/>
      <c r="R492" s="5"/>
      <c r="S492" s="5"/>
      <c r="T492" s="5"/>
      <c r="U492" s="5"/>
      <c r="V492" s="5"/>
      <c r="W492" s="5"/>
      <c r="X492" s="5"/>
      <c r="Y492" s="5"/>
      <c r="Z492" s="5"/>
      <c r="AA492" s="5"/>
      <c r="AB492" s="5"/>
    </row>
    <row r="493" ht="15.75" customHeight="1">
      <c r="A493" s="1"/>
      <c r="B493" s="2"/>
      <c r="C493" s="5"/>
      <c r="D493" s="3"/>
      <c r="E493" s="4"/>
      <c r="F493" s="4"/>
      <c r="G493" s="3"/>
      <c r="H493" s="3"/>
      <c r="I493" s="3"/>
      <c r="J493" s="5"/>
      <c r="K493" s="5"/>
      <c r="L493" s="5"/>
      <c r="M493" s="5"/>
      <c r="N493" s="5"/>
      <c r="O493" s="5"/>
      <c r="P493" s="5"/>
      <c r="Q493" s="5"/>
      <c r="R493" s="5"/>
      <c r="S493" s="5"/>
      <c r="T493" s="5"/>
      <c r="U493" s="5"/>
      <c r="V493" s="5"/>
      <c r="W493" s="5"/>
      <c r="X493" s="5"/>
      <c r="Y493" s="5"/>
      <c r="Z493" s="5"/>
      <c r="AA493" s="5"/>
      <c r="AB493" s="5"/>
    </row>
    <row r="494" ht="15.75" customHeight="1">
      <c r="A494" s="1"/>
      <c r="B494" s="2"/>
      <c r="C494" s="5"/>
      <c r="D494" s="3"/>
      <c r="E494" s="4"/>
      <c r="F494" s="4"/>
      <c r="G494" s="3"/>
      <c r="H494" s="3"/>
      <c r="I494" s="3"/>
      <c r="J494" s="5"/>
      <c r="K494" s="5"/>
      <c r="L494" s="5"/>
      <c r="M494" s="5"/>
      <c r="N494" s="5"/>
      <c r="O494" s="5"/>
      <c r="P494" s="5"/>
      <c r="Q494" s="5"/>
      <c r="R494" s="5"/>
      <c r="S494" s="5"/>
      <c r="T494" s="5"/>
      <c r="U494" s="5"/>
      <c r="V494" s="5"/>
      <c r="W494" s="5"/>
      <c r="X494" s="5"/>
      <c r="Y494" s="5"/>
      <c r="Z494" s="5"/>
      <c r="AA494" s="5"/>
      <c r="AB494" s="5"/>
    </row>
    <row r="495" ht="15.75" customHeight="1">
      <c r="A495" s="1"/>
      <c r="B495" s="2"/>
      <c r="C495" s="5"/>
      <c r="D495" s="3"/>
      <c r="E495" s="4"/>
      <c r="F495" s="4"/>
      <c r="G495" s="5"/>
      <c r="H495" s="3"/>
      <c r="I495" s="5"/>
      <c r="J495" s="5"/>
      <c r="K495" s="5"/>
      <c r="L495" s="5"/>
      <c r="M495" s="5"/>
      <c r="N495" s="5"/>
      <c r="O495" s="5"/>
      <c r="P495" s="5"/>
      <c r="Q495" s="5"/>
      <c r="R495" s="5"/>
      <c r="S495" s="5"/>
      <c r="T495" s="5"/>
      <c r="U495" s="5"/>
      <c r="V495" s="5"/>
      <c r="W495" s="5"/>
      <c r="X495" s="5"/>
      <c r="Y495" s="5"/>
      <c r="Z495" s="5"/>
      <c r="AA495" s="5"/>
      <c r="AB495" s="5"/>
    </row>
    <row r="496" ht="15.75" customHeight="1">
      <c r="A496" s="1"/>
      <c r="B496" s="2"/>
      <c r="C496" s="5"/>
      <c r="D496" s="3"/>
      <c r="E496" s="4"/>
      <c r="F496" s="4"/>
      <c r="G496" s="3"/>
      <c r="H496" s="3"/>
      <c r="I496" s="3"/>
      <c r="J496" s="5"/>
      <c r="K496" s="5"/>
      <c r="L496" s="5"/>
      <c r="M496" s="5"/>
      <c r="N496" s="5"/>
      <c r="O496" s="5"/>
      <c r="P496" s="5"/>
      <c r="Q496" s="5"/>
      <c r="R496" s="5"/>
      <c r="S496" s="5"/>
      <c r="T496" s="5"/>
      <c r="U496" s="5"/>
      <c r="V496" s="5"/>
      <c r="W496" s="5"/>
      <c r="X496" s="5"/>
      <c r="Y496" s="5"/>
      <c r="Z496" s="5"/>
      <c r="AA496" s="5"/>
      <c r="AB496" s="5"/>
    </row>
    <row r="497" ht="15.75" customHeight="1">
      <c r="A497" s="1"/>
      <c r="B497" s="2"/>
      <c r="C497" s="5"/>
      <c r="D497" s="3"/>
      <c r="E497" s="31"/>
      <c r="F497" s="4"/>
      <c r="G497" s="5"/>
      <c r="H497" s="3"/>
      <c r="I497" s="3"/>
      <c r="J497" s="5"/>
      <c r="K497" s="5"/>
      <c r="L497" s="5"/>
      <c r="M497" s="5"/>
      <c r="N497" s="5"/>
      <c r="O497" s="5"/>
      <c r="P497" s="5"/>
      <c r="Q497" s="5"/>
      <c r="R497" s="5"/>
      <c r="S497" s="5"/>
      <c r="T497" s="5"/>
      <c r="U497" s="5"/>
      <c r="V497" s="5"/>
      <c r="W497" s="5"/>
      <c r="X497" s="5"/>
      <c r="Y497" s="5"/>
      <c r="Z497" s="5"/>
      <c r="AA497" s="5"/>
      <c r="AB497" s="5"/>
    </row>
    <row r="498" ht="15.75" customHeight="1">
      <c r="A498" s="1"/>
      <c r="B498" s="2"/>
      <c r="C498" s="5"/>
      <c r="D498" s="3"/>
      <c r="E498" s="4"/>
      <c r="F498" s="4"/>
      <c r="G498" s="5"/>
      <c r="H498" s="3"/>
      <c r="I498" s="5"/>
      <c r="J498" s="5"/>
      <c r="K498" s="5"/>
      <c r="L498" s="5"/>
      <c r="M498" s="5"/>
      <c r="N498" s="5"/>
      <c r="O498" s="5"/>
      <c r="P498" s="5"/>
      <c r="Q498" s="5"/>
      <c r="R498" s="5"/>
      <c r="S498" s="5"/>
      <c r="T498" s="5"/>
      <c r="U498" s="5"/>
      <c r="V498" s="5"/>
      <c r="W498" s="5"/>
      <c r="X498" s="5"/>
      <c r="Y498" s="5"/>
      <c r="Z498" s="5"/>
      <c r="AA498" s="5"/>
      <c r="AB498" s="5"/>
    </row>
    <row r="499" ht="15.75" customHeight="1">
      <c r="A499" s="1"/>
      <c r="B499" s="2"/>
      <c r="C499" s="5"/>
      <c r="D499" s="3"/>
      <c r="E499" s="4"/>
      <c r="F499" s="4"/>
      <c r="G499" s="5"/>
      <c r="H499" s="3"/>
      <c r="I499" s="3"/>
      <c r="J499" s="5"/>
      <c r="K499" s="5"/>
      <c r="L499" s="5"/>
      <c r="M499" s="5"/>
      <c r="N499" s="5"/>
      <c r="O499" s="5"/>
      <c r="P499" s="5"/>
      <c r="Q499" s="5"/>
      <c r="R499" s="5"/>
      <c r="S499" s="5"/>
      <c r="T499" s="5"/>
      <c r="U499" s="5"/>
      <c r="V499" s="5"/>
      <c r="W499" s="5"/>
      <c r="X499" s="5"/>
      <c r="Y499" s="5"/>
      <c r="Z499" s="5"/>
      <c r="AA499" s="5"/>
      <c r="AB499" s="5"/>
    </row>
    <row r="500" ht="15.75" customHeight="1">
      <c r="A500" s="1"/>
      <c r="B500" s="2"/>
      <c r="C500" s="5"/>
      <c r="D500" s="3"/>
      <c r="E500" s="4"/>
      <c r="F500" s="4"/>
      <c r="G500" s="5"/>
      <c r="H500" s="3"/>
      <c r="I500" s="5"/>
      <c r="J500" s="5"/>
      <c r="K500" s="5"/>
      <c r="L500" s="5"/>
      <c r="M500" s="5"/>
      <c r="N500" s="5"/>
      <c r="O500" s="5"/>
      <c r="P500" s="5"/>
      <c r="Q500" s="5"/>
      <c r="R500" s="5"/>
      <c r="S500" s="5"/>
      <c r="T500" s="5"/>
      <c r="U500" s="5"/>
      <c r="V500" s="5"/>
      <c r="W500" s="5"/>
      <c r="X500" s="5"/>
      <c r="Y500" s="5"/>
      <c r="Z500" s="5"/>
      <c r="AA500" s="5"/>
      <c r="AB500" s="5"/>
    </row>
    <row r="501" ht="15.75" customHeight="1">
      <c r="A501" s="1"/>
      <c r="B501" s="2"/>
      <c r="C501" s="5"/>
      <c r="D501" s="3"/>
      <c r="E501" s="4"/>
      <c r="F501" s="4"/>
      <c r="G501" s="5"/>
      <c r="H501" s="5"/>
      <c r="I501" s="5"/>
      <c r="J501" s="5"/>
      <c r="K501" s="5"/>
      <c r="L501" s="5"/>
      <c r="M501" s="5"/>
      <c r="N501" s="5"/>
      <c r="O501" s="5"/>
      <c r="P501" s="5"/>
      <c r="Q501" s="5"/>
      <c r="R501" s="5"/>
      <c r="S501" s="5"/>
      <c r="T501" s="5"/>
      <c r="U501" s="5"/>
      <c r="V501" s="5"/>
      <c r="W501" s="5"/>
      <c r="X501" s="5"/>
      <c r="Y501" s="5"/>
      <c r="Z501" s="5"/>
      <c r="AA501" s="5"/>
      <c r="AB501" s="5"/>
    </row>
    <row r="502" ht="15.75" customHeight="1">
      <c r="A502" s="1"/>
      <c r="B502" s="2"/>
      <c r="C502" s="5"/>
      <c r="D502" s="3"/>
      <c r="E502" s="4"/>
      <c r="F502" s="4"/>
      <c r="G502" s="5"/>
      <c r="H502" s="5"/>
      <c r="I502" s="3"/>
      <c r="J502" s="5"/>
      <c r="K502" s="5"/>
      <c r="L502" s="5"/>
      <c r="M502" s="5"/>
      <c r="N502" s="5"/>
      <c r="O502" s="5"/>
      <c r="P502" s="5"/>
      <c r="Q502" s="5"/>
      <c r="R502" s="5"/>
      <c r="S502" s="5"/>
      <c r="T502" s="5"/>
      <c r="U502" s="5"/>
      <c r="V502" s="5"/>
      <c r="W502" s="5"/>
      <c r="X502" s="5"/>
      <c r="Y502" s="5"/>
      <c r="Z502" s="5"/>
      <c r="AA502" s="5"/>
      <c r="AB502" s="5"/>
    </row>
    <row r="503" ht="15.75" customHeight="1">
      <c r="A503" s="1"/>
      <c r="B503" s="2"/>
      <c r="C503" s="5"/>
      <c r="D503" s="3"/>
      <c r="E503" s="4"/>
      <c r="F503" s="4"/>
      <c r="G503" s="5"/>
      <c r="H503" s="5"/>
      <c r="I503" s="3"/>
      <c r="J503" s="5"/>
      <c r="K503" s="5"/>
      <c r="L503" s="5"/>
      <c r="M503" s="5"/>
      <c r="N503" s="5"/>
      <c r="O503" s="5"/>
      <c r="P503" s="5"/>
      <c r="Q503" s="5"/>
      <c r="R503" s="5"/>
      <c r="S503" s="5"/>
      <c r="T503" s="5"/>
      <c r="U503" s="5"/>
      <c r="V503" s="5"/>
      <c r="W503" s="5"/>
      <c r="X503" s="5"/>
      <c r="Y503" s="5"/>
      <c r="Z503" s="5"/>
      <c r="AA503" s="5"/>
      <c r="AB503" s="5"/>
    </row>
    <row r="504" ht="15.75" customHeight="1">
      <c r="A504" s="1"/>
      <c r="B504" s="2"/>
      <c r="C504" s="5"/>
      <c r="D504" s="3"/>
      <c r="E504" s="4"/>
      <c r="F504" s="4"/>
      <c r="G504" s="5"/>
      <c r="H504" s="3"/>
      <c r="I504" s="3"/>
      <c r="J504" s="5"/>
      <c r="K504" s="5"/>
      <c r="L504" s="5"/>
      <c r="M504" s="5"/>
      <c r="N504" s="5"/>
      <c r="O504" s="5"/>
      <c r="P504" s="5"/>
      <c r="Q504" s="5"/>
      <c r="R504" s="5"/>
      <c r="S504" s="5"/>
      <c r="T504" s="5"/>
      <c r="U504" s="5"/>
      <c r="V504" s="5"/>
      <c r="W504" s="5"/>
      <c r="X504" s="5"/>
      <c r="Y504" s="5"/>
      <c r="Z504" s="5"/>
      <c r="AA504" s="5"/>
      <c r="AB504" s="5"/>
    </row>
    <row r="505" ht="15.75" customHeight="1">
      <c r="A505" s="1"/>
      <c r="B505" s="2"/>
      <c r="C505" s="5"/>
      <c r="D505" s="3"/>
      <c r="E505" s="4"/>
      <c r="F505" s="4"/>
      <c r="G505" s="5"/>
      <c r="H505" s="5"/>
      <c r="I505" s="3"/>
      <c r="J505" s="5"/>
      <c r="K505" s="5"/>
      <c r="L505" s="5"/>
      <c r="M505" s="5"/>
      <c r="N505" s="5"/>
      <c r="O505" s="5"/>
      <c r="P505" s="5"/>
      <c r="Q505" s="5"/>
      <c r="R505" s="5"/>
      <c r="S505" s="5"/>
      <c r="T505" s="5"/>
      <c r="U505" s="5"/>
      <c r="V505" s="5"/>
      <c r="W505" s="5"/>
      <c r="X505" s="5"/>
      <c r="Y505" s="5"/>
      <c r="Z505" s="5"/>
      <c r="AA505" s="5"/>
      <c r="AB505" s="5"/>
    </row>
    <row r="506" ht="15.75" customHeight="1">
      <c r="A506" s="1"/>
      <c r="B506" s="2"/>
      <c r="C506" s="5"/>
      <c r="D506" s="3"/>
      <c r="E506" s="4"/>
      <c r="F506" s="4"/>
      <c r="G506" s="5"/>
      <c r="H506" s="3"/>
      <c r="I506" s="3"/>
      <c r="J506" s="5"/>
      <c r="K506" s="5"/>
      <c r="L506" s="5"/>
      <c r="M506" s="5"/>
      <c r="N506" s="5"/>
      <c r="O506" s="5"/>
      <c r="P506" s="5"/>
      <c r="Q506" s="5"/>
      <c r="R506" s="5"/>
      <c r="S506" s="5"/>
      <c r="T506" s="5"/>
      <c r="U506" s="5"/>
      <c r="V506" s="5"/>
      <c r="W506" s="5"/>
      <c r="X506" s="5"/>
      <c r="Y506" s="5"/>
      <c r="Z506" s="5"/>
      <c r="AA506" s="5"/>
      <c r="AB506" s="5"/>
    </row>
    <row r="507" ht="15.75" customHeight="1">
      <c r="A507" s="1"/>
      <c r="B507" s="2"/>
      <c r="C507" s="5"/>
      <c r="D507" s="3"/>
      <c r="E507" s="4"/>
      <c r="F507" s="4"/>
      <c r="G507" s="5"/>
      <c r="H507" s="3"/>
      <c r="I507" s="3"/>
      <c r="J507" s="5"/>
      <c r="K507" s="5"/>
      <c r="L507" s="5"/>
      <c r="M507" s="5"/>
      <c r="N507" s="5"/>
      <c r="O507" s="5"/>
      <c r="P507" s="5"/>
      <c r="Q507" s="5"/>
      <c r="R507" s="5"/>
      <c r="S507" s="5"/>
      <c r="T507" s="5"/>
      <c r="U507" s="5"/>
      <c r="V507" s="5"/>
      <c r="W507" s="5"/>
      <c r="X507" s="5"/>
      <c r="Y507" s="5"/>
      <c r="Z507" s="5"/>
      <c r="AA507" s="5"/>
      <c r="AB507" s="5"/>
    </row>
    <row r="508" ht="15.75" customHeight="1">
      <c r="A508" s="1"/>
      <c r="B508" s="2"/>
      <c r="C508" s="5"/>
      <c r="D508" s="3"/>
      <c r="E508" s="4"/>
      <c r="F508" s="4"/>
      <c r="G508" s="5"/>
      <c r="H508" s="3"/>
      <c r="I508" s="3"/>
      <c r="J508" s="5"/>
      <c r="K508" s="5"/>
      <c r="L508" s="5"/>
      <c r="M508" s="5"/>
      <c r="N508" s="5"/>
      <c r="O508" s="5"/>
      <c r="P508" s="5"/>
      <c r="Q508" s="5"/>
      <c r="R508" s="5"/>
      <c r="S508" s="5"/>
      <c r="T508" s="5"/>
      <c r="U508" s="5"/>
      <c r="V508" s="5"/>
      <c r="W508" s="5"/>
      <c r="X508" s="5"/>
      <c r="Y508" s="5"/>
      <c r="Z508" s="5"/>
      <c r="AA508" s="5"/>
      <c r="AB508" s="5"/>
    </row>
    <row r="509" ht="15.75" customHeight="1">
      <c r="A509" s="1"/>
      <c r="B509" s="2"/>
      <c r="C509" s="5"/>
      <c r="D509" s="3"/>
      <c r="E509" s="4"/>
      <c r="F509" s="4"/>
      <c r="G509" s="5"/>
      <c r="H509" s="3"/>
      <c r="I509" s="3"/>
      <c r="J509" s="5"/>
      <c r="K509" s="5"/>
      <c r="L509" s="5"/>
      <c r="M509" s="5"/>
      <c r="N509" s="5"/>
      <c r="O509" s="5"/>
      <c r="P509" s="5"/>
      <c r="Q509" s="5"/>
      <c r="R509" s="5"/>
      <c r="S509" s="5"/>
      <c r="T509" s="5"/>
      <c r="U509" s="5"/>
      <c r="V509" s="5"/>
      <c r="W509" s="5"/>
      <c r="X509" s="5"/>
      <c r="Y509" s="5"/>
      <c r="Z509" s="5"/>
      <c r="AA509" s="5"/>
      <c r="AB509" s="5"/>
    </row>
    <row r="510" ht="15.75" customHeight="1">
      <c r="A510" s="1"/>
      <c r="B510" s="2"/>
      <c r="C510" s="5"/>
      <c r="D510" s="3"/>
      <c r="E510" s="4"/>
      <c r="F510" s="4"/>
      <c r="G510" s="5"/>
      <c r="H510" s="3"/>
      <c r="I510" s="3"/>
      <c r="J510" s="5"/>
      <c r="K510" s="5"/>
      <c r="L510" s="5"/>
      <c r="M510" s="5"/>
      <c r="N510" s="5"/>
      <c r="O510" s="5"/>
      <c r="P510" s="5"/>
      <c r="Q510" s="5"/>
      <c r="R510" s="5"/>
      <c r="S510" s="5"/>
      <c r="T510" s="5"/>
      <c r="U510" s="5"/>
      <c r="V510" s="5"/>
      <c r="W510" s="5"/>
      <c r="X510" s="5"/>
      <c r="Y510" s="5"/>
      <c r="Z510" s="5"/>
      <c r="AA510" s="5"/>
      <c r="AB510" s="5"/>
    </row>
    <row r="511" ht="15.75" customHeight="1">
      <c r="A511" s="1"/>
      <c r="B511" s="2"/>
      <c r="C511" s="5"/>
      <c r="D511" s="3"/>
      <c r="E511" s="4"/>
      <c r="F511" s="4"/>
      <c r="G511" s="5"/>
      <c r="H511" s="3"/>
      <c r="I511" s="3"/>
      <c r="J511" s="5"/>
      <c r="K511" s="5"/>
      <c r="L511" s="5"/>
      <c r="M511" s="5"/>
      <c r="N511" s="5"/>
      <c r="O511" s="5"/>
      <c r="P511" s="5"/>
      <c r="Q511" s="5"/>
      <c r="R511" s="5"/>
      <c r="S511" s="5"/>
      <c r="T511" s="5"/>
      <c r="U511" s="5"/>
      <c r="V511" s="5"/>
      <c r="W511" s="5"/>
      <c r="X511" s="5"/>
      <c r="Y511" s="5"/>
      <c r="Z511" s="5"/>
      <c r="AA511" s="5"/>
      <c r="AB511" s="5"/>
    </row>
    <row r="512" ht="15.75" customHeight="1">
      <c r="A512" s="1"/>
      <c r="B512" s="2"/>
      <c r="C512" s="5"/>
      <c r="D512" s="3"/>
      <c r="E512" s="4"/>
      <c r="F512" s="4"/>
      <c r="G512" s="5"/>
      <c r="H512" s="3"/>
      <c r="I512" s="3"/>
      <c r="J512" s="5"/>
      <c r="K512" s="5"/>
      <c r="L512" s="5"/>
      <c r="M512" s="5"/>
      <c r="N512" s="5"/>
      <c r="O512" s="5"/>
      <c r="P512" s="5"/>
      <c r="Q512" s="5"/>
      <c r="R512" s="5"/>
      <c r="S512" s="5"/>
      <c r="T512" s="5"/>
      <c r="U512" s="5"/>
      <c r="V512" s="5"/>
      <c r="W512" s="5"/>
      <c r="X512" s="5"/>
      <c r="Y512" s="5"/>
      <c r="Z512" s="5"/>
      <c r="AA512" s="5"/>
      <c r="AB512" s="5"/>
    </row>
    <row r="513" ht="15.75" customHeight="1">
      <c r="A513" s="1"/>
      <c r="B513" s="2"/>
      <c r="C513" s="5"/>
      <c r="D513" s="3"/>
      <c r="E513" s="4"/>
      <c r="F513" s="4"/>
      <c r="G513" s="3"/>
      <c r="H513" s="3"/>
      <c r="I513" s="3"/>
      <c r="J513" s="5"/>
      <c r="K513" s="5"/>
      <c r="L513" s="5"/>
      <c r="M513" s="5"/>
      <c r="N513" s="5"/>
      <c r="O513" s="5"/>
      <c r="P513" s="5"/>
      <c r="Q513" s="5"/>
      <c r="R513" s="5"/>
      <c r="S513" s="5"/>
      <c r="T513" s="5"/>
      <c r="U513" s="5"/>
      <c r="V513" s="5"/>
      <c r="W513" s="5"/>
      <c r="X513" s="5"/>
      <c r="Y513" s="5"/>
      <c r="Z513" s="5"/>
      <c r="AA513" s="5"/>
      <c r="AB513" s="5"/>
    </row>
    <row r="514" ht="15.75" customHeight="1">
      <c r="A514" s="1"/>
      <c r="B514" s="2"/>
      <c r="C514" s="5"/>
      <c r="D514" s="3"/>
      <c r="E514" s="4"/>
      <c r="F514" s="4"/>
      <c r="G514" s="3"/>
      <c r="H514" s="3"/>
      <c r="I514" s="3"/>
      <c r="J514" s="5"/>
      <c r="K514" s="5"/>
      <c r="L514" s="5"/>
      <c r="M514" s="5"/>
      <c r="N514" s="5"/>
      <c r="O514" s="5"/>
      <c r="P514" s="5"/>
      <c r="Q514" s="5"/>
      <c r="R514" s="5"/>
      <c r="S514" s="5"/>
      <c r="T514" s="5"/>
      <c r="U514" s="5"/>
      <c r="V514" s="5"/>
      <c r="W514" s="5"/>
      <c r="X514" s="5"/>
      <c r="Y514" s="5"/>
      <c r="Z514" s="5"/>
      <c r="AA514" s="5"/>
      <c r="AB514" s="5"/>
    </row>
    <row r="515" ht="15.75" customHeight="1">
      <c r="A515" s="1"/>
      <c r="B515" s="2"/>
      <c r="C515" s="5"/>
      <c r="D515" s="3"/>
      <c r="E515" s="4"/>
      <c r="F515" s="4"/>
      <c r="G515" s="3"/>
      <c r="H515" s="3"/>
      <c r="I515" s="3"/>
      <c r="J515" s="5"/>
      <c r="K515" s="5"/>
      <c r="L515" s="5"/>
      <c r="M515" s="5"/>
      <c r="N515" s="5"/>
      <c r="O515" s="5"/>
      <c r="P515" s="5"/>
      <c r="Q515" s="5"/>
      <c r="R515" s="5"/>
      <c r="S515" s="5"/>
      <c r="T515" s="5"/>
      <c r="U515" s="5"/>
      <c r="V515" s="5"/>
      <c r="W515" s="5"/>
      <c r="X515" s="5"/>
      <c r="Y515" s="5"/>
      <c r="Z515" s="5"/>
      <c r="AA515" s="5"/>
      <c r="AB515" s="5"/>
    </row>
    <row r="516" ht="15.75" customHeight="1">
      <c r="A516" s="1"/>
      <c r="B516" s="2"/>
      <c r="C516" s="5"/>
      <c r="D516" s="3"/>
      <c r="E516" s="4"/>
      <c r="F516" s="4"/>
      <c r="G516" s="3"/>
      <c r="H516" s="3"/>
      <c r="I516" s="3"/>
      <c r="J516" s="5"/>
      <c r="K516" s="5"/>
      <c r="L516" s="5"/>
      <c r="M516" s="5"/>
      <c r="N516" s="5"/>
      <c r="O516" s="5"/>
      <c r="P516" s="5"/>
      <c r="Q516" s="5"/>
      <c r="R516" s="5"/>
      <c r="S516" s="5"/>
      <c r="T516" s="5"/>
      <c r="U516" s="5"/>
      <c r="V516" s="5"/>
      <c r="W516" s="5"/>
      <c r="X516" s="5"/>
      <c r="Y516" s="5"/>
      <c r="Z516" s="5"/>
      <c r="AA516" s="5"/>
      <c r="AB516" s="5"/>
    </row>
    <row r="517" ht="15.75" customHeight="1">
      <c r="A517" s="1"/>
      <c r="B517" s="2"/>
      <c r="C517" s="5"/>
      <c r="D517" s="3"/>
      <c r="E517" s="4"/>
      <c r="F517" s="4"/>
      <c r="G517" s="3"/>
      <c r="H517" s="3"/>
      <c r="I517" s="3"/>
      <c r="J517" s="5"/>
      <c r="K517" s="5"/>
      <c r="L517" s="5"/>
      <c r="M517" s="5"/>
      <c r="N517" s="5"/>
      <c r="O517" s="5"/>
      <c r="P517" s="5"/>
      <c r="Q517" s="5"/>
      <c r="R517" s="5"/>
      <c r="S517" s="5"/>
      <c r="T517" s="5"/>
      <c r="U517" s="5"/>
      <c r="V517" s="5"/>
      <c r="W517" s="5"/>
      <c r="X517" s="5"/>
      <c r="Y517" s="5"/>
      <c r="Z517" s="5"/>
      <c r="AA517" s="5"/>
      <c r="AB517" s="5"/>
    </row>
    <row r="518" ht="15.75" customHeight="1">
      <c r="A518" s="1"/>
      <c r="B518" s="2"/>
      <c r="C518" s="5"/>
      <c r="D518" s="3"/>
      <c r="E518" s="4"/>
      <c r="F518" s="4"/>
      <c r="G518" s="3"/>
      <c r="H518" s="3"/>
      <c r="I518" s="3"/>
      <c r="J518" s="5"/>
      <c r="K518" s="5"/>
      <c r="L518" s="5"/>
      <c r="M518" s="5"/>
      <c r="N518" s="5"/>
      <c r="O518" s="5"/>
      <c r="P518" s="5"/>
      <c r="Q518" s="5"/>
      <c r="R518" s="5"/>
      <c r="S518" s="5"/>
      <c r="T518" s="5"/>
      <c r="U518" s="5"/>
      <c r="V518" s="5"/>
      <c r="W518" s="5"/>
      <c r="X518" s="5"/>
      <c r="Y518" s="5"/>
      <c r="Z518" s="5"/>
      <c r="AA518" s="5"/>
      <c r="AB518" s="5"/>
    </row>
    <row r="519" ht="15.75" customHeight="1">
      <c r="A519" s="1"/>
      <c r="B519" s="2"/>
      <c r="C519" s="5"/>
      <c r="D519" s="3"/>
      <c r="E519" s="4"/>
      <c r="F519" s="4"/>
      <c r="G519" s="3"/>
      <c r="H519" s="3"/>
      <c r="I519" s="3"/>
      <c r="J519" s="5"/>
      <c r="K519" s="5"/>
      <c r="L519" s="5"/>
      <c r="M519" s="5"/>
      <c r="N519" s="5"/>
      <c r="O519" s="5"/>
      <c r="P519" s="5"/>
      <c r="Q519" s="5"/>
      <c r="R519" s="5"/>
      <c r="S519" s="5"/>
      <c r="T519" s="5"/>
      <c r="U519" s="5"/>
      <c r="V519" s="5"/>
      <c r="W519" s="5"/>
      <c r="X519" s="5"/>
      <c r="Y519" s="5"/>
      <c r="Z519" s="5"/>
      <c r="AA519" s="5"/>
      <c r="AB519" s="5"/>
    </row>
    <row r="520" ht="15.75" customHeight="1">
      <c r="A520" s="1"/>
      <c r="B520" s="2"/>
      <c r="C520" s="5"/>
      <c r="D520" s="3"/>
      <c r="E520" s="4"/>
      <c r="F520" s="4"/>
      <c r="G520" s="3"/>
      <c r="H520" s="3"/>
      <c r="I520" s="3"/>
      <c r="J520" s="5"/>
      <c r="K520" s="5"/>
      <c r="L520" s="5"/>
      <c r="M520" s="5"/>
      <c r="N520" s="5"/>
      <c r="O520" s="5"/>
      <c r="P520" s="5"/>
      <c r="Q520" s="5"/>
      <c r="R520" s="5"/>
      <c r="S520" s="5"/>
      <c r="T520" s="5"/>
      <c r="U520" s="5"/>
      <c r="V520" s="5"/>
      <c r="W520" s="5"/>
      <c r="X520" s="5"/>
      <c r="Y520" s="5"/>
      <c r="Z520" s="5"/>
      <c r="AA520" s="5"/>
      <c r="AB520" s="5"/>
    </row>
    <row r="521" ht="15.75" customHeight="1">
      <c r="A521" s="1"/>
      <c r="B521" s="2"/>
      <c r="C521" s="5"/>
      <c r="D521" s="3"/>
      <c r="E521" s="4"/>
      <c r="F521" s="4"/>
      <c r="G521" s="3"/>
      <c r="H521" s="3"/>
      <c r="I521" s="3"/>
      <c r="J521" s="5"/>
      <c r="K521" s="5"/>
      <c r="L521" s="5"/>
      <c r="M521" s="5"/>
      <c r="N521" s="5"/>
      <c r="O521" s="5"/>
      <c r="P521" s="5"/>
      <c r="Q521" s="5"/>
      <c r="R521" s="5"/>
      <c r="S521" s="5"/>
      <c r="T521" s="5"/>
      <c r="U521" s="5"/>
      <c r="V521" s="5"/>
      <c r="W521" s="5"/>
      <c r="X521" s="5"/>
      <c r="Y521" s="5"/>
      <c r="Z521" s="5"/>
      <c r="AA521" s="5"/>
      <c r="AB521" s="5"/>
    </row>
    <row r="522" ht="15.75" customHeight="1">
      <c r="A522" s="1"/>
      <c r="B522" s="2"/>
      <c r="C522" s="5"/>
      <c r="D522" s="3"/>
      <c r="E522" s="4"/>
      <c r="F522" s="4"/>
      <c r="G522" s="3"/>
      <c r="H522" s="3"/>
      <c r="I522" s="3"/>
      <c r="J522" s="5"/>
      <c r="K522" s="5"/>
      <c r="L522" s="5"/>
      <c r="M522" s="5"/>
      <c r="N522" s="5"/>
      <c r="O522" s="5"/>
      <c r="P522" s="5"/>
      <c r="Q522" s="5"/>
      <c r="R522" s="5"/>
      <c r="S522" s="5"/>
      <c r="T522" s="5"/>
      <c r="U522" s="5"/>
      <c r="V522" s="5"/>
      <c r="W522" s="5"/>
      <c r="X522" s="5"/>
      <c r="Y522" s="5"/>
      <c r="Z522" s="5"/>
      <c r="AA522" s="5"/>
      <c r="AB522" s="5"/>
    </row>
    <row r="523" ht="15.75" customHeight="1">
      <c r="A523" s="1"/>
      <c r="B523" s="2"/>
      <c r="C523" s="5"/>
      <c r="D523" s="3"/>
      <c r="E523" s="4"/>
      <c r="F523" s="4"/>
      <c r="G523" s="3"/>
      <c r="H523" s="3"/>
      <c r="I523" s="3"/>
      <c r="J523" s="5"/>
      <c r="K523" s="5"/>
      <c r="L523" s="5"/>
      <c r="M523" s="5"/>
      <c r="N523" s="5"/>
      <c r="O523" s="5"/>
      <c r="P523" s="5"/>
      <c r="Q523" s="5"/>
      <c r="R523" s="5"/>
      <c r="S523" s="5"/>
      <c r="T523" s="5"/>
      <c r="U523" s="5"/>
      <c r="V523" s="5"/>
      <c r="W523" s="5"/>
      <c r="X523" s="5"/>
      <c r="Y523" s="5"/>
      <c r="Z523" s="5"/>
      <c r="AA523" s="5"/>
      <c r="AB523" s="5"/>
    </row>
    <row r="524" ht="15.75" customHeight="1">
      <c r="A524" s="1"/>
      <c r="B524" s="2"/>
      <c r="C524" s="5"/>
      <c r="D524" s="3"/>
      <c r="E524" s="4"/>
      <c r="F524" s="4"/>
      <c r="G524" s="3"/>
      <c r="H524" s="3"/>
      <c r="I524" s="3"/>
      <c r="J524" s="5"/>
      <c r="K524" s="5"/>
      <c r="L524" s="5"/>
      <c r="M524" s="5"/>
      <c r="N524" s="5"/>
      <c r="O524" s="5"/>
      <c r="P524" s="5"/>
      <c r="Q524" s="5"/>
      <c r="R524" s="5"/>
      <c r="S524" s="5"/>
      <c r="T524" s="5"/>
      <c r="U524" s="5"/>
      <c r="V524" s="5"/>
      <c r="W524" s="5"/>
      <c r="X524" s="5"/>
      <c r="Y524" s="5"/>
      <c r="Z524" s="5"/>
      <c r="AA524" s="5"/>
      <c r="AB524" s="5"/>
    </row>
    <row r="525" ht="15.75" customHeight="1">
      <c r="A525" s="1"/>
      <c r="B525" s="2"/>
      <c r="C525" s="5"/>
      <c r="D525" s="3"/>
      <c r="E525" s="4"/>
      <c r="F525" s="4"/>
      <c r="G525" s="3"/>
      <c r="H525" s="3"/>
      <c r="I525" s="3"/>
      <c r="J525" s="5"/>
      <c r="K525" s="5"/>
      <c r="L525" s="5"/>
      <c r="M525" s="5"/>
      <c r="N525" s="5"/>
      <c r="O525" s="5"/>
      <c r="P525" s="5"/>
      <c r="Q525" s="5"/>
      <c r="R525" s="5"/>
      <c r="S525" s="5"/>
      <c r="T525" s="5"/>
      <c r="U525" s="5"/>
      <c r="V525" s="5"/>
      <c r="W525" s="5"/>
      <c r="X525" s="5"/>
      <c r="Y525" s="5"/>
      <c r="Z525" s="5"/>
      <c r="AA525" s="5"/>
      <c r="AB525" s="5"/>
    </row>
    <row r="526" ht="15.75" customHeight="1">
      <c r="A526" s="1"/>
      <c r="B526" s="2"/>
      <c r="C526" s="5"/>
      <c r="D526" s="3"/>
      <c r="E526" s="4"/>
      <c r="F526" s="4"/>
      <c r="G526" s="3"/>
      <c r="H526" s="3"/>
      <c r="I526" s="3"/>
      <c r="J526" s="5"/>
      <c r="K526" s="5"/>
      <c r="L526" s="5"/>
      <c r="M526" s="5"/>
      <c r="N526" s="5"/>
      <c r="O526" s="5"/>
      <c r="P526" s="5"/>
      <c r="Q526" s="5"/>
      <c r="R526" s="5"/>
      <c r="S526" s="5"/>
      <c r="T526" s="5"/>
      <c r="U526" s="5"/>
      <c r="V526" s="5"/>
      <c r="W526" s="5"/>
      <c r="X526" s="5"/>
      <c r="Y526" s="5"/>
      <c r="Z526" s="5"/>
      <c r="AA526" s="5"/>
      <c r="AB526" s="5"/>
    </row>
    <row r="527" ht="15.75" customHeight="1">
      <c r="A527" s="1"/>
      <c r="B527" s="2"/>
      <c r="C527" s="5"/>
      <c r="D527" s="3"/>
      <c r="E527" s="4"/>
      <c r="F527" s="4"/>
      <c r="G527" s="5"/>
      <c r="H527" s="3"/>
      <c r="I527" s="3"/>
      <c r="J527" s="5"/>
      <c r="K527" s="5"/>
      <c r="L527" s="5"/>
      <c r="M527" s="5"/>
      <c r="N527" s="5"/>
      <c r="O527" s="5"/>
      <c r="P527" s="5"/>
      <c r="Q527" s="5"/>
      <c r="R527" s="5"/>
      <c r="S527" s="5"/>
      <c r="T527" s="5"/>
      <c r="U527" s="5"/>
      <c r="V527" s="5"/>
      <c r="W527" s="5"/>
      <c r="X527" s="5"/>
      <c r="Y527" s="5"/>
      <c r="Z527" s="5"/>
      <c r="AA527" s="5"/>
      <c r="AB527" s="5"/>
    </row>
    <row r="528" ht="15.75" customHeight="1">
      <c r="A528" s="1"/>
      <c r="B528" s="2"/>
      <c r="C528" s="5"/>
      <c r="D528" s="3"/>
      <c r="E528" s="4"/>
      <c r="F528" s="4"/>
      <c r="G528" s="5"/>
      <c r="H528" s="3"/>
      <c r="I528" s="3"/>
      <c r="J528" s="5"/>
      <c r="K528" s="5"/>
      <c r="L528" s="5"/>
      <c r="M528" s="5"/>
      <c r="N528" s="5"/>
      <c r="O528" s="5"/>
      <c r="P528" s="5"/>
      <c r="Q528" s="5"/>
      <c r="R528" s="5"/>
      <c r="S528" s="5"/>
      <c r="T528" s="5"/>
      <c r="U528" s="5"/>
      <c r="V528" s="5"/>
      <c r="W528" s="5"/>
      <c r="X528" s="5"/>
      <c r="Y528" s="5"/>
      <c r="Z528" s="5"/>
      <c r="AA528" s="5"/>
      <c r="AB528" s="5"/>
    </row>
    <row r="529" ht="15.75" customHeight="1">
      <c r="A529" s="1"/>
      <c r="B529" s="2"/>
      <c r="C529" s="30"/>
      <c r="D529" s="3"/>
      <c r="E529" s="4"/>
      <c r="F529" s="4"/>
      <c r="G529" s="3"/>
      <c r="H529" s="3"/>
      <c r="I529" s="3"/>
      <c r="J529" s="5"/>
      <c r="K529" s="5"/>
      <c r="L529" s="5"/>
      <c r="M529" s="5"/>
      <c r="N529" s="5"/>
      <c r="O529" s="5"/>
      <c r="P529" s="5"/>
      <c r="Q529" s="5"/>
      <c r="R529" s="5"/>
      <c r="S529" s="5"/>
      <c r="T529" s="5"/>
      <c r="U529" s="5"/>
      <c r="V529" s="5"/>
      <c r="W529" s="5"/>
      <c r="X529" s="5"/>
      <c r="Y529" s="5"/>
      <c r="Z529" s="5"/>
      <c r="AA529" s="5"/>
      <c r="AB529" s="5"/>
    </row>
    <row r="530" ht="15.75" customHeight="1">
      <c r="A530" s="1"/>
      <c r="B530" s="2"/>
      <c r="C530" s="5"/>
      <c r="D530" s="3"/>
      <c r="E530" s="4"/>
      <c r="F530" s="4"/>
      <c r="G530" s="5"/>
      <c r="H530" s="3"/>
      <c r="I530" s="3"/>
      <c r="J530" s="5"/>
      <c r="K530" s="5"/>
      <c r="L530" s="5"/>
      <c r="M530" s="5"/>
      <c r="N530" s="5"/>
      <c r="O530" s="5"/>
      <c r="P530" s="5"/>
      <c r="Q530" s="5"/>
      <c r="R530" s="5"/>
      <c r="S530" s="5"/>
      <c r="T530" s="5"/>
      <c r="U530" s="5"/>
      <c r="V530" s="5"/>
      <c r="W530" s="5"/>
      <c r="X530" s="5"/>
      <c r="Y530" s="5"/>
      <c r="Z530" s="5"/>
      <c r="AA530" s="5"/>
      <c r="AB530" s="5"/>
    </row>
    <row r="531" ht="15.75" customHeight="1">
      <c r="A531" s="1"/>
      <c r="B531" s="2"/>
      <c r="C531" s="5"/>
      <c r="D531" s="3"/>
      <c r="E531" s="4"/>
      <c r="F531" s="4"/>
      <c r="G531" s="5"/>
      <c r="H531" s="3"/>
      <c r="I531" s="3"/>
      <c r="J531" s="5"/>
      <c r="K531" s="5"/>
      <c r="L531" s="5"/>
      <c r="M531" s="5"/>
      <c r="N531" s="5"/>
      <c r="O531" s="5"/>
      <c r="P531" s="5"/>
      <c r="Q531" s="5"/>
      <c r="R531" s="5"/>
      <c r="S531" s="5"/>
      <c r="T531" s="5"/>
      <c r="U531" s="5"/>
      <c r="V531" s="5"/>
      <c r="W531" s="5"/>
      <c r="X531" s="5"/>
      <c r="Y531" s="5"/>
      <c r="Z531" s="5"/>
      <c r="AA531" s="5"/>
      <c r="AB531" s="5"/>
    </row>
    <row r="532" ht="15.75" customHeight="1">
      <c r="A532" s="1"/>
      <c r="B532" s="2"/>
      <c r="C532" s="5"/>
      <c r="D532" s="3"/>
      <c r="E532" s="4"/>
      <c r="F532" s="4"/>
      <c r="G532" s="5"/>
      <c r="H532" s="3"/>
      <c r="I532" s="3"/>
      <c r="J532" s="5"/>
      <c r="K532" s="5"/>
      <c r="L532" s="5"/>
      <c r="M532" s="5"/>
      <c r="N532" s="5"/>
      <c r="O532" s="5"/>
      <c r="P532" s="5"/>
      <c r="Q532" s="5"/>
      <c r="R532" s="5"/>
      <c r="S532" s="5"/>
      <c r="T532" s="5"/>
      <c r="U532" s="5"/>
      <c r="V532" s="5"/>
      <c r="W532" s="5"/>
      <c r="X532" s="5"/>
      <c r="Y532" s="5"/>
      <c r="Z532" s="5"/>
      <c r="AA532" s="5"/>
      <c r="AB532" s="5"/>
    </row>
    <row r="533" ht="15.75" customHeight="1">
      <c r="A533" s="1"/>
      <c r="B533" s="2"/>
      <c r="C533" s="5"/>
      <c r="D533" s="3"/>
      <c r="E533" s="4"/>
      <c r="F533" s="4"/>
      <c r="G533" s="5"/>
      <c r="H533" s="3"/>
      <c r="I533" s="3"/>
      <c r="J533" s="5"/>
      <c r="K533" s="5"/>
      <c r="L533" s="5"/>
      <c r="M533" s="5"/>
      <c r="N533" s="5"/>
      <c r="O533" s="5"/>
      <c r="P533" s="5"/>
      <c r="Q533" s="5"/>
      <c r="R533" s="5"/>
      <c r="S533" s="5"/>
      <c r="T533" s="5"/>
      <c r="U533" s="5"/>
      <c r="V533" s="5"/>
      <c r="W533" s="5"/>
      <c r="X533" s="5"/>
      <c r="Y533" s="5"/>
      <c r="Z533" s="5"/>
      <c r="AA533" s="5"/>
      <c r="AB533" s="5"/>
    </row>
    <row r="534" ht="15.75" customHeight="1">
      <c r="A534" s="1"/>
      <c r="B534" s="2"/>
      <c r="C534" s="5"/>
      <c r="D534" s="3"/>
      <c r="E534" s="4"/>
      <c r="F534" s="4"/>
      <c r="G534" s="5"/>
      <c r="H534" s="3"/>
      <c r="I534" s="3"/>
      <c r="J534" s="5"/>
      <c r="K534" s="5"/>
      <c r="L534" s="5"/>
      <c r="M534" s="5"/>
      <c r="N534" s="5"/>
      <c r="O534" s="5"/>
      <c r="P534" s="5"/>
      <c r="Q534" s="5"/>
      <c r="R534" s="5"/>
      <c r="S534" s="5"/>
      <c r="T534" s="5"/>
      <c r="U534" s="5"/>
      <c r="V534" s="5"/>
      <c r="W534" s="5"/>
      <c r="X534" s="5"/>
      <c r="Y534" s="5"/>
      <c r="Z534" s="5"/>
      <c r="AA534" s="5"/>
      <c r="AB534" s="5"/>
    </row>
    <row r="535" ht="15.75" customHeight="1">
      <c r="A535" s="1"/>
      <c r="B535" s="2"/>
      <c r="C535" s="5"/>
      <c r="D535" s="3"/>
      <c r="E535" s="4"/>
      <c r="F535" s="4"/>
      <c r="G535" s="5"/>
      <c r="H535" s="3"/>
      <c r="I535" s="3"/>
      <c r="J535" s="5"/>
      <c r="K535" s="5"/>
      <c r="L535" s="5"/>
      <c r="M535" s="5"/>
      <c r="N535" s="5"/>
      <c r="O535" s="5"/>
      <c r="P535" s="5"/>
      <c r="Q535" s="5"/>
      <c r="R535" s="5"/>
      <c r="S535" s="5"/>
      <c r="T535" s="5"/>
      <c r="U535" s="5"/>
      <c r="V535" s="5"/>
      <c r="W535" s="5"/>
      <c r="X535" s="5"/>
      <c r="Y535" s="5"/>
      <c r="Z535" s="5"/>
      <c r="AA535" s="5"/>
      <c r="AB535" s="5"/>
    </row>
    <row r="536" ht="15.75" customHeight="1">
      <c r="A536" s="1"/>
      <c r="B536" s="2"/>
      <c r="C536" s="5"/>
      <c r="D536" s="3"/>
      <c r="E536" s="4"/>
      <c r="F536" s="4"/>
      <c r="G536" s="5"/>
      <c r="H536" s="5"/>
      <c r="I536" s="3"/>
      <c r="J536" s="5"/>
      <c r="K536" s="5"/>
      <c r="L536" s="5"/>
      <c r="M536" s="5"/>
      <c r="N536" s="5"/>
      <c r="O536" s="5"/>
      <c r="P536" s="5"/>
      <c r="Q536" s="5"/>
      <c r="R536" s="5"/>
      <c r="S536" s="5"/>
      <c r="T536" s="5"/>
      <c r="U536" s="5"/>
      <c r="V536" s="5"/>
      <c r="W536" s="5"/>
      <c r="X536" s="5"/>
      <c r="Y536" s="5"/>
      <c r="Z536" s="5"/>
      <c r="AA536" s="5"/>
      <c r="AB536" s="5"/>
    </row>
    <row r="537" ht="15.75" customHeight="1">
      <c r="A537" s="1"/>
      <c r="B537" s="2"/>
      <c r="C537" s="5"/>
      <c r="D537" s="3"/>
      <c r="E537" s="4"/>
      <c r="F537" s="4"/>
      <c r="G537" s="3"/>
      <c r="H537" s="3"/>
      <c r="I537" s="3"/>
      <c r="J537" s="5"/>
      <c r="K537" s="5"/>
      <c r="L537" s="5"/>
      <c r="M537" s="5"/>
      <c r="N537" s="5"/>
      <c r="O537" s="5"/>
      <c r="P537" s="5"/>
      <c r="Q537" s="5"/>
      <c r="R537" s="5"/>
      <c r="S537" s="5"/>
      <c r="T537" s="5"/>
      <c r="U537" s="5"/>
      <c r="V537" s="5"/>
      <c r="W537" s="5"/>
      <c r="X537" s="5"/>
      <c r="Y537" s="5"/>
      <c r="Z537" s="5"/>
      <c r="AA537" s="5"/>
      <c r="AB537" s="5"/>
    </row>
    <row r="538" ht="15.75" customHeight="1">
      <c r="A538" s="1"/>
      <c r="B538" s="2"/>
      <c r="C538" s="5"/>
      <c r="D538" s="3"/>
      <c r="E538" s="4"/>
      <c r="F538" s="4"/>
      <c r="G538" s="5"/>
      <c r="H538" s="5"/>
      <c r="I538" s="3"/>
      <c r="J538" s="5"/>
      <c r="K538" s="5"/>
      <c r="L538" s="5"/>
      <c r="M538" s="5"/>
      <c r="N538" s="5"/>
      <c r="O538" s="5"/>
      <c r="P538" s="5"/>
      <c r="Q538" s="5"/>
      <c r="R538" s="5"/>
      <c r="S538" s="5"/>
      <c r="T538" s="5"/>
      <c r="U538" s="5"/>
      <c r="V538" s="5"/>
      <c r="W538" s="5"/>
      <c r="X538" s="5"/>
      <c r="Y538" s="5"/>
      <c r="Z538" s="5"/>
      <c r="AA538" s="5"/>
      <c r="AB538" s="5"/>
    </row>
    <row r="539" ht="15.75" customHeight="1">
      <c r="A539" s="1"/>
      <c r="B539" s="2"/>
      <c r="C539" s="5"/>
      <c r="D539" s="3"/>
      <c r="E539" s="4"/>
      <c r="F539" s="4"/>
      <c r="G539" s="3"/>
      <c r="H539" s="3"/>
      <c r="I539" s="3"/>
      <c r="J539" s="5"/>
      <c r="K539" s="5"/>
      <c r="L539" s="5"/>
      <c r="M539" s="5"/>
      <c r="N539" s="5"/>
      <c r="O539" s="5"/>
      <c r="P539" s="5"/>
      <c r="Q539" s="5"/>
      <c r="R539" s="5"/>
      <c r="S539" s="5"/>
      <c r="T539" s="5"/>
      <c r="U539" s="5"/>
      <c r="V539" s="5"/>
      <c r="W539" s="5"/>
      <c r="X539" s="5"/>
      <c r="Y539" s="5"/>
      <c r="Z539" s="5"/>
      <c r="AA539" s="5"/>
      <c r="AB539" s="5"/>
    </row>
    <row r="540" ht="15.75" customHeight="1">
      <c r="A540" s="1"/>
      <c r="B540" s="2"/>
      <c r="C540" s="5"/>
      <c r="D540" s="3"/>
      <c r="E540" s="4"/>
      <c r="F540" s="4"/>
      <c r="G540" s="5"/>
      <c r="H540" s="5"/>
      <c r="I540" s="3"/>
      <c r="J540" s="5"/>
      <c r="K540" s="5"/>
      <c r="L540" s="5"/>
      <c r="M540" s="5"/>
      <c r="N540" s="5"/>
      <c r="O540" s="5"/>
      <c r="P540" s="5"/>
      <c r="Q540" s="5"/>
      <c r="R540" s="5"/>
      <c r="S540" s="5"/>
      <c r="T540" s="5"/>
      <c r="U540" s="5"/>
      <c r="V540" s="5"/>
      <c r="W540" s="5"/>
      <c r="X540" s="5"/>
      <c r="Y540" s="5"/>
      <c r="Z540" s="5"/>
      <c r="AA540" s="5"/>
      <c r="AB540" s="5"/>
    </row>
    <row r="541" ht="15.75" customHeight="1">
      <c r="A541" s="1"/>
      <c r="B541" s="2"/>
      <c r="C541" s="5"/>
      <c r="D541" s="3"/>
      <c r="E541" s="4"/>
      <c r="F541" s="4"/>
      <c r="G541" s="3"/>
      <c r="H541" s="5"/>
      <c r="I541" s="3"/>
      <c r="J541" s="5"/>
      <c r="K541" s="5"/>
      <c r="L541" s="5"/>
      <c r="M541" s="5"/>
      <c r="N541" s="5"/>
      <c r="O541" s="5"/>
      <c r="P541" s="5"/>
      <c r="Q541" s="5"/>
      <c r="R541" s="5"/>
      <c r="S541" s="5"/>
      <c r="T541" s="5"/>
      <c r="U541" s="5"/>
      <c r="V541" s="5"/>
      <c r="W541" s="5"/>
      <c r="X541" s="5"/>
      <c r="Y541" s="5"/>
      <c r="Z541" s="5"/>
      <c r="AA541" s="5"/>
      <c r="AB541" s="5"/>
    </row>
    <row r="542" ht="15.75" customHeight="1">
      <c r="A542" s="1"/>
      <c r="B542" s="2"/>
      <c r="C542" s="5"/>
      <c r="D542" s="3"/>
      <c r="E542" s="4"/>
      <c r="F542" s="4"/>
      <c r="G542" s="5"/>
      <c r="H542" s="3"/>
      <c r="I542" s="3"/>
      <c r="J542" s="5"/>
      <c r="K542" s="5"/>
      <c r="L542" s="5"/>
      <c r="M542" s="5"/>
      <c r="N542" s="5"/>
      <c r="O542" s="5"/>
      <c r="P542" s="5"/>
      <c r="Q542" s="5"/>
      <c r="R542" s="5"/>
      <c r="S542" s="5"/>
      <c r="T542" s="5"/>
      <c r="U542" s="5"/>
      <c r="V542" s="5"/>
      <c r="W542" s="5"/>
      <c r="X542" s="5"/>
      <c r="Y542" s="5"/>
      <c r="Z542" s="5"/>
      <c r="AA542" s="5"/>
      <c r="AB542" s="5"/>
    </row>
    <row r="543" ht="15.75" customHeight="1">
      <c r="A543" s="1"/>
      <c r="B543" s="2"/>
      <c r="C543" s="5"/>
      <c r="D543" s="3"/>
      <c r="E543" s="4"/>
      <c r="F543" s="4"/>
      <c r="G543" s="5"/>
      <c r="H543" s="3"/>
      <c r="I543" s="3"/>
      <c r="J543" s="5"/>
      <c r="K543" s="5"/>
      <c r="L543" s="5"/>
      <c r="M543" s="5"/>
      <c r="N543" s="5"/>
      <c r="O543" s="5"/>
      <c r="P543" s="5"/>
      <c r="Q543" s="5"/>
      <c r="R543" s="5"/>
      <c r="S543" s="5"/>
      <c r="T543" s="5"/>
      <c r="U543" s="5"/>
      <c r="V543" s="5"/>
      <c r="W543" s="5"/>
      <c r="X543" s="5"/>
      <c r="Y543" s="5"/>
      <c r="Z543" s="5"/>
      <c r="AA543" s="5"/>
      <c r="AB543" s="5"/>
    </row>
    <row r="544" ht="15.75" customHeight="1">
      <c r="A544" s="1"/>
      <c r="B544" s="2"/>
      <c r="C544" s="5"/>
      <c r="D544" s="3"/>
      <c r="E544" s="4"/>
      <c r="F544" s="4"/>
      <c r="G544" s="5"/>
      <c r="H544" s="3"/>
      <c r="I544" s="3"/>
      <c r="J544" s="5"/>
      <c r="K544" s="5"/>
      <c r="L544" s="5"/>
      <c r="M544" s="5"/>
      <c r="N544" s="5"/>
      <c r="O544" s="5"/>
      <c r="P544" s="5"/>
      <c r="Q544" s="5"/>
      <c r="R544" s="5"/>
      <c r="S544" s="5"/>
      <c r="T544" s="5"/>
      <c r="U544" s="5"/>
      <c r="V544" s="5"/>
      <c r="W544" s="5"/>
      <c r="X544" s="5"/>
      <c r="Y544" s="5"/>
      <c r="Z544" s="5"/>
      <c r="AA544" s="5"/>
      <c r="AB544" s="5"/>
    </row>
    <row r="545" ht="15.75" customHeight="1">
      <c r="A545" s="1"/>
      <c r="B545" s="2"/>
      <c r="C545" s="5"/>
      <c r="D545" s="3"/>
      <c r="E545" s="4"/>
      <c r="F545" s="4"/>
      <c r="G545" s="5"/>
      <c r="H545" s="3"/>
      <c r="I545" s="3"/>
      <c r="J545" s="5"/>
      <c r="K545" s="5"/>
      <c r="L545" s="5"/>
      <c r="M545" s="5"/>
      <c r="N545" s="5"/>
      <c r="O545" s="5"/>
      <c r="P545" s="5"/>
      <c r="Q545" s="5"/>
      <c r="R545" s="5"/>
      <c r="S545" s="5"/>
      <c r="T545" s="5"/>
      <c r="U545" s="5"/>
      <c r="V545" s="5"/>
      <c r="W545" s="5"/>
      <c r="X545" s="5"/>
      <c r="Y545" s="5"/>
      <c r="Z545" s="5"/>
      <c r="AA545" s="5"/>
      <c r="AB545" s="5"/>
    </row>
    <row r="546" ht="15.75" customHeight="1">
      <c r="A546" s="1"/>
      <c r="B546" s="2"/>
      <c r="C546" s="5"/>
      <c r="D546" s="3"/>
      <c r="E546" s="4"/>
      <c r="F546" s="4"/>
      <c r="G546" s="5"/>
      <c r="H546" s="3"/>
      <c r="I546" s="3"/>
      <c r="J546" s="5"/>
      <c r="K546" s="5"/>
      <c r="L546" s="5"/>
      <c r="M546" s="5"/>
      <c r="N546" s="5"/>
      <c r="O546" s="5"/>
      <c r="P546" s="5"/>
      <c r="Q546" s="5"/>
      <c r="R546" s="5"/>
      <c r="S546" s="5"/>
      <c r="T546" s="5"/>
      <c r="U546" s="5"/>
      <c r="V546" s="5"/>
      <c r="W546" s="5"/>
      <c r="X546" s="5"/>
      <c r="Y546" s="5"/>
      <c r="Z546" s="5"/>
      <c r="AA546" s="5"/>
      <c r="AB546" s="5"/>
    </row>
    <row r="547" ht="15.75" customHeight="1">
      <c r="A547" s="1"/>
      <c r="B547" s="2"/>
      <c r="C547" s="5"/>
      <c r="D547" s="3"/>
      <c r="E547" s="4"/>
      <c r="F547" s="4"/>
      <c r="G547" s="5"/>
      <c r="H547" s="3"/>
      <c r="I547" s="3"/>
      <c r="J547" s="5"/>
      <c r="K547" s="5"/>
      <c r="L547" s="5"/>
      <c r="M547" s="5"/>
      <c r="N547" s="5"/>
      <c r="O547" s="5"/>
      <c r="P547" s="5"/>
      <c r="Q547" s="5"/>
      <c r="R547" s="5"/>
      <c r="S547" s="5"/>
      <c r="T547" s="5"/>
      <c r="U547" s="5"/>
      <c r="V547" s="5"/>
      <c r="W547" s="5"/>
      <c r="X547" s="5"/>
      <c r="Y547" s="5"/>
      <c r="Z547" s="5"/>
      <c r="AA547" s="5"/>
      <c r="AB547" s="5"/>
    </row>
    <row r="548" ht="15.75" customHeight="1">
      <c r="A548" s="1"/>
      <c r="B548" s="2"/>
      <c r="C548" s="30"/>
      <c r="E548" s="4"/>
      <c r="F548" s="4"/>
      <c r="G548" s="5"/>
      <c r="H548" s="3"/>
      <c r="I548" s="3"/>
      <c r="J548" s="5"/>
      <c r="K548" s="5"/>
      <c r="L548" s="5"/>
      <c r="M548" s="5"/>
      <c r="N548" s="5"/>
      <c r="O548" s="5"/>
      <c r="P548" s="5"/>
      <c r="Q548" s="5"/>
      <c r="R548" s="5"/>
      <c r="S548" s="5"/>
      <c r="T548" s="5"/>
      <c r="U548" s="5"/>
      <c r="V548" s="5"/>
      <c r="W548" s="5"/>
      <c r="X548" s="5"/>
      <c r="Y548" s="5"/>
      <c r="Z548" s="5"/>
      <c r="AA548" s="5"/>
      <c r="AB548" s="5"/>
    </row>
    <row r="549" ht="15.75" customHeight="1">
      <c r="A549" s="1"/>
      <c r="B549" s="2"/>
      <c r="C549" s="5"/>
      <c r="E549" s="4"/>
      <c r="F549" s="4"/>
      <c r="G549" s="5"/>
      <c r="H549" s="3"/>
      <c r="I549" s="3"/>
      <c r="J549" s="5"/>
      <c r="K549" s="5"/>
      <c r="L549" s="5"/>
      <c r="M549" s="5"/>
      <c r="N549" s="5"/>
      <c r="O549" s="5"/>
      <c r="P549" s="5"/>
      <c r="Q549" s="5"/>
      <c r="R549" s="5"/>
      <c r="S549" s="5"/>
      <c r="T549" s="5"/>
      <c r="U549" s="5"/>
      <c r="V549" s="5"/>
      <c r="W549" s="5"/>
      <c r="X549" s="5"/>
      <c r="Y549" s="5"/>
      <c r="Z549" s="5"/>
      <c r="AA549" s="5"/>
      <c r="AB549" s="5"/>
    </row>
    <row r="550" ht="15.75" customHeight="1">
      <c r="A550" s="1"/>
      <c r="B550" s="2"/>
      <c r="C550" s="5"/>
      <c r="D550" s="3"/>
      <c r="E550" s="4"/>
      <c r="F550" s="4"/>
      <c r="G550" s="5"/>
      <c r="H550" s="3"/>
      <c r="I550" s="3"/>
      <c r="J550" s="5"/>
      <c r="K550" s="5"/>
      <c r="L550" s="5"/>
      <c r="M550" s="5"/>
      <c r="N550" s="5"/>
      <c r="O550" s="5"/>
      <c r="P550" s="5"/>
      <c r="Q550" s="5"/>
      <c r="R550" s="5"/>
      <c r="S550" s="5"/>
      <c r="T550" s="5"/>
      <c r="U550" s="5"/>
      <c r="V550" s="5"/>
      <c r="W550" s="5"/>
      <c r="X550" s="5"/>
      <c r="Y550" s="5"/>
      <c r="Z550" s="5"/>
      <c r="AA550" s="5"/>
      <c r="AB550" s="5"/>
    </row>
    <row r="551" ht="15.75" customHeight="1">
      <c r="A551" s="1"/>
      <c r="B551" s="2"/>
      <c r="C551" s="5"/>
      <c r="D551" s="3"/>
      <c r="E551" s="4"/>
      <c r="F551" s="4"/>
      <c r="G551" s="5"/>
      <c r="H551" s="3"/>
      <c r="I551" s="3"/>
      <c r="J551" s="5"/>
      <c r="K551" s="5"/>
      <c r="L551" s="5"/>
      <c r="M551" s="5"/>
      <c r="N551" s="5"/>
      <c r="O551" s="5"/>
      <c r="P551" s="5"/>
      <c r="Q551" s="5"/>
      <c r="R551" s="5"/>
      <c r="S551" s="5"/>
      <c r="T551" s="5"/>
      <c r="U551" s="5"/>
      <c r="V551" s="5"/>
      <c r="W551" s="5"/>
      <c r="X551" s="5"/>
      <c r="Y551" s="5"/>
      <c r="Z551" s="5"/>
      <c r="AA551" s="5"/>
      <c r="AB551" s="5"/>
    </row>
    <row r="552" ht="15.75" customHeight="1">
      <c r="A552" s="1"/>
      <c r="B552" s="2"/>
      <c r="C552" s="5"/>
      <c r="D552" s="3"/>
      <c r="E552" s="4"/>
      <c r="F552" s="4"/>
      <c r="G552" s="5"/>
      <c r="H552" s="3"/>
      <c r="I552" s="3"/>
      <c r="J552" s="5"/>
      <c r="K552" s="5"/>
      <c r="L552" s="5"/>
      <c r="M552" s="5"/>
      <c r="N552" s="5"/>
      <c r="O552" s="5"/>
      <c r="P552" s="5"/>
      <c r="Q552" s="5"/>
      <c r="R552" s="5"/>
      <c r="S552" s="5"/>
      <c r="T552" s="5"/>
      <c r="U552" s="5"/>
      <c r="V552" s="5"/>
      <c r="W552" s="5"/>
      <c r="X552" s="5"/>
      <c r="Y552" s="5"/>
      <c r="Z552" s="5"/>
      <c r="AA552" s="5"/>
      <c r="AB552" s="5"/>
    </row>
    <row r="553" ht="15.75" customHeight="1">
      <c r="A553" s="1"/>
      <c r="B553" s="2"/>
      <c r="C553" s="5"/>
      <c r="D553" s="3"/>
      <c r="E553" s="4"/>
      <c r="F553" s="4"/>
      <c r="G553" s="5"/>
      <c r="H553" s="5"/>
      <c r="I553" s="3"/>
      <c r="J553" s="5"/>
      <c r="K553" s="5"/>
      <c r="L553" s="5"/>
      <c r="M553" s="5"/>
      <c r="N553" s="5"/>
      <c r="O553" s="5"/>
      <c r="P553" s="5"/>
      <c r="Q553" s="5"/>
      <c r="R553" s="5"/>
      <c r="S553" s="5"/>
      <c r="T553" s="5"/>
      <c r="U553" s="5"/>
      <c r="V553" s="5"/>
      <c r="W553" s="5"/>
      <c r="X553" s="5"/>
      <c r="Y553" s="5"/>
      <c r="Z553" s="5"/>
      <c r="AA553" s="5"/>
      <c r="AB553" s="5"/>
    </row>
    <row r="554" ht="15.75" customHeight="1">
      <c r="A554" s="1"/>
      <c r="B554" s="2"/>
      <c r="C554" s="5"/>
      <c r="D554" s="3"/>
      <c r="E554" s="4"/>
      <c r="F554" s="4"/>
      <c r="G554" s="5"/>
      <c r="H554" s="3"/>
      <c r="I554" s="3"/>
      <c r="J554" s="5"/>
      <c r="K554" s="5"/>
      <c r="L554" s="5"/>
      <c r="M554" s="5"/>
      <c r="N554" s="5"/>
      <c r="O554" s="5"/>
      <c r="P554" s="5"/>
      <c r="Q554" s="5"/>
      <c r="R554" s="5"/>
      <c r="S554" s="5"/>
      <c r="T554" s="5"/>
      <c r="U554" s="5"/>
      <c r="V554" s="5"/>
      <c r="W554" s="5"/>
      <c r="X554" s="5"/>
      <c r="Y554" s="5"/>
      <c r="Z554" s="5"/>
      <c r="AA554" s="5"/>
      <c r="AB554" s="5"/>
    </row>
    <row r="555" ht="15.75" customHeight="1">
      <c r="A555" s="1"/>
      <c r="B555" s="2"/>
      <c r="C555" s="5"/>
      <c r="D555" s="3"/>
      <c r="E555" s="4"/>
      <c r="F555" s="4"/>
      <c r="G555" s="5"/>
      <c r="H555" s="5"/>
      <c r="I555" s="3"/>
      <c r="J555" s="5"/>
      <c r="K555" s="5"/>
      <c r="L555" s="5"/>
      <c r="M555" s="5"/>
      <c r="N555" s="5"/>
      <c r="O555" s="5"/>
      <c r="P555" s="5"/>
      <c r="Q555" s="5"/>
      <c r="R555" s="5"/>
      <c r="S555" s="5"/>
      <c r="T555" s="5"/>
      <c r="U555" s="5"/>
      <c r="V555" s="5"/>
      <c r="W555" s="5"/>
      <c r="X555" s="5"/>
      <c r="Y555" s="5"/>
      <c r="Z555" s="5"/>
      <c r="AA555" s="5"/>
      <c r="AB555" s="5"/>
    </row>
    <row r="556" ht="15.75" customHeight="1">
      <c r="A556" s="1"/>
      <c r="B556" s="2"/>
      <c r="C556" s="5"/>
      <c r="D556" s="3"/>
      <c r="E556" s="4"/>
      <c r="F556" s="4"/>
      <c r="G556" s="5"/>
      <c r="H556" s="3"/>
      <c r="I556" s="3"/>
      <c r="J556" s="5"/>
      <c r="K556" s="5"/>
      <c r="L556" s="5"/>
      <c r="M556" s="5"/>
      <c r="N556" s="5"/>
      <c r="O556" s="5"/>
      <c r="P556" s="5"/>
      <c r="Q556" s="5"/>
      <c r="R556" s="5"/>
      <c r="S556" s="5"/>
      <c r="T556" s="5"/>
      <c r="U556" s="5"/>
      <c r="V556" s="5"/>
      <c r="W556" s="5"/>
      <c r="X556" s="5"/>
      <c r="Y556" s="5"/>
      <c r="Z556" s="5"/>
      <c r="AA556" s="5"/>
      <c r="AB556" s="5"/>
    </row>
    <row r="557" ht="15.75" customHeight="1">
      <c r="A557" s="1"/>
      <c r="B557" s="2"/>
      <c r="C557" s="5"/>
      <c r="D557" s="3"/>
      <c r="E557" s="4"/>
      <c r="F557" s="4"/>
      <c r="H557" s="3"/>
      <c r="I557" s="3"/>
      <c r="J557" s="5"/>
      <c r="K557" s="5"/>
      <c r="L557" s="5"/>
      <c r="M557" s="5"/>
      <c r="N557" s="5"/>
      <c r="O557" s="5"/>
      <c r="P557" s="5"/>
      <c r="Q557" s="5"/>
      <c r="R557" s="5"/>
      <c r="S557" s="5"/>
      <c r="T557" s="5"/>
      <c r="U557" s="5"/>
      <c r="V557" s="5"/>
      <c r="W557" s="5"/>
      <c r="X557" s="5"/>
      <c r="Y557" s="5"/>
      <c r="Z557" s="5"/>
      <c r="AA557" s="5"/>
      <c r="AB557" s="5"/>
    </row>
    <row r="558" ht="15.75" customHeight="1">
      <c r="A558" s="1"/>
      <c r="B558" s="2"/>
      <c r="C558" s="5"/>
      <c r="D558" s="3"/>
      <c r="E558" s="4"/>
      <c r="F558" s="4"/>
      <c r="G558" s="5"/>
      <c r="H558" s="3"/>
      <c r="I558" s="3"/>
      <c r="J558" s="5"/>
      <c r="K558" s="5"/>
      <c r="L558" s="5"/>
      <c r="M558" s="5"/>
      <c r="N558" s="5"/>
      <c r="O558" s="5"/>
      <c r="P558" s="5"/>
      <c r="Q558" s="5"/>
      <c r="R558" s="5"/>
      <c r="S558" s="5"/>
      <c r="T558" s="5"/>
      <c r="U558" s="5"/>
      <c r="V558" s="5"/>
      <c r="W558" s="5"/>
      <c r="X558" s="5"/>
      <c r="Y558" s="5"/>
      <c r="Z558" s="5"/>
      <c r="AA558" s="5"/>
      <c r="AB558" s="5"/>
    </row>
    <row r="559" ht="15.75" customHeight="1">
      <c r="A559" s="1"/>
      <c r="B559" s="2"/>
      <c r="C559" s="5"/>
      <c r="D559" s="3"/>
      <c r="E559" s="4"/>
      <c r="F559" s="4"/>
      <c r="G559" s="3"/>
      <c r="H559" s="3"/>
      <c r="I559" s="3"/>
      <c r="J559" s="5"/>
      <c r="K559" s="5"/>
      <c r="L559" s="5"/>
      <c r="M559" s="5"/>
      <c r="N559" s="5"/>
      <c r="O559" s="5"/>
      <c r="P559" s="5"/>
      <c r="Q559" s="5"/>
      <c r="R559" s="5"/>
      <c r="S559" s="5"/>
      <c r="T559" s="5"/>
      <c r="U559" s="5"/>
      <c r="V559" s="5"/>
      <c r="W559" s="5"/>
      <c r="X559" s="5"/>
      <c r="Y559" s="5"/>
      <c r="Z559" s="5"/>
      <c r="AA559" s="5"/>
      <c r="AB559" s="5"/>
    </row>
    <row r="560" ht="15.75" customHeight="1">
      <c r="A560" s="1"/>
      <c r="B560" s="2"/>
      <c r="C560" s="5"/>
      <c r="D560" s="3"/>
      <c r="E560" s="4"/>
      <c r="F560" s="4"/>
      <c r="G560" s="3"/>
      <c r="H560" s="3"/>
      <c r="I560" s="3"/>
      <c r="J560" s="5"/>
      <c r="K560" s="5"/>
      <c r="L560" s="5"/>
      <c r="M560" s="5"/>
      <c r="N560" s="5"/>
      <c r="O560" s="5"/>
      <c r="P560" s="5"/>
      <c r="Q560" s="5"/>
      <c r="R560" s="5"/>
      <c r="S560" s="5"/>
      <c r="T560" s="5"/>
      <c r="U560" s="5"/>
      <c r="V560" s="5"/>
      <c r="W560" s="5"/>
      <c r="X560" s="5"/>
      <c r="Y560" s="5"/>
      <c r="Z560" s="5"/>
      <c r="AA560" s="5"/>
      <c r="AB560" s="5"/>
    </row>
    <row r="561" ht="15.75" customHeight="1">
      <c r="A561" s="1"/>
      <c r="B561" s="2"/>
      <c r="C561" s="5"/>
      <c r="D561" s="3"/>
      <c r="E561" s="4"/>
      <c r="F561" s="4"/>
      <c r="G561" s="5"/>
      <c r="H561" s="3"/>
      <c r="I561" s="5"/>
      <c r="J561" s="5"/>
      <c r="K561" s="5"/>
      <c r="L561" s="5"/>
      <c r="M561" s="5"/>
      <c r="N561" s="5"/>
      <c r="O561" s="5"/>
      <c r="P561" s="5"/>
      <c r="Q561" s="5"/>
      <c r="R561" s="5"/>
      <c r="S561" s="5"/>
      <c r="T561" s="5"/>
      <c r="U561" s="5"/>
      <c r="V561" s="5"/>
      <c r="W561" s="5"/>
      <c r="X561" s="5"/>
      <c r="Y561" s="5"/>
      <c r="Z561" s="5"/>
      <c r="AA561" s="5"/>
      <c r="AB561" s="5"/>
    </row>
    <row r="562" ht="15.75" customHeight="1">
      <c r="A562" s="1"/>
      <c r="B562" s="2"/>
      <c r="C562" s="5"/>
      <c r="D562" s="3"/>
      <c r="E562" s="4"/>
      <c r="F562" s="4"/>
      <c r="G562" s="3"/>
      <c r="H562" s="3"/>
      <c r="I562" s="3"/>
      <c r="J562" s="5"/>
      <c r="K562" s="5"/>
      <c r="L562" s="5"/>
      <c r="M562" s="5"/>
      <c r="N562" s="5"/>
      <c r="O562" s="5"/>
      <c r="P562" s="5"/>
      <c r="Q562" s="5"/>
      <c r="R562" s="5"/>
      <c r="S562" s="5"/>
      <c r="T562" s="5"/>
      <c r="U562" s="5"/>
      <c r="V562" s="5"/>
      <c r="W562" s="5"/>
      <c r="X562" s="5"/>
      <c r="Y562" s="5"/>
      <c r="Z562" s="5"/>
      <c r="AA562" s="5"/>
      <c r="AB562" s="5"/>
    </row>
    <row r="563" ht="15.75" customHeight="1">
      <c r="A563" s="1"/>
      <c r="B563" s="2"/>
      <c r="C563" s="5"/>
      <c r="D563" s="3"/>
      <c r="E563" s="4"/>
      <c r="F563" s="4"/>
      <c r="G563" s="3"/>
      <c r="H563" s="3"/>
      <c r="I563" s="3"/>
      <c r="J563" s="5"/>
      <c r="K563" s="5"/>
      <c r="L563" s="5"/>
      <c r="M563" s="5"/>
      <c r="N563" s="5"/>
      <c r="O563" s="5"/>
      <c r="P563" s="5"/>
      <c r="Q563" s="5"/>
      <c r="R563" s="5"/>
      <c r="S563" s="5"/>
      <c r="T563" s="5"/>
      <c r="U563" s="5"/>
      <c r="V563" s="5"/>
      <c r="W563" s="5"/>
      <c r="X563" s="5"/>
      <c r="Y563" s="5"/>
      <c r="Z563" s="5"/>
      <c r="AA563" s="5"/>
      <c r="AB563" s="5"/>
    </row>
    <row r="564" ht="15.75" customHeight="1">
      <c r="A564" s="1"/>
      <c r="B564" s="2"/>
      <c r="C564" s="5"/>
      <c r="D564" s="3"/>
      <c r="E564" s="4"/>
      <c r="F564" s="4"/>
      <c r="G564" s="3"/>
      <c r="H564" s="3"/>
      <c r="I564" s="3"/>
      <c r="J564" s="5"/>
      <c r="K564" s="5"/>
      <c r="L564" s="5"/>
      <c r="M564" s="5"/>
      <c r="N564" s="5"/>
      <c r="O564" s="5"/>
      <c r="P564" s="5"/>
      <c r="Q564" s="5"/>
      <c r="R564" s="5"/>
      <c r="S564" s="5"/>
      <c r="T564" s="5"/>
      <c r="U564" s="5"/>
      <c r="V564" s="5"/>
      <c r="W564" s="5"/>
      <c r="X564" s="5"/>
      <c r="Y564" s="5"/>
      <c r="Z564" s="5"/>
      <c r="AA564" s="5"/>
      <c r="AB564" s="5"/>
    </row>
    <row r="565" ht="15.75" customHeight="1">
      <c r="A565" s="1"/>
      <c r="B565" s="2"/>
      <c r="C565" s="5"/>
      <c r="D565" s="3"/>
      <c r="E565" s="4"/>
      <c r="F565" s="4"/>
      <c r="G565" s="3"/>
      <c r="H565" s="3"/>
      <c r="I565" s="3"/>
      <c r="J565" s="5"/>
      <c r="K565" s="5"/>
      <c r="L565" s="5"/>
      <c r="M565" s="5"/>
      <c r="N565" s="5"/>
      <c r="O565" s="5"/>
      <c r="P565" s="5"/>
      <c r="Q565" s="5"/>
      <c r="R565" s="5"/>
      <c r="S565" s="5"/>
      <c r="T565" s="5"/>
      <c r="U565" s="5"/>
      <c r="V565" s="5"/>
      <c r="W565" s="5"/>
      <c r="X565" s="5"/>
      <c r="Y565" s="5"/>
      <c r="Z565" s="5"/>
      <c r="AA565" s="5"/>
      <c r="AB565" s="5"/>
    </row>
    <row r="566" ht="15.75" customHeight="1">
      <c r="A566" s="1"/>
      <c r="B566" s="2"/>
      <c r="C566" s="5"/>
      <c r="D566" s="3"/>
      <c r="E566" s="4"/>
      <c r="F566" s="4"/>
      <c r="G566" s="3"/>
      <c r="H566" s="3"/>
      <c r="I566" s="3"/>
      <c r="J566" s="5"/>
      <c r="K566" s="5"/>
      <c r="L566" s="5"/>
      <c r="M566" s="5"/>
      <c r="N566" s="5"/>
      <c r="O566" s="5"/>
      <c r="P566" s="5"/>
      <c r="Q566" s="5"/>
      <c r="R566" s="5"/>
      <c r="S566" s="5"/>
      <c r="T566" s="5"/>
      <c r="U566" s="5"/>
      <c r="V566" s="5"/>
      <c r="W566" s="5"/>
      <c r="X566" s="5"/>
      <c r="Y566" s="5"/>
      <c r="Z566" s="5"/>
      <c r="AA566" s="5"/>
      <c r="AB566" s="5"/>
    </row>
    <row r="567" ht="15.75" customHeight="1">
      <c r="A567" s="1"/>
      <c r="B567" s="2"/>
      <c r="C567" s="5"/>
      <c r="D567" s="3"/>
      <c r="E567" s="4"/>
      <c r="F567" s="4"/>
      <c r="G567" s="3"/>
      <c r="H567" s="3"/>
      <c r="I567" s="3"/>
      <c r="J567" s="5"/>
      <c r="K567" s="5"/>
      <c r="L567" s="5"/>
      <c r="M567" s="5"/>
      <c r="N567" s="5"/>
      <c r="O567" s="5"/>
      <c r="P567" s="5"/>
      <c r="Q567" s="5"/>
      <c r="R567" s="5"/>
      <c r="S567" s="5"/>
      <c r="T567" s="5"/>
      <c r="U567" s="5"/>
      <c r="V567" s="5"/>
      <c r="W567" s="5"/>
      <c r="X567" s="5"/>
      <c r="Y567" s="5"/>
      <c r="Z567" s="5"/>
      <c r="AA567" s="5"/>
      <c r="AB567" s="5"/>
    </row>
    <row r="568" ht="15.75" customHeight="1">
      <c r="A568" s="1"/>
      <c r="B568" s="2"/>
      <c r="C568" s="5"/>
      <c r="D568" s="3"/>
      <c r="E568" s="4"/>
      <c r="F568" s="4"/>
      <c r="G568" s="3"/>
      <c r="H568" s="3"/>
      <c r="I568" s="3"/>
      <c r="J568" s="5"/>
      <c r="K568" s="5"/>
      <c r="L568" s="5"/>
      <c r="M568" s="5"/>
      <c r="N568" s="5"/>
      <c r="O568" s="5"/>
      <c r="P568" s="5"/>
      <c r="Q568" s="5"/>
      <c r="R568" s="5"/>
      <c r="S568" s="5"/>
      <c r="T568" s="5"/>
      <c r="U568" s="5"/>
      <c r="V568" s="5"/>
      <c r="W568" s="5"/>
      <c r="X568" s="5"/>
      <c r="Y568" s="5"/>
      <c r="Z568" s="5"/>
      <c r="AA568" s="5"/>
      <c r="AB568" s="5"/>
    </row>
    <row r="569" ht="15.75" customHeight="1">
      <c r="A569" s="1"/>
      <c r="B569" s="2"/>
      <c r="C569" s="5"/>
      <c r="D569" s="3"/>
      <c r="E569" s="4"/>
      <c r="F569" s="4"/>
      <c r="G569" s="3"/>
      <c r="H569" s="3"/>
      <c r="I569" s="3"/>
      <c r="J569" s="5"/>
      <c r="K569" s="5"/>
      <c r="L569" s="5"/>
      <c r="M569" s="5"/>
      <c r="N569" s="5"/>
      <c r="O569" s="5"/>
      <c r="P569" s="5"/>
      <c r="Q569" s="5"/>
      <c r="R569" s="5"/>
      <c r="S569" s="5"/>
      <c r="T569" s="5"/>
      <c r="U569" s="5"/>
      <c r="V569" s="5"/>
      <c r="W569" s="5"/>
      <c r="X569" s="5"/>
      <c r="Y569" s="5"/>
      <c r="Z569" s="5"/>
      <c r="AA569" s="5"/>
      <c r="AB569" s="5"/>
    </row>
    <row r="570" ht="15.75" customHeight="1">
      <c r="A570" s="1"/>
      <c r="B570" s="2"/>
      <c r="C570" s="5"/>
      <c r="D570" s="3"/>
      <c r="E570" s="4"/>
      <c r="F570" s="4"/>
      <c r="G570" s="3"/>
      <c r="H570" s="3"/>
      <c r="I570" s="3"/>
      <c r="J570" s="5"/>
      <c r="K570" s="5"/>
      <c r="L570" s="5"/>
      <c r="M570" s="5"/>
      <c r="N570" s="5"/>
      <c r="O570" s="5"/>
      <c r="P570" s="5"/>
      <c r="Q570" s="5"/>
      <c r="R570" s="5"/>
      <c r="S570" s="5"/>
      <c r="T570" s="5"/>
      <c r="U570" s="5"/>
      <c r="V570" s="5"/>
      <c r="W570" s="5"/>
      <c r="X570" s="5"/>
      <c r="Y570" s="5"/>
      <c r="Z570" s="5"/>
      <c r="AA570" s="5"/>
      <c r="AB570" s="5"/>
    </row>
    <row r="571" ht="15.75" customHeight="1">
      <c r="A571" s="1"/>
      <c r="B571" s="2"/>
      <c r="C571" s="30"/>
      <c r="D571" s="3"/>
      <c r="E571" s="4"/>
      <c r="F571" s="4"/>
      <c r="G571" s="3"/>
      <c r="H571" s="3"/>
      <c r="I571" s="3"/>
      <c r="J571" s="5"/>
      <c r="K571" s="5"/>
      <c r="L571" s="5"/>
      <c r="M571" s="5"/>
      <c r="N571" s="5"/>
      <c r="O571" s="5"/>
      <c r="P571" s="5"/>
      <c r="Q571" s="5"/>
      <c r="R571" s="5"/>
      <c r="S571" s="5"/>
      <c r="T571" s="5"/>
      <c r="U571" s="5"/>
      <c r="V571" s="5"/>
      <c r="W571" s="5"/>
      <c r="X571" s="5"/>
      <c r="Y571" s="5"/>
      <c r="Z571" s="5"/>
      <c r="AA571" s="5"/>
      <c r="AB571" s="5"/>
    </row>
    <row r="572" ht="15.75" customHeight="1">
      <c r="A572" s="1"/>
      <c r="B572" s="2"/>
      <c r="C572" s="5"/>
      <c r="D572" s="3"/>
      <c r="E572" s="4"/>
      <c r="F572" s="4"/>
      <c r="G572" s="3"/>
      <c r="H572" s="3"/>
      <c r="I572" s="3"/>
      <c r="J572" s="5"/>
      <c r="K572" s="5"/>
      <c r="L572" s="5"/>
      <c r="M572" s="5"/>
      <c r="N572" s="5"/>
      <c r="O572" s="5"/>
      <c r="P572" s="5"/>
      <c r="Q572" s="5"/>
      <c r="R572" s="5"/>
      <c r="S572" s="5"/>
      <c r="T572" s="5"/>
      <c r="U572" s="5"/>
      <c r="V572" s="5"/>
      <c r="W572" s="5"/>
      <c r="X572" s="5"/>
      <c r="Y572" s="5"/>
      <c r="Z572" s="5"/>
      <c r="AA572" s="5"/>
      <c r="AB572" s="5"/>
    </row>
    <row r="573" ht="15.75" customHeight="1">
      <c r="A573" s="1"/>
      <c r="B573" s="2"/>
      <c r="C573" s="5"/>
      <c r="D573" s="3"/>
      <c r="E573" s="4"/>
      <c r="F573" s="4"/>
      <c r="G573" s="3"/>
      <c r="H573" s="3"/>
      <c r="I573" s="3"/>
      <c r="J573" s="5"/>
      <c r="K573" s="5"/>
      <c r="L573" s="5"/>
      <c r="M573" s="5"/>
      <c r="N573" s="5"/>
      <c r="O573" s="5"/>
      <c r="P573" s="5"/>
      <c r="Q573" s="5"/>
      <c r="R573" s="5"/>
      <c r="S573" s="5"/>
      <c r="T573" s="5"/>
      <c r="U573" s="5"/>
      <c r="V573" s="5"/>
      <c r="W573" s="5"/>
      <c r="X573" s="5"/>
      <c r="Y573" s="5"/>
      <c r="Z573" s="5"/>
      <c r="AA573" s="5"/>
      <c r="AB573" s="5"/>
    </row>
    <row r="574" ht="15.75" customHeight="1">
      <c r="A574" s="1"/>
      <c r="B574" s="2"/>
      <c r="C574" s="5"/>
      <c r="D574" s="3"/>
      <c r="E574" s="4"/>
      <c r="F574" s="4"/>
      <c r="G574" s="3"/>
      <c r="H574" s="3"/>
      <c r="I574" s="3"/>
      <c r="J574" s="5"/>
      <c r="K574" s="5"/>
      <c r="L574" s="5"/>
      <c r="M574" s="5"/>
      <c r="N574" s="5"/>
      <c r="O574" s="5"/>
      <c r="P574" s="5"/>
      <c r="Q574" s="5"/>
      <c r="R574" s="5"/>
      <c r="S574" s="5"/>
      <c r="T574" s="5"/>
      <c r="U574" s="5"/>
      <c r="V574" s="5"/>
      <c r="W574" s="5"/>
      <c r="X574" s="5"/>
      <c r="Y574" s="5"/>
      <c r="Z574" s="5"/>
      <c r="AA574" s="5"/>
      <c r="AB574" s="5"/>
    </row>
    <row r="575" ht="15.75" customHeight="1">
      <c r="A575" s="1"/>
      <c r="B575" s="2"/>
      <c r="C575" s="5"/>
      <c r="D575" s="3"/>
      <c r="E575" s="28"/>
      <c r="F575" s="4"/>
      <c r="G575" s="3"/>
      <c r="H575" s="3"/>
      <c r="I575" s="3"/>
      <c r="J575" s="5"/>
      <c r="K575" s="5"/>
      <c r="L575" s="5"/>
      <c r="M575" s="5"/>
      <c r="N575" s="5"/>
      <c r="O575" s="5"/>
      <c r="P575" s="5"/>
      <c r="Q575" s="5"/>
      <c r="R575" s="5"/>
      <c r="S575" s="5"/>
      <c r="T575" s="5"/>
      <c r="U575" s="5"/>
      <c r="V575" s="5"/>
      <c r="W575" s="5"/>
      <c r="X575" s="5"/>
      <c r="Y575" s="5"/>
      <c r="Z575" s="5"/>
      <c r="AA575" s="5"/>
      <c r="AB575" s="5"/>
    </row>
    <row r="576" ht="15.75" customHeight="1">
      <c r="A576" s="1"/>
      <c r="B576" s="2"/>
      <c r="C576" s="5"/>
      <c r="D576" s="3"/>
      <c r="E576" s="4"/>
      <c r="F576" s="4"/>
      <c r="G576" s="3"/>
      <c r="H576" s="3"/>
      <c r="I576" s="3"/>
      <c r="J576" s="5"/>
      <c r="K576" s="5"/>
      <c r="L576" s="5"/>
      <c r="M576" s="5"/>
      <c r="N576" s="5"/>
      <c r="O576" s="5"/>
      <c r="P576" s="5"/>
      <c r="Q576" s="5"/>
      <c r="R576" s="5"/>
      <c r="S576" s="5"/>
      <c r="T576" s="5"/>
      <c r="U576" s="5"/>
      <c r="V576" s="5"/>
      <c r="W576" s="5"/>
      <c r="X576" s="5"/>
      <c r="Y576" s="5"/>
      <c r="Z576" s="5"/>
      <c r="AA576" s="5"/>
      <c r="AB576" s="5"/>
    </row>
    <row r="577" ht="15.75" customHeight="1">
      <c r="A577" s="1"/>
      <c r="B577" s="2"/>
      <c r="C577" s="5"/>
      <c r="D577" s="5"/>
      <c r="E577" s="6"/>
      <c r="F577" s="6"/>
      <c r="G577" s="3"/>
      <c r="H577" s="3"/>
      <c r="I577" s="3"/>
      <c r="J577" s="5"/>
      <c r="K577" s="5"/>
      <c r="L577" s="5"/>
      <c r="M577" s="5"/>
      <c r="N577" s="5"/>
      <c r="O577" s="5"/>
      <c r="P577" s="5"/>
      <c r="Q577" s="5"/>
      <c r="R577" s="5"/>
      <c r="S577" s="5"/>
      <c r="T577" s="5"/>
      <c r="U577" s="5"/>
      <c r="V577" s="5"/>
      <c r="W577" s="5"/>
      <c r="X577" s="5"/>
      <c r="Y577" s="5"/>
      <c r="Z577" s="5"/>
      <c r="AA577" s="5"/>
      <c r="AB577" s="5"/>
    </row>
    <row r="578" ht="15.75" customHeight="1">
      <c r="A578" s="1"/>
      <c r="B578" s="2"/>
      <c r="C578" s="5"/>
      <c r="D578" s="5"/>
      <c r="E578" s="6"/>
      <c r="F578" s="6"/>
      <c r="G578" s="5"/>
      <c r="H578" s="3"/>
      <c r="I578" s="3"/>
      <c r="J578" s="5"/>
      <c r="K578" s="5"/>
      <c r="L578" s="5"/>
      <c r="M578" s="5"/>
      <c r="N578" s="5"/>
      <c r="O578" s="5"/>
      <c r="P578" s="5"/>
      <c r="Q578" s="5"/>
      <c r="R578" s="5"/>
      <c r="S578" s="5"/>
      <c r="T578" s="5"/>
      <c r="U578" s="5"/>
      <c r="V578" s="5"/>
      <c r="W578" s="5"/>
      <c r="X578" s="5"/>
      <c r="Y578" s="5"/>
      <c r="Z578" s="5"/>
      <c r="AA578" s="5"/>
      <c r="AB578" s="5"/>
    </row>
    <row r="579" ht="15.75" customHeight="1">
      <c r="A579" s="1"/>
      <c r="B579" s="2"/>
      <c r="C579" s="5"/>
      <c r="D579" s="5"/>
      <c r="E579" s="6"/>
      <c r="F579" s="6"/>
      <c r="G579" s="5"/>
      <c r="H579" s="3"/>
      <c r="I579" s="3"/>
      <c r="J579" s="5"/>
      <c r="K579" s="5"/>
      <c r="L579" s="5"/>
      <c r="M579" s="5"/>
      <c r="N579" s="5"/>
      <c r="O579" s="5"/>
      <c r="P579" s="5"/>
      <c r="Q579" s="5"/>
      <c r="R579" s="5"/>
      <c r="S579" s="5"/>
      <c r="T579" s="5"/>
      <c r="U579" s="5"/>
      <c r="V579" s="5"/>
      <c r="W579" s="5"/>
      <c r="X579" s="5"/>
      <c r="Y579" s="5"/>
      <c r="Z579" s="5"/>
      <c r="AA579" s="5"/>
      <c r="AB579" s="5"/>
    </row>
    <row r="580" ht="15.75" customHeight="1">
      <c r="A580" s="1"/>
      <c r="B580" s="2"/>
      <c r="C580" s="5"/>
      <c r="D580" s="5"/>
      <c r="E580" s="6"/>
      <c r="F580" s="6"/>
      <c r="G580" s="5"/>
      <c r="H580" s="5"/>
      <c r="I580" s="5"/>
      <c r="J580" s="5"/>
      <c r="K580" s="5"/>
      <c r="L580" s="5"/>
      <c r="M580" s="5"/>
      <c r="N580" s="5"/>
      <c r="O580" s="5"/>
      <c r="P580" s="5"/>
      <c r="Q580" s="5"/>
      <c r="R580" s="5"/>
      <c r="S580" s="5"/>
      <c r="T580" s="5"/>
      <c r="U580" s="5"/>
      <c r="V580" s="5"/>
      <c r="W580" s="5"/>
      <c r="X580" s="5"/>
      <c r="Y580" s="5"/>
      <c r="Z580" s="5"/>
      <c r="AA580" s="5"/>
      <c r="AB580" s="5"/>
    </row>
    <row r="581" ht="15.75" customHeight="1">
      <c r="A581" s="1"/>
      <c r="B581" s="2"/>
      <c r="C581" s="5"/>
      <c r="D581" s="5"/>
      <c r="E581" s="6"/>
      <c r="F581" s="6"/>
      <c r="G581" s="5"/>
      <c r="H581" s="5"/>
      <c r="I581" s="5"/>
      <c r="J581" s="5"/>
      <c r="K581" s="5"/>
      <c r="L581" s="5"/>
      <c r="M581" s="5"/>
      <c r="N581" s="5"/>
      <c r="O581" s="5"/>
      <c r="P581" s="5"/>
      <c r="Q581" s="5"/>
      <c r="R581" s="5"/>
      <c r="S581" s="5"/>
      <c r="T581" s="5"/>
      <c r="U581" s="5"/>
      <c r="V581" s="5"/>
      <c r="W581" s="5"/>
      <c r="X581" s="5"/>
      <c r="Y581" s="5"/>
      <c r="Z581" s="5"/>
      <c r="AA581" s="5"/>
      <c r="AB581" s="5"/>
    </row>
    <row r="582" ht="15.75" customHeight="1">
      <c r="A582" s="1"/>
      <c r="B582" s="2"/>
      <c r="C582" s="5"/>
      <c r="D582" s="3"/>
      <c r="E582" s="6"/>
      <c r="F582" s="6"/>
      <c r="G582" s="5"/>
      <c r="H582" s="3"/>
      <c r="I582" s="5"/>
      <c r="J582" s="5"/>
      <c r="K582" s="5"/>
      <c r="L582" s="5"/>
      <c r="M582" s="5"/>
      <c r="N582" s="5"/>
      <c r="O582" s="5"/>
      <c r="P582" s="5"/>
      <c r="Q582" s="5"/>
      <c r="R582" s="5"/>
      <c r="S582" s="5"/>
      <c r="T582" s="5"/>
      <c r="U582" s="5"/>
      <c r="V582" s="5"/>
      <c r="W582" s="5"/>
      <c r="X582" s="5"/>
      <c r="Y582" s="5"/>
      <c r="Z582" s="5"/>
      <c r="AA582" s="5"/>
      <c r="AB582" s="5"/>
    </row>
    <row r="583" ht="15.75" customHeight="1">
      <c r="A583" s="1"/>
      <c r="B583" s="2"/>
      <c r="C583" s="5"/>
      <c r="D583" s="3"/>
      <c r="E583" s="4"/>
      <c r="F583" s="4"/>
      <c r="G583" s="5"/>
      <c r="H583" s="5"/>
      <c r="I583" s="5"/>
      <c r="J583" s="5"/>
      <c r="K583" s="5"/>
      <c r="L583" s="5"/>
      <c r="M583" s="5"/>
      <c r="N583" s="5"/>
      <c r="O583" s="5"/>
      <c r="P583" s="5"/>
      <c r="Q583" s="5"/>
      <c r="R583" s="5"/>
      <c r="S583" s="5"/>
      <c r="T583" s="5"/>
      <c r="U583" s="5"/>
      <c r="V583" s="5"/>
      <c r="W583" s="5"/>
      <c r="X583" s="5"/>
      <c r="Y583" s="5"/>
      <c r="Z583" s="5"/>
      <c r="AA583" s="5"/>
      <c r="AB583" s="5"/>
    </row>
    <row r="584" ht="15.75" customHeight="1">
      <c r="A584" s="1"/>
      <c r="B584" s="2"/>
      <c r="C584" s="5"/>
      <c r="D584" s="3"/>
      <c r="E584" s="4"/>
      <c r="F584" s="4"/>
      <c r="G584" s="5"/>
      <c r="H584" s="3"/>
      <c r="I584" s="5"/>
      <c r="J584" s="5"/>
      <c r="K584" s="5"/>
      <c r="L584" s="5"/>
      <c r="M584" s="5"/>
      <c r="N584" s="5"/>
      <c r="O584" s="5"/>
      <c r="P584" s="5"/>
      <c r="Q584" s="5"/>
      <c r="R584" s="5"/>
      <c r="S584" s="5"/>
      <c r="T584" s="5"/>
      <c r="U584" s="5"/>
      <c r="V584" s="5"/>
      <c r="W584" s="5"/>
      <c r="X584" s="5"/>
      <c r="Y584" s="5"/>
      <c r="Z584" s="5"/>
      <c r="AA584" s="5"/>
      <c r="AB584" s="5"/>
    </row>
    <row r="585" ht="15.75" customHeight="1">
      <c r="A585" s="1"/>
      <c r="B585" s="2"/>
      <c r="C585" s="30"/>
      <c r="D585" s="3"/>
      <c r="E585" s="4"/>
      <c r="F585" s="4"/>
      <c r="G585" s="5"/>
      <c r="H585" s="5"/>
      <c r="I585" s="5"/>
      <c r="J585" s="5"/>
      <c r="K585" s="5"/>
      <c r="L585" s="5"/>
      <c r="M585" s="5"/>
      <c r="N585" s="5"/>
      <c r="O585" s="5"/>
      <c r="P585" s="5"/>
      <c r="Q585" s="5"/>
      <c r="R585" s="5"/>
      <c r="S585" s="5"/>
      <c r="T585" s="5"/>
      <c r="U585" s="5"/>
      <c r="V585" s="5"/>
      <c r="W585" s="5"/>
      <c r="X585" s="5"/>
      <c r="Y585" s="5"/>
      <c r="Z585" s="5"/>
      <c r="AA585" s="5"/>
      <c r="AB585" s="5"/>
    </row>
    <row r="586" ht="15.75" customHeight="1">
      <c r="A586" s="1"/>
      <c r="B586" s="2"/>
      <c r="C586" s="5"/>
      <c r="D586" s="3"/>
      <c r="E586" s="4"/>
      <c r="F586" s="4"/>
      <c r="G586" s="5"/>
      <c r="H586" s="5"/>
      <c r="I586" s="5"/>
      <c r="J586" s="5"/>
      <c r="K586" s="3"/>
      <c r="L586" s="5"/>
      <c r="M586" s="5"/>
      <c r="N586" s="5"/>
      <c r="O586" s="5"/>
      <c r="P586" s="5"/>
      <c r="Q586" s="5"/>
      <c r="R586" s="5"/>
      <c r="S586" s="5"/>
      <c r="T586" s="5"/>
      <c r="U586" s="5"/>
      <c r="V586" s="5"/>
      <c r="W586" s="5"/>
      <c r="X586" s="5"/>
      <c r="Y586" s="5"/>
      <c r="Z586" s="5"/>
      <c r="AA586" s="5"/>
      <c r="AB586" s="5"/>
    </row>
    <row r="587" ht="15.75" customHeight="1">
      <c r="A587" s="1"/>
      <c r="B587" s="2"/>
      <c r="C587" s="5"/>
      <c r="D587" s="3"/>
      <c r="E587" s="4"/>
      <c r="F587" s="4"/>
      <c r="G587" s="5"/>
      <c r="H587" s="5"/>
      <c r="I587" s="5"/>
      <c r="J587" s="5"/>
      <c r="K587" s="5"/>
      <c r="L587" s="5"/>
      <c r="M587" s="5"/>
      <c r="N587" s="5"/>
      <c r="O587" s="5"/>
      <c r="P587" s="5"/>
      <c r="Q587" s="5"/>
      <c r="R587" s="5"/>
      <c r="S587" s="5"/>
      <c r="T587" s="5"/>
      <c r="U587" s="5"/>
      <c r="V587" s="5"/>
      <c r="W587" s="5"/>
      <c r="X587" s="5"/>
      <c r="Y587" s="5"/>
      <c r="Z587" s="5"/>
      <c r="AA587" s="5"/>
      <c r="AB587" s="5"/>
    </row>
    <row r="588" ht="15.75" customHeight="1">
      <c r="A588" s="1"/>
      <c r="B588" s="2"/>
      <c r="C588" s="5"/>
      <c r="D588" s="3"/>
      <c r="E588" s="4"/>
      <c r="F588" s="4"/>
      <c r="G588" s="5"/>
      <c r="H588" s="5"/>
      <c r="I588" s="5"/>
      <c r="J588" s="5"/>
      <c r="K588" s="5"/>
      <c r="L588" s="5"/>
      <c r="M588" s="5"/>
      <c r="N588" s="5"/>
      <c r="O588" s="5"/>
      <c r="P588" s="5"/>
      <c r="Q588" s="5"/>
      <c r="R588" s="5"/>
      <c r="S588" s="5"/>
      <c r="T588" s="5"/>
      <c r="U588" s="5"/>
      <c r="V588" s="5"/>
      <c r="W588" s="5"/>
      <c r="X588" s="5"/>
      <c r="Y588" s="5"/>
      <c r="Z588" s="5"/>
      <c r="AA588" s="5"/>
      <c r="AB588" s="5"/>
    </row>
    <row r="589" ht="15.75" customHeight="1">
      <c r="A589" s="1"/>
      <c r="B589" s="2"/>
      <c r="C589" s="5"/>
      <c r="D589" s="3"/>
      <c r="E589" s="4"/>
      <c r="F589" s="4"/>
      <c r="G589" s="5"/>
      <c r="H589" s="5"/>
      <c r="I589" s="5"/>
      <c r="J589" s="5"/>
      <c r="K589" s="5"/>
      <c r="L589" s="5"/>
      <c r="M589" s="5"/>
      <c r="N589" s="5"/>
      <c r="O589" s="5"/>
      <c r="P589" s="5"/>
      <c r="Q589" s="5"/>
      <c r="R589" s="5"/>
      <c r="S589" s="5"/>
      <c r="T589" s="5"/>
      <c r="U589" s="5"/>
      <c r="V589" s="5"/>
      <c r="W589" s="5"/>
      <c r="X589" s="5"/>
      <c r="Y589" s="5"/>
      <c r="Z589" s="5"/>
      <c r="AA589" s="5"/>
      <c r="AB589" s="5"/>
    </row>
    <row r="590" ht="15.75" customHeight="1">
      <c r="A590" s="1"/>
      <c r="B590" s="2"/>
      <c r="C590" s="5"/>
      <c r="D590" s="3"/>
      <c r="E590" s="4"/>
      <c r="F590" s="4"/>
      <c r="G590" s="5"/>
      <c r="H590" s="5"/>
      <c r="I590" s="5"/>
      <c r="J590" s="5"/>
      <c r="K590" s="5"/>
      <c r="L590" s="3"/>
      <c r="M590" s="5"/>
      <c r="N590" s="5"/>
      <c r="O590" s="5"/>
      <c r="P590" s="5"/>
      <c r="Q590" s="5"/>
      <c r="R590" s="5"/>
      <c r="S590" s="5"/>
      <c r="T590" s="5"/>
      <c r="U590" s="5"/>
      <c r="V590" s="5"/>
      <c r="W590" s="5"/>
      <c r="X590" s="5"/>
      <c r="Y590" s="5"/>
      <c r="Z590" s="5"/>
      <c r="AA590" s="5"/>
      <c r="AB590" s="5"/>
    </row>
    <row r="591" ht="15.75" customHeight="1">
      <c r="A591" s="1"/>
      <c r="B591" s="2"/>
      <c r="C591" s="5"/>
      <c r="E591" s="4"/>
      <c r="F591" s="4"/>
      <c r="G591" s="3"/>
      <c r="H591" s="3"/>
      <c r="I591" s="5"/>
      <c r="J591" s="5"/>
      <c r="K591" s="5"/>
      <c r="L591" s="5"/>
      <c r="M591" s="5"/>
      <c r="N591" s="5"/>
      <c r="O591" s="5"/>
      <c r="P591" s="5"/>
      <c r="Q591" s="5"/>
      <c r="R591" s="5"/>
      <c r="S591" s="5"/>
      <c r="T591" s="5"/>
      <c r="U591" s="5"/>
      <c r="V591" s="5"/>
      <c r="W591" s="5"/>
      <c r="X591" s="5"/>
      <c r="Y591" s="5"/>
      <c r="Z591" s="5"/>
      <c r="AA591" s="5"/>
      <c r="AB591" s="5"/>
    </row>
    <row r="592" ht="15.75" customHeight="1">
      <c r="A592" s="1"/>
      <c r="B592" s="2"/>
      <c r="C592" s="5"/>
      <c r="D592" s="3"/>
      <c r="E592" s="4"/>
      <c r="F592" s="4"/>
      <c r="G592" s="5"/>
      <c r="H592" s="5"/>
      <c r="I592" s="5"/>
      <c r="J592" s="5"/>
      <c r="K592" s="5"/>
      <c r="L592" s="5"/>
      <c r="M592" s="5"/>
      <c r="N592" s="5"/>
      <c r="O592" s="5"/>
      <c r="P592" s="5"/>
      <c r="Q592" s="5"/>
      <c r="R592" s="5"/>
      <c r="S592" s="5"/>
      <c r="T592" s="5"/>
      <c r="U592" s="5"/>
      <c r="V592" s="5"/>
      <c r="W592" s="5"/>
      <c r="X592" s="5"/>
      <c r="Y592" s="5"/>
      <c r="Z592" s="5"/>
      <c r="AA592" s="5"/>
      <c r="AB592" s="5"/>
    </row>
    <row r="593" ht="15.75" customHeight="1">
      <c r="A593" s="1"/>
      <c r="B593" s="2"/>
      <c r="C593" s="30"/>
      <c r="D593" s="3"/>
      <c r="E593" s="4"/>
      <c r="F593" s="4"/>
      <c r="G593" s="5"/>
      <c r="H593" s="5"/>
      <c r="I593" s="5"/>
      <c r="J593" s="5"/>
      <c r="K593" s="5"/>
      <c r="L593" s="5"/>
      <c r="M593" s="5"/>
      <c r="N593" s="5"/>
      <c r="O593" s="5"/>
      <c r="P593" s="5"/>
      <c r="Q593" s="5"/>
      <c r="R593" s="5"/>
      <c r="S593" s="5"/>
      <c r="T593" s="5"/>
      <c r="U593" s="5"/>
      <c r="V593" s="5"/>
      <c r="W593" s="5"/>
      <c r="X593" s="5"/>
      <c r="Y593" s="5"/>
      <c r="Z593" s="5"/>
      <c r="AA593" s="5"/>
      <c r="AB593" s="5"/>
    </row>
    <row r="594" ht="15.75" customHeight="1">
      <c r="A594" s="1"/>
      <c r="B594" s="2"/>
      <c r="C594" s="5"/>
      <c r="D594" s="3"/>
      <c r="E594" s="4"/>
      <c r="F594" s="4"/>
      <c r="G594" s="5"/>
      <c r="H594" s="3"/>
      <c r="I594" s="5"/>
      <c r="J594" s="5"/>
      <c r="K594" s="5"/>
      <c r="L594" s="5"/>
      <c r="M594" s="5"/>
      <c r="N594" s="5"/>
      <c r="O594" s="5"/>
      <c r="P594" s="5"/>
      <c r="Q594" s="5"/>
      <c r="R594" s="5"/>
      <c r="S594" s="5"/>
      <c r="T594" s="5"/>
      <c r="U594" s="5"/>
      <c r="V594" s="5"/>
      <c r="W594" s="5"/>
      <c r="X594" s="5"/>
      <c r="Y594" s="5"/>
      <c r="Z594" s="5"/>
      <c r="AA594" s="5"/>
      <c r="AB594" s="5"/>
    </row>
    <row r="595" ht="15.75" customHeight="1">
      <c r="A595" s="1"/>
      <c r="B595" s="2"/>
      <c r="C595" s="5"/>
      <c r="D595" s="3"/>
      <c r="E595" s="4"/>
      <c r="F595" s="4"/>
      <c r="G595" s="5"/>
      <c r="H595" s="5"/>
      <c r="I595" s="5"/>
      <c r="J595" s="5"/>
      <c r="K595" s="5"/>
      <c r="L595" s="5"/>
      <c r="M595" s="5"/>
      <c r="N595" s="5"/>
      <c r="O595" s="5"/>
      <c r="P595" s="5"/>
      <c r="Q595" s="5"/>
      <c r="R595" s="5"/>
      <c r="S595" s="5"/>
      <c r="T595" s="5"/>
      <c r="U595" s="5"/>
      <c r="V595" s="5"/>
      <c r="W595" s="5"/>
      <c r="X595" s="5"/>
      <c r="Y595" s="5"/>
      <c r="Z595" s="5"/>
      <c r="AA595" s="5"/>
      <c r="AB595" s="5"/>
    </row>
    <row r="596" ht="15.75" customHeight="1">
      <c r="A596" s="1"/>
      <c r="B596" s="2"/>
      <c r="C596" s="5"/>
      <c r="D596" s="3"/>
      <c r="E596" s="4"/>
      <c r="F596" s="4"/>
      <c r="G596" s="5"/>
      <c r="H596" s="3"/>
      <c r="I596" s="5"/>
      <c r="J596" s="5"/>
      <c r="K596" s="5"/>
      <c r="L596" s="3"/>
      <c r="M596" s="5"/>
      <c r="N596" s="5"/>
      <c r="O596" s="5"/>
      <c r="P596" s="5"/>
      <c r="Q596" s="5"/>
      <c r="R596" s="5"/>
      <c r="S596" s="5"/>
      <c r="T596" s="5"/>
      <c r="U596" s="5"/>
      <c r="V596" s="5"/>
      <c r="W596" s="5"/>
      <c r="X596" s="5"/>
      <c r="Y596" s="5"/>
      <c r="Z596" s="5"/>
      <c r="AA596" s="5"/>
      <c r="AB596" s="5"/>
    </row>
    <row r="597" ht="15.75" customHeight="1">
      <c r="A597" s="1"/>
      <c r="B597" s="2"/>
      <c r="C597" s="5"/>
      <c r="D597" s="3"/>
      <c r="E597" s="4"/>
      <c r="F597" s="32"/>
      <c r="G597" s="5"/>
      <c r="H597" s="3"/>
      <c r="I597" s="5"/>
      <c r="J597" s="5"/>
      <c r="K597" s="5"/>
      <c r="L597" s="5"/>
      <c r="M597" s="5"/>
      <c r="N597" s="5"/>
      <c r="O597" s="5"/>
      <c r="P597" s="5"/>
      <c r="Q597" s="5"/>
      <c r="R597" s="5"/>
      <c r="S597" s="5"/>
      <c r="T597" s="5"/>
      <c r="U597" s="5"/>
      <c r="V597" s="5"/>
      <c r="W597" s="5"/>
      <c r="X597" s="5"/>
      <c r="Y597" s="5"/>
      <c r="Z597" s="5"/>
      <c r="AA597" s="5"/>
      <c r="AB597" s="5"/>
    </row>
    <row r="598" ht="15.75" customHeight="1">
      <c r="A598" s="1"/>
      <c r="B598" s="2"/>
      <c r="C598" s="5"/>
      <c r="D598" s="3"/>
      <c r="E598" s="4"/>
      <c r="F598" s="6"/>
      <c r="G598" s="3"/>
      <c r="H598" s="3"/>
      <c r="I598" s="3"/>
      <c r="J598" s="5"/>
      <c r="K598" s="5"/>
      <c r="L598" s="5"/>
      <c r="M598" s="5"/>
      <c r="N598" s="5"/>
      <c r="O598" s="5"/>
      <c r="P598" s="5"/>
      <c r="Q598" s="5"/>
      <c r="R598" s="5"/>
      <c r="S598" s="5"/>
      <c r="T598" s="5"/>
      <c r="U598" s="5"/>
      <c r="V598" s="5"/>
      <c r="W598" s="5"/>
      <c r="X598" s="5"/>
      <c r="Y598" s="5"/>
      <c r="Z598" s="5"/>
      <c r="AA598" s="5"/>
      <c r="AB598" s="5"/>
    </row>
    <row r="599" ht="15.75" customHeight="1">
      <c r="A599" s="1"/>
      <c r="B599" s="2"/>
      <c r="C599" s="5"/>
      <c r="D599" s="3"/>
      <c r="E599" s="4"/>
      <c r="F599" s="4"/>
      <c r="G599" s="3"/>
      <c r="H599" s="3"/>
      <c r="I599" s="3"/>
      <c r="J599" s="5"/>
      <c r="K599" s="5"/>
      <c r="L599" s="5"/>
      <c r="M599" s="5"/>
      <c r="N599" s="5"/>
      <c r="O599" s="5"/>
      <c r="P599" s="5"/>
      <c r="Q599" s="5"/>
      <c r="R599" s="5"/>
      <c r="S599" s="5"/>
      <c r="T599" s="5"/>
      <c r="U599" s="5"/>
      <c r="V599" s="5"/>
      <c r="W599" s="5"/>
      <c r="X599" s="5"/>
      <c r="Y599" s="5"/>
      <c r="Z599" s="5"/>
      <c r="AA599" s="5"/>
      <c r="AB599" s="5"/>
    </row>
    <row r="600" ht="15.75" customHeight="1">
      <c r="A600" s="1"/>
      <c r="B600" s="2"/>
      <c r="C600" s="5"/>
      <c r="D600" s="3"/>
      <c r="E600" s="4"/>
      <c r="F600" s="4"/>
      <c r="G600" s="5"/>
      <c r="H600" s="5"/>
      <c r="I600" s="5"/>
      <c r="J600" s="5"/>
      <c r="K600" s="5"/>
      <c r="L600" s="3"/>
      <c r="M600" s="5"/>
      <c r="N600" s="5"/>
      <c r="O600" s="5"/>
      <c r="P600" s="5"/>
      <c r="Q600" s="5"/>
      <c r="R600" s="5"/>
      <c r="S600" s="5"/>
      <c r="T600" s="5"/>
      <c r="U600" s="5"/>
      <c r="V600" s="5"/>
      <c r="W600" s="5"/>
      <c r="X600" s="5"/>
      <c r="Y600" s="5"/>
      <c r="Z600" s="5"/>
      <c r="AA600" s="5"/>
      <c r="AB600" s="5"/>
    </row>
    <row r="601" ht="15.75" customHeight="1">
      <c r="A601" s="1"/>
      <c r="B601" s="2"/>
      <c r="C601" s="5"/>
      <c r="D601" s="3"/>
      <c r="E601" s="4"/>
      <c r="F601" s="4"/>
      <c r="G601" s="3"/>
      <c r="H601" s="3"/>
      <c r="I601" s="3"/>
      <c r="J601" s="5"/>
      <c r="K601" s="5"/>
      <c r="L601" s="5"/>
      <c r="M601" s="5"/>
      <c r="N601" s="5"/>
      <c r="O601" s="5"/>
      <c r="P601" s="5"/>
      <c r="Q601" s="5"/>
      <c r="R601" s="5"/>
      <c r="S601" s="5"/>
      <c r="T601" s="5"/>
      <c r="U601" s="5"/>
      <c r="V601" s="5"/>
      <c r="W601" s="5"/>
      <c r="X601" s="5"/>
      <c r="Y601" s="5"/>
      <c r="Z601" s="5"/>
      <c r="AA601" s="5"/>
      <c r="AB601" s="5"/>
    </row>
    <row r="602" ht="15.75" customHeight="1">
      <c r="A602" s="1"/>
      <c r="B602" s="2"/>
      <c r="C602" s="5"/>
      <c r="D602" s="3"/>
      <c r="E602" s="4"/>
      <c r="F602" s="4"/>
      <c r="G602" s="5"/>
      <c r="H602" s="5"/>
      <c r="I602" s="5"/>
      <c r="J602" s="5"/>
      <c r="K602" s="5"/>
      <c r="L602" s="5"/>
      <c r="M602" s="5"/>
      <c r="N602" s="5"/>
      <c r="O602" s="5"/>
      <c r="P602" s="5"/>
      <c r="Q602" s="5"/>
      <c r="R602" s="5"/>
      <c r="S602" s="5"/>
      <c r="T602" s="5"/>
      <c r="U602" s="5"/>
      <c r="V602" s="5"/>
      <c r="W602" s="5"/>
      <c r="X602" s="5"/>
      <c r="Y602" s="5"/>
      <c r="Z602" s="5"/>
      <c r="AA602" s="5"/>
      <c r="AB602" s="5"/>
    </row>
    <row r="603" ht="15.75" customHeight="1">
      <c r="A603" s="1"/>
      <c r="B603" s="2"/>
      <c r="C603" s="5"/>
      <c r="D603" s="3"/>
      <c r="E603" s="4"/>
      <c r="F603" s="4"/>
      <c r="G603" s="3"/>
      <c r="H603" s="3"/>
      <c r="I603" s="5"/>
      <c r="J603" s="5"/>
      <c r="K603" s="5"/>
      <c r="L603" s="3"/>
      <c r="M603" s="5"/>
      <c r="N603" s="5"/>
      <c r="O603" s="5"/>
      <c r="P603" s="5"/>
      <c r="Q603" s="5"/>
      <c r="R603" s="5"/>
      <c r="S603" s="5"/>
      <c r="T603" s="5"/>
      <c r="U603" s="5"/>
      <c r="V603" s="5"/>
      <c r="W603" s="5"/>
      <c r="X603" s="5"/>
      <c r="Y603" s="5"/>
      <c r="Z603" s="5"/>
      <c r="AA603" s="5"/>
      <c r="AB603" s="5"/>
    </row>
    <row r="604" ht="15.75" customHeight="1">
      <c r="A604" s="1"/>
      <c r="B604" s="2"/>
      <c r="C604" s="5"/>
      <c r="D604" s="3"/>
      <c r="E604" s="4"/>
      <c r="F604" s="4"/>
      <c r="G604" s="5"/>
      <c r="H604" s="3"/>
      <c r="I604" s="5"/>
      <c r="J604" s="5"/>
      <c r="K604" s="5"/>
      <c r="L604" s="5"/>
      <c r="M604" s="5"/>
      <c r="N604" s="5"/>
      <c r="O604" s="5"/>
      <c r="P604" s="5"/>
      <c r="Q604" s="5"/>
      <c r="R604" s="5"/>
      <c r="S604" s="5"/>
      <c r="T604" s="5"/>
      <c r="U604" s="5"/>
      <c r="V604" s="5"/>
      <c r="W604" s="5"/>
      <c r="X604" s="5"/>
      <c r="Y604" s="5"/>
      <c r="Z604" s="5"/>
      <c r="AA604" s="5"/>
      <c r="AB604" s="5"/>
    </row>
    <row r="605" ht="15.75" customHeight="1">
      <c r="A605" s="1"/>
      <c r="B605" s="2"/>
      <c r="C605" s="5"/>
      <c r="D605" s="3"/>
      <c r="E605" s="4"/>
      <c r="F605" s="4"/>
      <c r="G605" s="5"/>
      <c r="H605" s="5"/>
      <c r="I605" s="5"/>
      <c r="J605" s="5"/>
      <c r="K605" s="5"/>
      <c r="L605" s="5"/>
      <c r="M605" s="5"/>
      <c r="N605" s="5"/>
      <c r="O605" s="5"/>
      <c r="P605" s="5"/>
      <c r="Q605" s="5"/>
      <c r="R605" s="5"/>
      <c r="S605" s="5"/>
      <c r="T605" s="5"/>
      <c r="U605" s="5"/>
      <c r="V605" s="5"/>
      <c r="W605" s="5"/>
      <c r="X605" s="5"/>
      <c r="Y605" s="5"/>
      <c r="Z605" s="5"/>
      <c r="AA605" s="5"/>
      <c r="AB605" s="5"/>
    </row>
    <row r="606" ht="15.75" customHeight="1">
      <c r="A606" s="1"/>
      <c r="B606" s="2"/>
      <c r="C606" s="5"/>
      <c r="D606" s="3"/>
      <c r="E606" s="4"/>
      <c r="F606" s="4"/>
      <c r="G606" s="5"/>
      <c r="H606" s="5"/>
      <c r="I606" s="5"/>
      <c r="J606" s="5"/>
      <c r="K606" s="5"/>
      <c r="L606" s="5"/>
      <c r="M606" s="5"/>
      <c r="N606" s="5"/>
      <c r="O606" s="5"/>
      <c r="P606" s="5"/>
      <c r="Q606" s="5"/>
      <c r="R606" s="5"/>
      <c r="S606" s="5"/>
      <c r="T606" s="5"/>
      <c r="U606" s="5"/>
      <c r="V606" s="5"/>
      <c r="W606" s="5"/>
      <c r="X606" s="5"/>
      <c r="Y606" s="5"/>
      <c r="Z606" s="5"/>
      <c r="AA606" s="5"/>
      <c r="AB606" s="5"/>
    </row>
    <row r="607" ht="15.75" customHeight="1">
      <c r="A607" s="1"/>
      <c r="B607" s="2"/>
      <c r="C607" s="5"/>
      <c r="D607" s="3"/>
      <c r="E607" s="4"/>
      <c r="F607" s="4"/>
      <c r="G607" s="5"/>
      <c r="H607" s="5"/>
      <c r="I607" s="5"/>
      <c r="J607" s="5"/>
      <c r="K607" s="5"/>
      <c r="L607" s="5"/>
      <c r="M607" s="5"/>
      <c r="N607" s="5"/>
      <c r="O607" s="5"/>
      <c r="P607" s="5"/>
      <c r="Q607" s="5"/>
      <c r="R607" s="5"/>
      <c r="S607" s="5"/>
      <c r="T607" s="5"/>
      <c r="U607" s="5"/>
      <c r="V607" s="5"/>
      <c r="W607" s="5"/>
      <c r="X607" s="5"/>
      <c r="Y607" s="5"/>
      <c r="Z607" s="5"/>
      <c r="AA607" s="5"/>
      <c r="AB607" s="5"/>
    </row>
    <row r="608" ht="15.75" customHeight="1">
      <c r="A608" s="1"/>
      <c r="B608" s="2"/>
      <c r="C608" s="30"/>
      <c r="D608" s="3"/>
      <c r="E608" s="4"/>
      <c r="F608" s="4"/>
      <c r="G608" s="5"/>
      <c r="H608" s="5"/>
      <c r="I608" s="3"/>
      <c r="J608" s="5"/>
      <c r="K608" s="5"/>
      <c r="L608" s="5"/>
      <c r="M608" s="5"/>
      <c r="N608" s="5"/>
      <c r="O608" s="5"/>
      <c r="P608" s="5"/>
      <c r="Q608" s="5"/>
      <c r="R608" s="5"/>
      <c r="S608" s="5"/>
      <c r="T608" s="5"/>
      <c r="U608" s="5"/>
      <c r="V608" s="5"/>
      <c r="W608" s="5"/>
      <c r="X608" s="5"/>
      <c r="Y608" s="5"/>
      <c r="Z608" s="5"/>
      <c r="AA608" s="5"/>
      <c r="AB608" s="5"/>
    </row>
    <row r="609" ht="15.75" customHeight="1">
      <c r="A609" s="1"/>
      <c r="B609" s="2"/>
      <c r="C609" s="5"/>
      <c r="D609" s="3"/>
      <c r="E609" s="4"/>
      <c r="F609" s="4"/>
      <c r="G609" s="5"/>
      <c r="H609" s="5"/>
      <c r="I609" s="3"/>
      <c r="J609" s="5"/>
      <c r="K609" s="5"/>
      <c r="L609" s="5"/>
      <c r="M609" s="5"/>
      <c r="N609" s="5"/>
      <c r="O609" s="5"/>
      <c r="P609" s="5"/>
      <c r="Q609" s="5"/>
      <c r="R609" s="5"/>
      <c r="S609" s="5"/>
      <c r="T609" s="5"/>
      <c r="U609" s="5"/>
      <c r="V609" s="5"/>
      <c r="W609" s="5"/>
      <c r="X609" s="5"/>
      <c r="Y609" s="5"/>
      <c r="Z609" s="5"/>
      <c r="AA609" s="5"/>
      <c r="AB609" s="5"/>
    </row>
    <row r="610" ht="15.75" customHeight="1">
      <c r="A610" s="1"/>
      <c r="B610" s="2"/>
      <c r="C610" s="5"/>
      <c r="D610" s="3"/>
      <c r="E610" s="4"/>
      <c r="F610" s="4"/>
      <c r="G610" s="5"/>
      <c r="H610" s="5"/>
      <c r="I610" s="3"/>
      <c r="J610" s="5"/>
      <c r="K610" s="5"/>
      <c r="L610" s="5"/>
      <c r="M610" s="5"/>
      <c r="N610" s="5"/>
      <c r="O610" s="5"/>
      <c r="P610" s="5"/>
      <c r="Q610" s="5"/>
      <c r="R610" s="5"/>
      <c r="S610" s="5"/>
      <c r="T610" s="5"/>
      <c r="U610" s="5"/>
      <c r="V610" s="5"/>
      <c r="W610" s="5"/>
      <c r="X610" s="5"/>
      <c r="Y610" s="5"/>
      <c r="Z610" s="5"/>
      <c r="AA610" s="5"/>
      <c r="AB610" s="5"/>
    </row>
    <row r="611" ht="15.75" customHeight="1">
      <c r="A611" s="1"/>
      <c r="B611" s="2"/>
      <c r="C611" s="5"/>
      <c r="D611" s="3"/>
      <c r="E611" s="4"/>
      <c r="F611" s="4"/>
      <c r="G611" s="5"/>
      <c r="H611" s="5"/>
      <c r="I611" s="3"/>
      <c r="J611" s="5"/>
      <c r="K611" s="5"/>
      <c r="L611" s="5"/>
      <c r="M611" s="5"/>
      <c r="N611" s="5"/>
      <c r="O611" s="5"/>
      <c r="P611" s="5"/>
      <c r="Q611" s="5"/>
      <c r="R611" s="5"/>
      <c r="S611" s="5"/>
      <c r="T611" s="5"/>
      <c r="U611" s="5"/>
      <c r="V611" s="5"/>
      <c r="W611" s="5"/>
      <c r="X611" s="5"/>
      <c r="Y611" s="5"/>
      <c r="Z611" s="5"/>
      <c r="AA611" s="5"/>
      <c r="AB611" s="5"/>
    </row>
    <row r="612" ht="15.75" customHeight="1">
      <c r="A612" s="1"/>
      <c r="B612" s="2"/>
      <c r="C612" s="5"/>
      <c r="D612" s="3"/>
      <c r="E612" s="4"/>
      <c r="F612" s="4"/>
      <c r="G612" s="5"/>
      <c r="H612" s="3"/>
      <c r="I612" s="3"/>
      <c r="J612" s="5"/>
      <c r="K612" s="5"/>
      <c r="L612" s="5"/>
      <c r="M612" s="5"/>
      <c r="N612" s="5"/>
      <c r="O612" s="5"/>
      <c r="P612" s="5"/>
      <c r="Q612" s="5"/>
      <c r="R612" s="5"/>
      <c r="S612" s="5"/>
      <c r="T612" s="5"/>
      <c r="U612" s="5"/>
      <c r="V612" s="5"/>
      <c r="W612" s="5"/>
      <c r="X612" s="5"/>
      <c r="Y612" s="5"/>
      <c r="Z612" s="5"/>
      <c r="AA612" s="5"/>
      <c r="AB612" s="5"/>
    </row>
    <row r="613" ht="15.75" customHeight="1">
      <c r="A613" s="1"/>
      <c r="B613" s="2"/>
      <c r="C613" s="5"/>
      <c r="D613" s="3"/>
      <c r="E613" s="4"/>
      <c r="F613" s="4"/>
      <c r="G613" s="5"/>
      <c r="H613" s="5"/>
      <c r="I613" s="3"/>
      <c r="J613" s="5"/>
      <c r="K613" s="5"/>
      <c r="L613" s="5"/>
      <c r="M613" s="5"/>
      <c r="N613" s="5"/>
      <c r="O613" s="5"/>
      <c r="P613" s="5"/>
      <c r="Q613" s="5"/>
      <c r="R613" s="5"/>
      <c r="S613" s="5"/>
      <c r="T613" s="5"/>
      <c r="U613" s="5"/>
      <c r="V613" s="5"/>
      <c r="W613" s="5"/>
      <c r="X613" s="5"/>
      <c r="Y613" s="5"/>
      <c r="Z613" s="5"/>
      <c r="AA613" s="5"/>
      <c r="AB613" s="5"/>
    </row>
    <row r="614" ht="15.75" customHeight="1">
      <c r="A614" s="1"/>
      <c r="B614" s="2"/>
      <c r="C614" s="5"/>
      <c r="D614" s="3"/>
      <c r="E614" s="4"/>
      <c r="F614" s="4"/>
      <c r="G614" s="3"/>
      <c r="H614" s="3"/>
      <c r="I614" s="5"/>
      <c r="J614" s="5"/>
      <c r="K614" s="5"/>
      <c r="L614" s="5"/>
      <c r="M614" s="5"/>
      <c r="N614" s="5"/>
      <c r="O614" s="5"/>
      <c r="P614" s="5"/>
      <c r="Q614" s="5"/>
      <c r="R614" s="5"/>
      <c r="S614" s="5"/>
      <c r="T614" s="5"/>
      <c r="U614" s="5"/>
      <c r="V614" s="5"/>
      <c r="W614" s="5"/>
      <c r="X614" s="5"/>
      <c r="Y614" s="5"/>
      <c r="Z614" s="5"/>
      <c r="AA614" s="5"/>
      <c r="AB614" s="5"/>
    </row>
    <row r="615" ht="15.75" customHeight="1">
      <c r="A615" s="1"/>
      <c r="B615" s="2"/>
      <c r="C615" s="5"/>
      <c r="D615" s="3"/>
      <c r="E615" s="4"/>
      <c r="F615" s="4"/>
      <c r="G615" s="3"/>
      <c r="H615" s="3"/>
      <c r="I615" s="5"/>
      <c r="J615" s="5"/>
      <c r="K615" s="5"/>
      <c r="L615" s="5"/>
      <c r="M615" s="5"/>
      <c r="N615" s="5"/>
      <c r="O615" s="5"/>
      <c r="P615" s="5"/>
      <c r="Q615" s="5"/>
      <c r="R615" s="5"/>
      <c r="S615" s="5"/>
      <c r="T615" s="5"/>
      <c r="U615" s="5"/>
      <c r="V615" s="5"/>
      <c r="W615" s="5"/>
      <c r="X615" s="5"/>
      <c r="Y615" s="5"/>
      <c r="Z615" s="5"/>
      <c r="AA615" s="5"/>
      <c r="AB615" s="5"/>
    </row>
    <row r="616" ht="15.75" customHeight="1">
      <c r="A616" s="1"/>
      <c r="B616" s="2"/>
      <c r="C616" s="5"/>
      <c r="D616" s="3"/>
      <c r="E616" s="4"/>
      <c r="F616" s="4"/>
      <c r="J616" s="5"/>
      <c r="K616" s="5"/>
      <c r="L616" s="5"/>
      <c r="M616" s="5"/>
      <c r="N616" s="5"/>
      <c r="O616" s="5"/>
      <c r="P616" s="5"/>
      <c r="Q616" s="5"/>
      <c r="R616" s="5"/>
      <c r="S616" s="5"/>
      <c r="T616" s="5"/>
      <c r="U616" s="5"/>
      <c r="V616" s="5"/>
      <c r="W616" s="5"/>
      <c r="X616" s="5"/>
      <c r="Y616" s="5"/>
      <c r="Z616" s="5"/>
      <c r="AA616" s="5"/>
      <c r="AB616" s="5"/>
    </row>
    <row r="617" ht="15.75" customHeight="1">
      <c r="A617" s="1"/>
      <c r="B617" s="2"/>
      <c r="C617" s="5"/>
      <c r="D617" s="3"/>
      <c r="E617" s="4"/>
      <c r="F617" s="4"/>
      <c r="G617" s="3"/>
      <c r="H617" s="3"/>
      <c r="I617" s="3"/>
      <c r="J617" s="5"/>
      <c r="K617" s="5"/>
      <c r="L617" s="5"/>
      <c r="M617" s="5"/>
      <c r="N617" s="5"/>
      <c r="O617" s="5"/>
      <c r="P617" s="5"/>
      <c r="Q617" s="5"/>
      <c r="R617" s="5"/>
      <c r="S617" s="5"/>
      <c r="T617" s="5"/>
      <c r="U617" s="5"/>
      <c r="V617" s="5"/>
      <c r="W617" s="5"/>
      <c r="X617" s="5"/>
      <c r="Y617" s="5"/>
      <c r="Z617" s="5"/>
      <c r="AA617" s="5"/>
      <c r="AB617" s="5"/>
    </row>
    <row r="618" ht="15.75" customHeight="1">
      <c r="A618" s="1"/>
      <c r="B618" s="2"/>
      <c r="C618" s="5"/>
      <c r="D618" s="3"/>
      <c r="E618" s="4"/>
      <c r="F618" s="4"/>
      <c r="G618" s="5"/>
      <c r="H618" s="5"/>
      <c r="I618" s="3"/>
      <c r="J618" s="5"/>
      <c r="K618" s="5"/>
      <c r="L618" s="5"/>
      <c r="M618" s="5"/>
      <c r="N618" s="5"/>
      <c r="O618" s="5"/>
      <c r="P618" s="5"/>
      <c r="Q618" s="5"/>
      <c r="R618" s="5"/>
      <c r="S618" s="5"/>
      <c r="T618" s="5"/>
      <c r="U618" s="5"/>
      <c r="V618" s="5"/>
      <c r="W618" s="5"/>
      <c r="X618" s="5"/>
      <c r="Y618" s="5"/>
      <c r="Z618" s="5"/>
      <c r="AA618" s="5"/>
      <c r="AB618" s="5"/>
    </row>
    <row r="619" ht="15.75" customHeight="1">
      <c r="A619" s="1"/>
      <c r="B619" s="2"/>
      <c r="C619" s="5"/>
      <c r="D619" s="3"/>
      <c r="E619" s="6"/>
      <c r="F619" s="6"/>
      <c r="G619" s="5"/>
      <c r="H619" s="5"/>
      <c r="I619" s="3"/>
      <c r="J619" s="5"/>
      <c r="K619" s="5"/>
      <c r="L619" s="5"/>
      <c r="M619" s="5"/>
      <c r="N619" s="5"/>
      <c r="O619" s="5"/>
      <c r="P619" s="5"/>
      <c r="Q619" s="5"/>
      <c r="R619" s="5"/>
      <c r="S619" s="5"/>
      <c r="T619" s="5"/>
      <c r="U619" s="5"/>
      <c r="V619" s="5"/>
      <c r="W619" s="5"/>
      <c r="X619" s="5"/>
      <c r="Y619" s="5"/>
      <c r="Z619" s="5"/>
      <c r="AA619" s="5"/>
      <c r="AB619" s="5"/>
    </row>
    <row r="620" ht="15.75" customHeight="1">
      <c r="A620" s="1"/>
      <c r="B620" s="2"/>
      <c r="C620" s="5"/>
      <c r="D620" s="3"/>
      <c r="E620" s="4"/>
      <c r="F620" s="4"/>
      <c r="J620" s="5"/>
      <c r="K620" s="5"/>
      <c r="L620" s="5"/>
      <c r="M620" s="5"/>
      <c r="N620" s="5"/>
      <c r="O620" s="5"/>
      <c r="P620" s="5"/>
      <c r="Q620" s="5"/>
      <c r="R620" s="5"/>
      <c r="S620" s="5"/>
      <c r="T620" s="5"/>
      <c r="U620" s="5"/>
      <c r="V620" s="5"/>
      <c r="W620" s="5"/>
      <c r="X620" s="5"/>
      <c r="Y620" s="5"/>
      <c r="Z620" s="5"/>
      <c r="AA620" s="5"/>
      <c r="AB620" s="5"/>
    </row>
    <row r="621" ht="15.75" customHeight="1">
      <c r="A621" s="1"/>
      <c r="B621" s="2"/>
      <c r="C621" s="5"/>
      <c r="D621" s="3"/>
      <c r="E621" s="6"/>
      <c r="F621" s="6"/>
      <c r="G621" s="5"/>
      <c r="H621" s="5"/>
      <c r="I621" s="3"/>
      <c r="J621" s="5"/>
      <c r="K621" s="5"/>
      <c r="L621" s="5"/>
      <c r="M621" s="5"/>
      <c r="N621" s="5"/>
      <c r="O621" s="5"/>
      <c r="P621" s="5"/>
      <c r="Q621" s="5"/>
      <c r="R621" s="5"/>
      <c r="S621" s="5"/>
      <c r="T621" s="5"/>
      <c r="U621" s="5"/>
      <c r="V621" s="5"/>
      <c r="W621" s="5"/>
      <c r="X621" s="5"/>
      <c r="Y621" s="5"/>
      <c r="Z621" s="5"/>
      <c r="AA621" s="5"/>
      <c r="AB621" s="5"/>
    </row>
    <row r="622" ht="15.75" customHeight="1">
      <c r="A622" s="1"/>
      <c r="B622" s="2"/>
      <c r="C622" s="5"/>
      <c r="D622" s="3"/>
      <c r="E622" s="6"/>
      <c r="F622" s="6"/>
      <c r="G622" s="5"/>
      <c r="H622" s="5"/>
      <c r="I622" s="3"/>
      <c r="J622" s="5"/>
      <c r="K622" s="5"/>
      <c r="L622" s="5"/>
      <c r="M622" s="5"/>
      <c r="N622" s="5"/>
      <c r="O622" s="5"/>
      <c r="P622" s="5"/>
      <c r="Q622" s="5"/>
      <c r="R622" s="5"/>
      <c r="S622" s="5"/>
      <c r="T622" s="5"/>
      <c r="U622" s="5"/>
      <c r="V622" s="5"/>
      <c r="W622" s="5"/>
      <c r="X622" s="5"/>
      <c r="Y622" s="5"/>
      <c r="Z622" s="5"/>
      <c r="AA622" s="5"/>
      <c r="AB622" s="5"/>
    </row>
    <row r="623" ht="15.75" customHeight="1">
      <c r="A623" s="1"/>
      <c r="B623" s="2"/>
      <c r="C623" s="5"/>
      <c r="D623" s="3"/>
      <c r="E623" s="6"/>
      <c r="F623" s="6"/>
      <c r="G623" s="5"/>
      <c r="H623" s="5"/>
      <c r="I623" s="3"/>
      <c r="J623" s="5"/>
      <c r="K623" s="5"/>
      <c r="L623" s="5"/>
      <c r="M623" s="5"/>
      <c r="N623" s="5"/>
      <c r="O623" s="5"/>
      <c r="P623" s="5"/>
      <c r="Q623" s="5"/>
      <c r="R623" s="5"/>
      <c r="S623" s="5"/>
      <c r="T623" s="5"/>
      <c r="U623" s="5"/>
      <c r="V623" s="5"/>
      <c r="W623" s="5"/>
      <c r="X623" s="5"/>
      <c r="Y623" s="5"/>
      <c r="Z623" s="5"/>
      <c r="AA623" s="5"/>
      <c r="AB623" s="5"/>
    </row>
    <row r="624" ht="15.75" customHeight="1">
      <c r="A624" s="1"/>
      <c r="B624" s="2"/>
      <c r="C624" s="5"/>
      <c r="E624" s="6"/>
      <c r="F624" s="6"/>
      <c r="G624" s="5"/>
      <c r="H624" s="5"/>
      <c r="I624" s="3"/>
      <c r="J624" s="5"/>
      <c r="K624" s="5"/>
      <c r="L624" s="5"/>
      <c r="M624" s="5"/>
      <c r="N624" s="5"/>
      <c r="O624" s="5"/>
      <c r="P624" s="5"/>
      <c r="Q624" s="5"/>
      <c r="R624" s="5"/>
      <c r="S624" s="5"/>
      <c r="T624" s="5"/>
      <c r="U624" s="5"/>
      <c r="V624" s="5"/>
      <c r="W624" s="5"/>
      <c r="X624" s="5"/>
      <c r="Y624" s="5"/>
      <c r="Z624" s="5"/>
      <c r="AA624" s="5"/>
      <c r="AB624" s="5"/>
    </row>
    <row r="625" ht="15.75" customHeight="1">
      <c r="A625" s="1"/>
      <c r="B625" s="2"/>
      <c r="C625" s="5"/>
      <c r="E625" s="31"/>
      <c r="F625" s="31"/>
      <c r="G625" s="5"/>
      <c r="H625" s="3"/>
      <c r="I625" s="3"/>
      <c r="J625" s="5"/>
      <c r="K625" s="5"/>
      <c r="L625" s="5"/>
      <c r="M625" s="5"/>
      <c r="N625" s="5"/>
      <c r="O625" s="5"/>
      <c r="P625" s="5"/>
      <c r="Q625" s="5"/>
      <c r="R625" s="5"/>
      <c r="S625" s="5"/>
      <c r="T625" s="5"/>
      <c r="U625" s="5"/>
      <c r="V625" s="5"/>
      <c r="W625" s="5"/>
      <c r="X625" s="5"/>
      <c r="Y625" s="5"/>
      <c r="Z625" s="5"/>
      <c r="AA625" s="5"/>
      <c r="AB625" s="5"/>
    </row>
    <row r="626" ht="15.75" customHeight="1">
      <c r="A626" s="1"/>
      <c r="B626" s="2"/>
      <c r="C626" s="30"/>
      <c r="E626" s="31"/>
      <c r="F626" s="31"/>
      <c r="G626" s="5"/>
      <c r="H626" s="5"/>
      <c r="J626" s="5"/>
      <c r="K626" s="5"/>
      <c r="L626" s="5"/>
      <c r="M626" s="5"/>
      <c r="N626" s="5"/>
      <c r="O626" s="5"/>
      <c r="P626" s="5"/>
      <c r="Q626" s="5"/>
      <c r="R626" s="5"/>
      <c r="S626" s="5"/>
      <c r="T626" s="5"/>
      <c r="U626" s="5"/>
      <c r="V626" s="5"/>
      <c r="W626" s="5"/>
      <c r="X626" s="5"/>
      <c r="Y626" s="5"/>
      <c r="Z626" s="5"/>
      <c r="AA626" s="5"/>
      <c r="AB626" s="5"/>
    </row>
    <row r="627" ht="15.75" customHeight="1">
      <c r="A627" s="1"/>
      <c r="B627" s="2"/>
      <c r="C627" s="5"/>
      <c r="E627" s="31"/>
      <c r="F627" s="31"/>
      <c r="G627" s="5"/>
      <c r="H627" s="5"/>
      <c r="J627" s="5"/>
      <c r="K627" s="5"/>
      <c r="L627" s="5"/>
      <c r="M627" s="5"/>
      <c r="N627" s="5"/>
      <c r="O627" s="5"/>
      <c r="P627" s="5"/>
      <c r="Q627" s="5"/>
      <c r="R627" s="5"/>
      <c r="S627" s="5"/>
      <c r="T627" s="5"/>
      <c r="U627" s="5"/>
      <c r="V627" s="5"/>
      <c r="W627" s="5"/>
      <c r="X627" s="5"/>
      <c r="Y627" s="5"/>
      <c r="Z627" s="5"/>
      <c r="AA627" s="5"/>
      <c r="AB627" s="5"/>
    </row>
    <row r="628" ht="15.75" customHeight="1">
      <c r="A628" s="1"/>
      <c r="B628" s="2"/>
      <c r="C628" s="5"/>
      <c r="E628" s="31"/>
      <c r="F628" s="31"/>
      <c r="G628" s="5"/>
      <c r="H628" s="5"/>
      <c r="J628" s="5"/>
      <c r="K628" s="5"/>
      <c r="L628" s="5"/>
      <c r="M628" s="5"/>
      <c r="N628" s="5"/>
      <c r="O628" s="5"/>
      <c r="P628" s="5"/>
      <c r="Q628" s="5"/>
      <c r="R628" s="5"/>
      <c r="S628" s="5"/>
      <c r="T628" s="5"/>
      <c r="U628" s="5"/>
      <c r="V628" s="5"/>
      <c r="W628" s="5"/>
      <c r="X628" s="5"/>
      <c r="Y628" s="5"/>
      <c r="Z628" s="5"/>
      <c r="AA628" s="5"/>
      <c r="AB628" s="5"/>
    </row>
    <row r="629" ht="15.75" customHeight="1">
      <c r="A629" s="1"/>
      <c r="B629" s="2"/>
      <c r="C629" s="5"/>
      <c r="D629" s="3"/>
      <c r="E629" s="31"/>
      <c r="F629" s="31"/>
      <c r="G629" s="5"/>
      <c r="H629" s="3"/>
      <c r="J629" s="5"/>
      <c r="K629" s="5"/>
      <c r="L629" s="5"/>
      <c r="M629" s="5"/>
      <c r="N629" s="5"/>
      <c r="O629" s="5"/>
      <c r="P629" s="5"/>
      <c r="Q629" s="5"/>
      <c r="R629" s="5"/>
      <c r="S629" s="5"/>
      <c r="T629" s="5"/>
      <c r="U629" s="5"/>
      <c r="V629" s="5"/>
      <c r="W629" s="5"/>
      <c r="X629" s="5"/>
      <c r="Y629" s="5"/>
      <c r="Z629" s="5"/>
      <c r="AA629" s="5"/>
      <c r="AB629" s="5"/>
    </row>
    <row r="630" ht="15.75" customHeight="1">
      <c r="A630" s="1"/>
      <c r="B630" s="2"/>
      <c r="C630" s="5"/>
      <c r="D630" s="3"/>
      <c r="E630" s="31"/>
      <c r="F630" s="31"/>
      <c r="G630" s="5"/>
      <c r="J630" s="5"/>
      <c r="K630" s="5"/>
      <c r="L630" s="5"/>
      <c r="M630" s="5"/>
      <c r="N630" s="5"/>
      <c r="O630" s="5"/>
      <c r="P630" s="5"/>
      <c r="Q630" s="5"/>
      <c r="R630" s="5"/>
      <c r="S630" s="5"/>
      <c r="T630" s="5"/>
      <c r="U630" s="5"/>
      <c r="V630" s="5"/>
      <c r="W630" s="5"/>
      <c r="X630" s="5"/>
      <c r="Y630" s="5"/>
      <c r="Z630" s="5"/>
      <c r="AA630" s="5"/>
      <c r="AB630" s="5"/>
    </row>
    <row r="631" ht="15.75" customHeight="1">
      <c r="A631" s="1"/>
      <c r="B631" s="2"/>
      <c r="C631" s="5"/>
      <c r="D631" s="3"/>
      <c r="E631" s="31"/>
      <c r="F631" s="31"/>
      <c r="G631" s="5"/>
      <c r="J631" s="5"/>
      <c r="K631" s="5"/>
      <c r="L631" s="5"/>
      <c r="M631" s="5"/>
      <c r="N631" s="5"/>
      <c r="O631" s="5"/>
      <c r="P631" s="5"/>
      <c r="Q631" s="5"/>
      <c r="R631" s="5"/>
      <c r="S631" s="5"/>
      <c r="T631" s="5"/>
      <c r="U631" s="5"/>
      <c r="V631" s="5"/>
      <c r="W631" s="5"/>
      <c r="X631" s="5"/>
      <c r="Y631" s="5"/>
      <c r="Z631" s="5"/>
      <c r="AA631" s="5"/>
      <c r="AB631" s="5"/>
    </row>
    <row r="632" ht="15.75" customHeight="1">
      <c r="A632" s="1"/>
      <c r="B632" s="2"/>
      <c r="C632" s="5"/>
      <c r="D632" s="3"/>
      <c r="E632" s="31"/>
      <c r="F632" s="31"/>
      <c r="G632" s="5"/>
      <c r="J632" s="5"/>
      <c r="K632" s="5"/>
      <c r="L632" s="5"/>
      <c r="M632" s="5"/>
      <c r="N632" s="5"/>
      <c r="O632" s="5"/>
      <c r="P632" s="5"/>
      <c r="Q632" s="5"/>
      <c r="R632" s="5"/>
      <c r="S632" s="5"/>
      <c r="T632" s="5"/>
      <c r="U632" s="5"/>
      <c r="V632" s="5"/>
      <c r="W632" s="5"/>
      <c r="X632" s="5"/>
      <c r="Y632" s="5"/>
      <c r="Z632" s="5"/>
      <c r="AA632" s="5"/>
      <c r="AB632" s="5"/>
    </row>
    <row r="633" ht="15.75" customHeight="1">
      <c r="A633" s="1"/>
      <c r="B633" s="2"/>
      <c r="C633" s="5"/>
      <c r="D633" s="3"/>
      <c r="E633" s="4"/>
      <c r="F633" s="4"/>
      <c r="G633" s="5"/>
      <c r="H633" s="3"/>
      <c r="J633" s="5"/>
      <c r="K633" s="5"/>
      <c r="L633" s="5"/>
      <c r="M633" s="5"/>
      <c r="N633" s="5"/>
      <c r="O633" s="5"/>
      <c r="P633" s="5"/>
      <c r="Q633" s="5"/>
      <c r="R633" s="5"/>
      <c r="S633" s="5"/>
      <c r="T633" s="5"/>
      <c r="U633" s="5"/>
      <c r="V633" s="5"/>
      <c r="W633" s="5"/>
      <c r="X633" s="5"/>
      <c r="Y633" s="5"/>
      <c r="Z633" s="5"/>
      <c r="AA633" s="5"/>
      <c r="AB633" s="5"/>
    </row>
    <row r="634" ht="15.75" customHeight="1">
      <c r="A634" s="1"/>
      <c r="B634" s="2"/>
      <c r="C634" s="5"/>
      <c r="D634" s="3"/>
      <c r="E634" s="4"/>
      <c r="F634" s="4"/>
      <c r="G634" s="5"/>
      <c r="H634" s="3"/>
      <c r="J634" s="5"/>
      <c r="K634" s="5"/>
      <c r="L634" s="5"/>
      <c r="M634" s="5"/>
      <c r="N634" s="5"/>
      <c r="O634" s="5"/>
      <c r="P634" s="5"/>
      <c r="Q634" s="5"/>
      <c r="R634" s="5"/>
      <c r="S634" s="5"/>
      <c r="T634" s="5"/>
      <c r="U634" s="5"/>
      <c r="V634" s="5"/>
      <c r="W634" s="5"/>
      <c r="X634" s="5"/>
      <c r="Y634" s="5"/>
      <c r="Z634" s="5"/>
      <c r="AA634" s="5"/>
      <c r="AB634" s="5"/>
    </row>
    <row r="635" ht="15.75" customHeight="1">
      <c r="A635" s="1"/>
      <c r="B635" s="2"/>
      <c r="C635" s="5"/>
      <c r="D635" s="3"/>
      <c r="E635" s="4"/>
      <c r="F635" s="4"/>
      <c r="G635" s="5"/>
      <c r="H635" s="3"/>
      <c r="J635" s="5"/>
      <c r="K635" s="5"/>
      <c r="L635" s="5"/>
      <c r="M635" s="5"/>
      <c r="N635" s="5"/>
      <c r="O635" s="5"/>
      <c r="P635" s="5"/>
      <c r="Q635" s="5"/>
      <c r="R635" s="5"/>
      <c r="S635" s="5"/>
      <c r="T635" s="5"/>
      <c r="U635" s="5"/>
      <c r="V635" s="5"/>
      <c r="W635" s="5"/>
      <c r="X635" s="5"/>
      <c r="Y635" s="5"/>
      <c r="Z635" s="5"/>
      <c r="AA635" s="5"/>
      <c r="AB635" s="5"/>
    </row>
    <row r="636" ht="15.75" customHeight="1">
      <c r="A636" s="1"/>
      <c r="B636" s="2"/>
      <c r="C636" s="5"/>
      <c r="D636" s="3"/>
      <c r="E636" s="31"/>
      <c r="F636" s="4"/>
      <c r="G636" s="5"/>
      <c r="H636" s="3"/>
      <c r="J636" s="5"/>
      <c r="K636" s="5"/>
      <c r="L636" s="5"/>
      <c r="M636" s="5"/>
      <c r="N636" s="5"/>
      <c r="O636" s="5"/>
      <c r="P636" s="5"/>
      <c r="Q636" s="5"/>
      <c r="R636" s="5"/>
      <c r="S636" s="5"/>
      <c r="T636" s="5"/>
      <c r="U636" s="5"/>
      <c r="V636" s="5"/>
      <c r="W636" s="5"/>
      <c r="X636" s="5"/>
      <c r="Y636" s="5"/>
      <c r="Z636" s="5"/>
      <c r="AA636" s="5"/>
      <c r="AB636" s="5"/>
    </row>
    <row r="637" ht="15.75" customHeight="1">
      <c r="A637" s="1"/>
      <c r="B637" s="2"/>
      <c r="C637" s="5"/>
      <c r="D637" s="3"/>
      <c r="E637" s="4"/>
      <c r="F637" s="4"/>
      <c r="G637" s="5"/>
      <c r="H637" s="3"/>
      <c r="I637" s="5"/>
      <c r="J637" s="5"/>
      <c r="K637" s="5"/>
      <c r="L637" s="5"/>
      <c r="M637" s="5"/>
      <c r="N637" s="5"/>
      <c r="O637" s="5"/>
      <c r="P637" s="5"/>
      <c r="Q637" s="5"/>
      <c r="R637" s="5"/>
      <c r="S637" s="5"/>
      <c r="T637" s="5"/>
      <c r="U637" s="5"/>
      <c r="V637" s="5"/>
      <c r="W637" s="5"/>
      <c r="X637" s="5"/>
      <c r="Y637" s="5"/>
      <c r="Z637" s="5"/>
      <c r="AA637" s="5"/>
      <c r="AB637" s="5"/>
    </row>
    <row r="638" ht="15.75" customHeight="1">
      <c r="A638" s="1"/>
      <c r="B638" s="2"/>
      <c r="C638" s="5"/>
      <c r="D638" s="3"/>
      <c r="E638" s="4"/>
      <c r="F638" s="4"/>
      <c r="G638" s="5"/>
      <c r="H638" s="3"/>
      <c r="I638" s="5"/>
      <c r="J638" s="5"/>
      <c r="K638" s="5"/>
      <c r="L638" s="5"/>
      <c r="M638" s="5"/>
      <c r="N638" s="5"/>
      <c r="O638" s="5"/>
      <c r="P638" s="5"/>
      <c r="Q638" s="5"/>
      <c r="R638" s="5"/>
      <c r="S638" s="5"/>
      <c r="T638" s="5"/>
      <c r="U638" s="5"/>
      <c r="V638" s="5"/>
      <c r="W638" s="5"/>
      <c r="X638" s="5"/>
      <c r="Y638" s="5"/>
      <c r="Z638" s="5"/>
      <c r="AA638" s="5"/>
      <c r="AB638" s="5"/>
    </row>
    <row r="639" ht="15.75" customHeight="1">
      <c r="A639" s="1"/>
      <c r="B639" s="2"/>
      <c r="C639" s="5"/>
      <c r="D639" s="3"/>
      <c r="E639" s="4"/>
      <c r="F639" s="4"/>
      <c r="G639" s="5"/>
      <c r="H639" s="3"/>
      <c r="I639" s="5"/>
      <c r="J639" s="5"/>
      <c r="K639" s="5"/>
      <c r="L639" s="5"/>
      <c r="M639" s="5"/>
      <c r="N639" s="5"/>
      <c r="O639" s="5"/>
      <c r="P639" s="5"/>
      <c r="Q639" s="5"/>
      <c r="R639" s="5"/>
      <c r="S639" s="5"/>
      <c r="T639" s="5"/>
      <c r="U639" s="5"/>
      <c r="V639" s="5"/>
      <c r="W639" s="5"/>
      <c r="X639" s="5"/>
      <c r="Y639" s="5"/>
      <c r="Z639" s="5"/>
      <c r="AA639" s="5"/>
      <c r="AB639" s="5"/>
    </row>
    <row r="640" ht="15.75" customHeight="1">
      <c r="A640" s="1"/>
      <c r="B640" s="2"/>
      <c r="C640" s="5"/>
      <c r="D640" s="3"/>
      <c r="E640" s="4"/>
      <c r="F640" s="4"/>
      <c r="G640" s="5"/>
      <c r="H640" s="3"/>
      <c r="I640" s="5"/>
      <c r="J640" s="5"/>
      <c r="K640" s="5"/>
      <c r="L640" s="5"/>
      <c r="M640" s="5"/>
      <c r="N640" s="5"/>
      <c r="O640" s="5"/>
      <c r="P640" s="5"/>
      <c r="Q640" s="5"/>
      <c r="R640" s="5"/>
      <c r="S640" s="5"/>
      <c r="T640" s="5"/>
      <c r="U640" s="5"/>
      <c r="V640" s="5"/>
      <c r="W640" s="5"/>
      <c r="X640" s="5"/>
      <c r="Y640" s="5"/>
      <c r="Z640" s="5"/>
      <c r="AA640" s="5"/>
      <c r="AB640" s="5"/>
    </row>
    <row r="641" ht="15.75" customHeight="1">
      <c r="A641" s="1"/>
      <c r="B641" s="2"/>
      <c r="C641" s="5"/>
      <c r="D641" s="3"/>
      <c r="E641" s="4"/>
      <c r="F641" s="4"/>
      <c r="G641" s="5"/>
      <c r="H641" s="3"/>
      <c r="I641" s="5"/>
      <c r="J641" s="5"/>
      <c r="K641" s="5"/>
      <c r="L641" s="5"/>
      <c r="M641" s="5"/>
      <c r="N641" s="5"/>
      <c r="O641" s="5"/>
      <c r="P641" s="5"/>
      <c r="Q641" s="5"/>
      <c r="R641" s="5"/>
      <c r="S641" s="5"/>
      <c r="T641" s="5"/>
      <c r="U641" s="5"/>
      <c r="V641" s="5"/>
      <c r="W641" s="5"/>
      <c r="X641" s="5"/>
      <c r="Y641" s="5"/>
      <c r="Z641" s="5"/>
      <c r="AA641" s="5"/>
      <c r="AB641" s="5"/>
    </row>
    <row r="642" ht="15.75" customHeight="1">
      <c r="A642" s="1"/>
      <c r="B642" s="2"/>
      <c r="C642" s="5"/>
      <c r="D642" s="3"/>
      <c r="E642" s="4"/>
      <c r="F642" s="4"/>
      <c r="G642" s="5"/>
      <c r="H642" s="3"/>
      <c r="I642" s="5"/>
      <c r="J642" s="5"/>
      <c r="K642" s="5"/>
      <c r="L642" s="5"/>
      <c r="M642" s="5"/>
      <c r="N642" s="5"/>
      <c r="O642" s="5"/>
      <c r="P642" s="5"/>
      <c r="Q642" s="5"/>
      <c r="R642" s="5"/>
      <c r="S642" s="5"/>
      <c r="T642" s="5"/>
      <c r="U642" s="5"/>
      <c r="V642" s="5"/>
      <c r="W642" s="5"/>
      <c r="X642" s="5"/>
      <c r="Y642" s="5"/>
      <c r="Z642" s="5"/>
      <c r="AA642" s="5"/>
      <c r="AB642" s="5"/>
    </row>
    <row r="643" ht="15.75" customHeight="1">
      <c r="A643" s="1"/>
      <c r="B643" s="2"/>
      <c r="C643" s="5"/>
      <c r="D643" s="3"/>
      <c r="E643" s="4"/>
      <c r="F643" s="4"/>
      <c r="G643" s="5"/>
      <c r="H643" s="3"/>
      <c r="I643" s="5"/>
      <c r="J643" s="5"/>
      <c r="K643" s="5"/>
      <c r="L643" s="5"/>
      <c r="M643" s="5"/>
      <c r="N643" s="5"/>
      <c r="O643" s="5"/>
      <c r="P643" s="5"/>
      <c r="Q643" s="5"/>
      <c r="R643" s="5"/>
      <c r="S643" s="5"/>
      <c r="T643" s="5"/>
      <c r="U643" s="5"/>
      <c r="V643" s="5"/>
      <c r="W643" s="5"/>
      <c r="X643" s="5"/>
      <c r="Y643" s="5"/>
      <c r="Z643" s="5"/>
      <c r="AA643" s="5"/>
      <c r="AB643" s="5"/>
    </row>
    <row r="644" ht="15.75" customHeight="1">
      <c r="A644" s="1"/>
      <c r="B644" s="2"/>
      <c r="C644" s="30"/>
      <c r="D644" s="3"/>
      <c r="E644" s="4"/>
      <c r="F644" s="4"/>
      <c r="G644" s="5"/>
      <c r="H644" s="3"/>
      <c r="I644" s="5"/>
      <c r="J644" s="5"/>
      <c r="K644" s="5"/>
      <c r="L644" s="5"/>
      <c r="M644" s="5"/>
      <c r="N644" s="5"/>
      <c r="O644" s="5"/>
      <c r="P644" s="5"/>
      <c r="Q644" s="5"/>
      <c r="R644" s="5"/>
      <c r="S644" s="5"/>
      <c r="T644" s="5"/>
      <c r="U644" s="5"/>
      <c r="V644" s="5"/>
      <c r="W644" s="5"/>
      <c r="X644" s="5"/>
      <c r="Y644" s="5"/>
      <c r="Z644" s="5"/>
      <c r="AA644" s="5"/>
      <c r="AB644" s="5"/>
    </row>
    <row r="645" ht="15.75" customHeight="1">
      <c r="A645" s="1"/>
      <c r="B645" s="2"/>
      <c r="C645" s="5"/>
      <c r="D645" s="3"/>
      <c r="E645" s="4"/>
      <c r="F645" s="4"/>
      <c r="G645" s="5"/>
      <c r="H645" s="3"/>
      <c r="I645" s="5"/>
      <c r="J645" s="5"/>
      <c r="K645" s="5"/>
      <c r="L645" s="5"/>
      <c r="M645" s="5"/>
      <c r="N645" s="5"/>
      <c r="O645" s="5"/>
      <c r="P645" s="5"/>
      <c r="Q645" s="5"/>
      <c r="R645" s="5"/>
      <c r="S645" s="5"/>
      <c r="T645" s="5"/>
      <c r="U645" s="5"/>
      <c r="V645" s="5"/>
      <c r="W645" s="5"/>
      <c r="X645" s="5"/>
      <c r="Y645" s="5"/>
      <c r="Z645" s="5"/>
      <c r="AA645" s="5"/>
      <c r="AB645" s="5"/>
    </row>
    <row r="646" ht="15.75" customHeight="1">
      <c r="A646" s="1"/>
      <c r="B646" s="2"/>
      <c r="C646" s="5"/>
      <c r="D646" s="3"/>
      <c r="E646" s="4"/>
      <c r="F646" s="4"/>
      <c r="G646" s="5"/>
      <c r="H646" s="3"/>
      <c r="I646" s="5"/>
      <c r="J646" s="5"/>
      <c r="K646" s="5"/>
      <c r="L646" s="5"/>
      <c r="M646" s="5"/>
      <c r="N646" s="5"/>
      <c r="O646" s="5"/>
      <c r="P646" s="5"/>
      <c r="Q646" s="5"/>
      <c r="R646" s="5"/>
      <c r="S646" s="5"/>
      <c r="T646" s="5"/>
      <c r="U646" s="5"/>
      <c r="V646" s="5"/>
      <c r="W646" s="5"/>
      <c r="X646" s="5"/>
      <c r="Y646" s="5"/>
      <c r="Z646" s="5"/>
      <c r="AA646" s="5"/>
      <c r="AB646" s="5"/>
    </row>
    <row r="647" ht="15.75" customHeight="1">
      <c r="A647" s="1"/>
      <c r="B647" s="2"/>
      <c r="C647" s="30"/>
      <c r="D647" s="3"/>
      <c r="E647" s="28"/>
      <c r="F647" s="33"/>
      <c r="G647" s="5"/>
      <c r="H647" s="3"/>
      <c r="I647" s="5"/>
      <c r="J647" s="5"/>
      <c r="K647" s="5"/>
      <c r="L647" s="5"/>
      <c r="M647" s="5"/>
      <c r="N647" s="5"/>
      <c r="O647" s="5"/>
      <c r="P647" s="5"/>
      <c r="Q647" s="5"/>
      <c r="R647" s="5"/>
      <c r="S647" s="5"/>
      <c r="T647" s="5"/>
      <c r="U647" s="5"/>
      <c r="V647" s="5"/>
      <c r="W647" s="5"/>
      <c r="X647" s="5"/>
      <c r="Y647" s="5"/>
      <c r="Z647" s="5"/>
      <c r="AA647" s="5"/>
      <c r="AB647" s="5"/>
    </row>
    <row r="648" ht="15.75" customHeight="1">
      <c r="A648" s="1"/>
      <c r="B648" s="2"/>
      <c r="C648" s="5"/>
      <c r="D648" s="3"/>
      <c r="E648" s="6"/>
      <c r="F648" s="6"/>
      <c r="G648" s="5"/>
      <c r="H648" s="3"/>
      <c r="I648" s="5"/>
      <c r="J648" s="5"/>
      <c r="K648" s="5"/>
      <c r="L648" s="5"/>
      <c r="M648" s="5"/>
      <c r="N648" s="5"/>
      <c r="O648" s="5"/>
      <c r="P648" s="5"/>
      <c r="Q648" s="5"/>
      <c r="R648" s="5"/>
      <c r="S648" s="5"/>
      <c r="T648" s="5"/>
      <c r="U648" s="5"/>
      <c r="V648" s="5"/>
      <c r="W648" s="5"/>
      <c r="X648" s="5"/>
      <c r="Y648" s="5"/>
      <c r="Z648" s="5"/>
      <c r="AA648" s="5"/>
      <c r="AB648" s="5"/>
    </row>
    <row r="649" ht="15.75" customHeight="1">
      <c r="A649" s="2"/>
      <c r="B649" s="2"/>
      <c r="C649" s="30"/>
      <c r="D649" s="3"/>
      <c r="E649" s="4"/>
      <c r="F649" s="4"/>
      <c r="G649" s="5"/>
      <c r="H649" s="3"/>
      <c r="I649" s="3"/>
      <c r="J649" s="5"/>
      <c r="K649" s="5"/>
      <c r="L649" s="5"/>
      <c r="M649" s="5"/>
      <c r="N649" s="5"/>
      <c r="O649" s="5"/>
      <c r="P649" s="5"/>
      <c r="Q649" s="5"/>
      <c r="R649" s="5"/>
      <c r="S649" s="5"/>
      <c r="T649" s="5"/>
      <c r="U649" s="5"/>
      <c r="V649" s="5"/>
      <c r="W649" s="5"/>
      <c r="X649" s="5"/>
      <c r="Y649" s="5"/>
      <c r="Z649" s="5"/>
      <c r="AA649" s="5"/>
      <c r="AB649" s="5"/>
    </row>
    <row r="650" ht="15.75" customHeight="1">
      <c r="A650" s="2"/>
      <c r="B650" s="2"/>
      <c r="C650" s="5"/>
      <c r="D650" s="3"/>
      <c r="E650" s="4"/>
      <c r="F650" s="4"/>
      <c r="G650" s="5"/>
      <c r="H650" s="3"/>
      <c r="I650" s="3"/>
      <c r="J650" s="5"/>
      <c r="K650" s="5"/>
      <c r="L650" s="5"/>
      <c r="M650" s="5"/>
      <c r="N650" s="5"/>
      <c r="O650" s="5"/>
      <c r="P650" s="5"/>
      <c r="Q650" s="5"/>
      <c r="R650" s="5"/>
      <c r="S650" s="5"/>
      <c r="T650" s="5"/>
      <c r="U650" s="5"/>
      <c r="V650" s="5"/>
      <c r="W650" s="5"/>
      <c r="X650" s="5"/>
      <c r="Y650" s="5"/>
      <c r="Z650" s="5"/>
      <c r="AA650" s="5"/>
      <c r="AB650" s="5"/>
    </row>
    <row r="651" ht="15.75" customHeight="1">
      <c r="A651" s="2"/>
      <c r="B651" s="2"/>
      <c r="C651" s="5"/>
      <c r="D651" s="3"/>
      <c r="E651" s="4"/>
      <c r="F651" s="4"/>
      <c r="G651" s="5"/>
      <c r="H651" s="3"/>
      <c r="I651" s="3"/>
      <c r="J651" s="5"/>
      <c r="K651" s="5"/>
      <c r="L651" s="5"/>
      <c r="M651" s="5"/>
      <c r="N651" s="5"/>
      <c r="O651" s="5"/>
      <c r="P651" s="5"/>
      <c r="Q651" s="5"/>
      <c r="R651" s="5"/>
      <c r="S651" s="5"/>
      <c r="T651" s="5"/>
      <c r="U651" s="5"/>
      <c r="V651" s="5"/>
      <c r="W651" s="5"/>
      <c r="X651" s="5"/>
      <c r="Y651" s="5"/>
      <c r="Z651" s="5"/>
      <c r="AA651" s="5"/>
      <c r="AB651" s="5"/>
    </row>
    <row r="652" ht="15.75" customHeight="1">
      <c r="A652" s="2"/>
      <c r="B652" s="2"/>
      <c r="C652" s="5"/>
      <c r="D652" s="3"/>
      <c r="E652" s="4"/>
      <c r="F652" s="4"/>
      <c r="G652" s="5"/>
      <c r="H652" s="5"/>
      <c r="I652" s="3"/>
      <c r="J652" s="5"/>
      <c r="K652" s="5"/>
      <c r="L652" s="5"/>
      <c r="M652" s="5"/>
      <c r="N652" s="5"/>
      <c r="O652" s="5"/>
      <c r="P652" s="5"/>
      <c r="Q652" s="5"/>
      <c r="R652" s="5"/>
      <c r="S652" s="5"/>
      <c r="T652" s="5"/>
      <c r="U652" s="5"/>
      <c r="V652" s="5"/>
      <c r="W652" s="5"/>
      <c r="X652" s="5"/>
      <c r="Y652" s="5"/>
      <c r="Z652" s="5"/>
      <c r="AA652" s="5"/>
      <c r="AB652" s="5"/>
    </row>
    <row r="653" ht="15.75" customHeight="1">
      <c r="A653" s="2"/>
      <c r="B653" s="2"/>
      <c r="C653" s="5"/>
      <c r="D653" s="3"/>
      <c r="E653" s="4"/>
      <c r="F653" s="4"/>
      <c r="G653" s="5"/>
      <c r="H653" s="5"/>
      <c r="I653" s="3"/>
      <c r="J653" s="5"/>
      <c r="K653" s="5"/>
      <c r="L653" s="5"/>
      <c r="M653" s="5"/>
      <c r="N653" s="5"/>
      <c r="O653" s="5"/>
      <c r="P653" s="5"/>
      <c r="Q653" s="5"/>
      <c r="R653" s="5"/>
      <c r="S653" s="5"/>
      <c r="T653" s="5"/>
      <c r="U653" s="5"/>
      <c r="V653" s="5"/>
      <c r="W653" s="5"/>
      <c r="X653" s="5"/>
      <c r="Y653" s="5"/>
      <c r="Z653" s="5"/>
      <c r="AA653" s="5"/>
      <c r="AB653" s="5"/>
    </row>
    <row r="654" ht="15.75" customHeight="1">
      <c r="A654" s="2"/>
      <c r="B654" s="2"/>
      <c r="C654" s="5"/>
      <c r="D654" s="3"/>
      <c r="E654" s="4"/>
      <c r="F654" s="4"/>
      <c r="G654" s="5"/>
      <c r="H654" s="5"/>
      <c r="I654" s="3"/>
      <c r="J654" s="5"/>
      <c r="K654" s="5"/>
      <c r="L654" s="5"/>
      <c r="M654" s="5"/>
      <c r="N654" s="5"/>
      <c r="O654" s="5"/>
      <c r="P654" s="5"/>
      <c r="Q654" s="5"/>
      <c r="R654" s="5"/>
      <c r="S654" s="5"/>
      <c r="T654" s="5"/>
      <c r="U654" s="5"/>
      <c r="V654" s="5"/>
      <c r="W654" s="5"/>
      <c r="X654" s="5"/>
      <c r="Y654" s="5"/>
      <c r="Z654" s="5"/>
      <c r="AA654" s="5"/>
      <c r="AB654" s="5"/>
    </row>
    <row r="655" ht="15.75" customHeight="1">
      <c r="A655" s="2"/>
      <c r="B655" s="2"/>
      <c r="C655" s="5"/>
      <c r="D655" s="3"/>
      <c r="E655" s="4"/>
      <c r="F655" s="4"/>
      <c r="G655" s="5"/>
      <c r="H655" s="5"/>
      <c r="I655" s="3"/>
      <c r="J655" s="5"/>
      <c r="K655" s="5"/>
      <c r="L655" s="5"/>
      <c r="M655" s="5"/>
      <c r="N655" s="5"/>
      <c r="O655" s="5"/>
      <c r="P655" s="5"/>
      <c r="Q655" s="5"/>
      <c r="R655" s="5"/>
      <c r="S655" s="5"/>
      <c r="T655" s="5"/>
      <c r="U655" s="5"/>
      <c r="V655" s="5"/>
      <c r="W655" s="5"/>
      <c r="X655" s="5"/>
      <c r="Y655" s="5"/>
      <c r="Z655" s="5"/>
      <c r="AA655" s="5"/>
      <c r="AB655" s="5"/>
    </row>
    <row r="656" ht="15.75" customHeight="1">
      <c r="A656" s="2"/>
      <c r="B656" s="2"/>
      <c r="C656" s="5"/>
      <c r="D656" s="3"/>
      <c r="E656" s="4"/>
      <c r="F656" s="4"/>
      <c r="G656" s="5"/>
      <c r="H656" s="5"/>
      <c r="I656" s="3"/>
      <c r="J656" s="5"/>
      <c r="K656" s="5"/>
      <c r="L656" s="5"/>
      <c r="M656" s="5"/>
      <c r="N656" s="5"/>
      <c r="O656" s="5"/>
      <c r="P656" s="5"/>
      <c r="Q656" s="5"/>
      <c r="R656" s="5"/>
      <c r="S656" s="5"/>
      <c r="T656" s="5"/>
      <c r="U656" s="5"/>
      <c r="V656" s="5"/>
      <c r="W656" s="5"/>
      <c r="X656" s="5"/>
      <c r="Y656" s="5"/>
      <c r="Z656" s="5"/>
      <c r="AA656" s="5"/>
      <c r="AB656" s="5"/>
    </row>
    <row r="657" ht="15.75" customHeight="1">
      <c r="A657" s="2"/>
      <c r="B657" s="2"/>
      <c r="C657" s="30"/>
      <c r="D657" s="3"/>
      <c r="E657" s="4"/>
      <c r="F657" s="4"/>
      <c r="G657" s="3"/>
      <c r="H657" s="5"/>
      <c r="I657" s="3"/>
      <c r="J657" s="5"/>
      <c r="K657" s="5"/>
      <c r="L657" s="5"/>
      <c r="M657" s="5"/>
      <c r="N657" s="5"/>
      <c r="O657" s="5"/>
      <c r="P657" s="5"/>
      <c r="Q657" s="5"/>
      <c r="R657" s="5"/>
      <c r="S657" s="5"/>
      <c r="T657" s="5"/>
      <c r="U657" s="5"/>
      <c r="V657" s="5"/>
      <c r="W657" s="5"/>
      <c r="X657" s="5"/>
      <c r="Y657" s="5"/>
      <c r="Z657" s="5"/>
      <c r="AA657" s="5"/>
      <c r="AB657" s="5"/>
    </row>
    <row r="658" ht="15.75" customHeight="1">
      <c r="A658" s="2"/>
      <c r="B658" s="2"/>
      <c r="C658" s="5"/>
      <c r="D658" s="3"/>
      <c r="E658" s="28"/>
      <c r="F658" s="4"/>
      <c r="G658" s="3"/>
      <c r="H658" s="3"/>
      <c r="I658" s="3"/>
      <c r="J658" s="5"/>
      <c r="K658" s="5"/>
      <c r="L658" s="5"/>
      <c r="M658" s="5"/>
      <c r="N658" s="5"/>
      <c r="O658" s="5"/>
      <c r="P658" s="5"/>
      <c r="Q658" s="5"/>
      <c r="R658" s="5"/>
      <c r="S658" s="5"/>
      <c r="T658" s="5"/>
      <c r="U658" s="5"/>
      <c r="V658" s="5"/>
      <c r="W658" s="5"/>
      <c r="X658" s="5"/>
      <c r="Y658" s="5"/>
      <c r="Z658" s="5"/>
      <c r="AA658" s="5"/>
      <c r="AB658" s="5"/>
    </row>
    <row r="659" ht="15.75" customHeight="1">
      <c r="A659" s="2"/>
      <c r="B659" s="2"/>
      <c r="C659" s="5"/>
      <c r="D659" s="3"/>
      <c r="E659" s="4"/>
      <c r="F659" s="4"/>
      <c r="G659" s="3"/>
      <c r="H659" s="3"/>
      <c r="I659" s="3"/>
      <c r="J659" s="5"/>
      <c r="K659" s="5"/>
      <c r="L659" s="5"/>
      <c r="M659" s="5"/>
      <c r="N659" s="5"/>
      <c r="O659" s="5"/>
      <c r="P659" s="5"/>
      <c r="Q659" s="5"/>
      <c r="R659" s="5"/>
      <c r="S659" s="5"/>
      <c r="T659" s="5"/>
      <c r="U659" s="5"/>
      <c r="V659" s="5"/>
      <c r="W659" s="5"/>
      <c r="X659" s="5"/>
      <c r="Y659" s="5"/>
      <c r="Z659" s="5"/>
      <c r="AA659" s="5"/>
      <c r="AB659" s="5"/>
    </row>
    <row r="660" ht="15.75" customHeight="1">
      <c r="A660" s="2"/>
      <c r="B660" s="2"/>
      <c r="C660" s="5"/>
      <c r="D660" s="3"/>
      <c r="E660" s="4"/>
      <c r="F660" s="4"/>
      <c r="G660" s="5"/>
      <c r="H660" s="5"/>
      <c r="I660" s="5"/>
      <c r="J660" s="5"/>
      <c r="K660" s="5"/>
      <c r="L660" s="5"/>
      <c r="M660" s="5"/>
      <c r="N660" s="5"/>
      <c r="O660" s="5"/>
      <c r="P660" s="5"/>
      <c r="Q660" s="5"/>
      <c r="R660" s="5"/>
      <c r="S660" s="5"/>
      <c r="T660" s="5"/>
      <c r="U660" s="5"/>
      <c r="V660" s="5"/>
      <c r="W660" s="5"/>
      <c r="X660" s="5"/>
      <c r="Y660" s="5"/>
      <c r="Z660" s="5"/>
      <c r="AA660" s="5"/>
      <c r="AB660" s="5"/>
    </row>
    <row r="661" ht="15.75" customHeight="1">
      <c r="A661" s="2"/>
      <c r="B661" s="2"/>
      <c r="C661" s="5"/>
      <c r="D661" s="3"/>
      <c r="E661" s="4"/>
      <c r="F661" s="4"/>
      <c r="G661" s="5"/>
      <c r="H661" s="5"/>
      <c r="I661" s="5"/>
      <c r="J661" s="5"/>
      <c r="K661" s="5"/>
      <c r="L661" s="5"/>
      <c r="M661" s="5"/>
      <c r="N661" s="5"/>
      <c r="O661" s="5"/>
      <c r="P661" s="5"/>
      <c r="Q661" s="5"/>
      <c r="R661" s="5"/>
      <c r="S661" s="5"/>
      <c r="T661" s="5"/>
      <c r="U661" s="5"/>
      <c r="V661" s="5"/>
      <c r="W661" s="5"/>
      <c r="X661" s="5"/>
      <c r="Y661" s="5"/>
      <c r="Z661" s="5"/>
      <c r="AA661" s="5"/>
      <c r="AB661" s="5"/>
    </row>
    <row r="662" ht="15.75" customHeight="1">
      <c r="A662" s="2"/>
      <c r="B662" s="2"/>
      <c r="C662" s="5"/>
      <c r="D662" s="3"/>
      <c r="E662" s="4"/>
      <c r="F662" s="4"/>
      <c r="G662" s="5"/>
      <c r="H662" s="5"/>
      <c r="I662" s="5"/>
      <c r="J662" s="5"/>
      <c r="K662" s="5"/>
      <c r="L662" s="5"/>
      <c r="M662" s="5"/>
      <c r="N662" s="5"/>
      <c r="O662" s="5"/>
      <c r="P662" s="5"/>
      <c r="Q662" s="5"/>
      <c r="R662" s="5"/>
      <c r="S662" s="5"/>
      <c r="T662" s="5"/>
      <c r="U662" s="5"/>
      <c r="V662" s="5"/>
      <c r="W662" s="5"/>
      <c r="X662" s="5"/>
      <c r="Y662" s="5"/>
      <c r="Z662" s="5"/>
      <c r="AA662" s="5"/>
      <c r="AB662" s="5"/>
    </row>
    <row r="663" ht="15.75" customHeight="1">
      <c r="A663" s="2"/>
      <c r="B663" s="2"/>
      <c r="C663" s="5"/>
      <c r="D663" s="3"/>
      <c r="E663" s="4"/>
      <c r="F663" s="4"/>
      <c r="G663" s="5"/>
      <c r="H663" s="5"/>
      <c r="I663" s="5"/>
      <c r="J663" s="5"/>
      <c r="K663" s="5"/>
      <c r="L663" s="5"/>
      <c r="M663" s="5"/>
      <c r="N663" s="5"/>
      <c r="O663" s="5"/>
      <c r="P663" s="5"/>
      <c r="Q663" s="5"/>
      <c r="R663" s="5"/>
      <c r="S663" s="5"/>
      <c r="T663" s="5"/>
      <c r="U663" s="5"/>
      <c r="V663" s="5"/>
      <c r="W663" s="5"/>
      <c r="X663" s="5"/>
      <c r="Y663" s="5"/>
      <c r="Z663" s="5"/>
      <c r="AA663" s="5"/>
      <c r="AB663" s="5"/>
    </row>
    <row r="664" ht="15.75" customHeight="1">
      <c r="A664" s="2"/>
      <c r="B664" s="2"/>
      <c r="C664" s="5"/>
      <c r="D664" s="3"/>
      <c r="E664" s="4"/>
      <c r="F664" s="4"/>
      <c r="G664" s="5"/>
      <c r="H664" s="5"/>
      <c r="I664" s="5"/>
      <c r="J664" s="5"/>
      <c r="K664" s="5"/>
      <c r="L664" s="5"/>
      <c r="M664" s="5"/>
      <c r="N664" s="5"/>
      <c r="O664" s="5"/>
      <c r="P664" s="5"/>
      <c r="Q664" s="5"/>
      <c r="R664" s="5"/>
      <c r="S664" s="5"/>
      <c r="T664" s="5"/>
      <c r="U664" s="5"/>
      <c r="V664" s="5"/>
      <c r="W664" s="5"/>
      <c r="X664" s="5"/>
      <c r="Y664" s="5"/>
      <c r="Z664" s="5"/>
      <c r="AA664" s="5"/>
      <c r="AB664" s="5"/>
    </row>
    <row r="665" ht="15.75" customHeight="1">
      <c r="A665" s="2"/>
      <c r="B665" s="2"/>
      <c r="C665" s="5"/>
      <c r="D665" s="3"/>
      <c r="E665" s="4"/>
      <c r="F665" s="4"/>
      <c r="G665" s="5"/>
      <c r="H665" s="5"/>
      <c r="I665" s="5"/>
      <c r="J665" s="5"/>
      <c r="K665" s="5"/>
      <c r="L665" s="5"/>
      <c r="M665" s="5"/>
      <c r="N665" s="5"/>
      <c r="O665" s="5"/>
      <c r="P665" s="5"/>
      <c r="Q665" s="5"/>
      <c r="R665" s="5"/>
      <c r="S665" s="5"/>
      <c r="T665" s="5"/>
      <c r="U665" s="5"/>
      <c r="V665" s="5"/>
      <c r="W665" s="5"/>
      <c r="X665" s="5"/>
      <c r="Y665" s="5"/>
      <c r="Z665" s="5"/>
      <c r="AA665" s="5"/>
      <c r="AB665" s="5"/>
    </row>
    <row r="666" ht="15.75" customHeight="1">
      <c r="A666" s="2"/>
      <c r="B666" s="2"/>
      <c r="C666" s="5"/>
      <c r="D666" s="3"/>
      <c r="E666" s="4"/>
      <c r="F666" s="4"/>
      <c r="G666" s="3"/>
      <c r="H666" s="3"/>
      <c r="I666" s="5"/>
      <c r="J666" s="5"/>
      <c r="K666" s="5"/>
      <c r="L666" s="5"/>
      <c r="M666" s="5"/>
      <c r="N666" s="5"/>
      <c r="O666" s="5"/>
      <c r="P666" s="5"/>
      <c r="Q666" s="5"/>
      <c r="R666" s="5"/>
      <c r="S666" s="5"/>
      <c r="T666" s="5"/>
      <c r="U666" s="5"/>
      <c r="V666" s="5"/>
      <c r="W666" s="5"/>
      <c r="X666" s="5"/>
      <c r="Y666" s="5"/>
      <c r="Z666" s="5"/>
      <c r="AA666" s="5"/>
      <c r="AB666" s="5"/>
    </row>
    <row r="667" ht="15.75" customHeight="1">
      <c r="A667" s="2"/>
      <c r="B667" s="2"/>
      <c r="C667" s="5"/>
      <c r="D667" s="3"/>
      <c r="E667" s="4"/>
      <c r="F667" s="4"/>
      <c r="G667" s="5"/>
      <c r="H667" s="5"/>
      <c r="I667" s="5"/>
      <c r="J667" s="5"/>
      <c r="K667" s="5"/>
      <c r="L667" s="5"/>
      <c r="M667" s="5"/>
      <c r="N667" s="5"/>
      <c r="O667" s="5"/>
      <c r="P667" s="5"/>
      <c r="Q667" s="5"/>
      <c r="R667" s="5"/>
      <c r="S667" s="5"/>
      <c r="T667" s="5"/>
      <c r="U667" s="5"/>
      <c r="V667" s="5"/>
      <c r="W667" s="5"/>
      <c r="X667" s="5"/>
      <c r="Y667" s="5"/>
      <c r="Z667" s="5"/>
      <c r="AA667" s="5"/>
      <c r="AB667" s="5"/>
    </row>
    <row r="668" ht="15.75" customHeight="1">
      <c r="A668" s="2"/>
      <c r="B668" s="2"/>
      <c r="C668" s="5"/>
      <c r="D668" s="3"/>
      <c r="E668" s="28"/>
      <c r="F668" s="4"/>
      <c r="G668" s="3"/>
      <c r="H668" s="3"/>
      <c r="I668" s="3"/>
      <c r="J668" s="5"/>
      <c r="K668" s="5"/>
      <c r="L668" s="5"/>
      <c r="M668" s="5"/>
      <c r="N668" s="5"/>
      <c r="O668" s="5"/>
      <c r="P668" s="5"/>
      <c r="Q668" s="5"/>
      <c r="R668" s="5"/>
      <c r="S668" s="5"/>
      <c r="T668" s="5"/>
      <c r="U668" s="5"/>
      <c r="V668" s="5"/>
      <c r="W668" s="5"/>
      <c r="X668" s="5"/>
      <c r="Y668" s="5"/>
      <c r="Z668" s="5"/>
      <c r="AA668" s="5"/>
      <c r="AB668" s="5"/>
    </row>
    <row r="669" ht="15.75" customHeight="1">
      <c r="A669" s="2"/>
      <c r="B669" s="2"/>
      <c r="C669" s="5"/>
      <c r="D669" s="3"/>
      <c r="E669" s="4"/>
      <c r="F669" s="4"/>
      <c r="G669" s="5"/>
      <c r="H669" s="5"/>
      <c r="I669" s="5"/>
      <c r="J669" s="5"/>
      <c r="K669" s="5"/>
      <c r="L669" s="5"/>
      <c r="M669" s="5"/>
      <c r="N669" s="5"/>
      <c r="O669" s="5"/>
      <c r="P669" s="5"/>
      <c r="Q669" s="5"/>
      <c r="R669" s="5"/>
      <c r="S669" s="5"/>
      <c r="T669" s="5"/>
      <c r="U669" s="5"/>
      <c r="V669" s="5"/>
      <c r="W669" s="5"/>
      <c r="X669" s="5"/>
      <c r="Y669" s="5"/>
      <c r="Z669" s="5"/>
      <c r="AA669" s="5"/>
      <c r="AB669" s="5"/>
    </row>
    <row r="670" ht="15.75" customHeight="1">
      <c r="A670" s="2"/>
      <c r="B670" s="2"/>
      <c r="C670" s="5"/>
      <c r="D670" s="3"/>
      <c r="E670" s="4"/>
      <c r="F670" s="4"/>
      <c r="G670" s="5"/>
      <c r="H670" s="34"/>
      <c r="I670" s="5"/>
      <c r="J670" s="5"/>
      <c r="K670" s="5"/>
      <c r="L670" s="5"/>
      <c r="M670" s="5"/>
      <c r="N670" s="5"/>
      <c r="O670" s="5"/>
      <c r="P670" s="5"/>
      <c r="Q670" s="5"/>
      <c r="R670" s="5"/>
      <c r="S670" s="5"/>
      <c r="T670" s="5"/>
      <c r="U670" s="5"/>
      <c r="V670" s="5"/>
      <c r="W670" s="5"/>
      <c r="X670" s="5"/>
      <c r="Y670" s="5"/>
      <c r="Z670" s="5"/>
      <c r="AA670" s="5"/>
      <c r="AB670" s="5"/>
    </row>
    <row r="671" ht="15.75" customHeight="1">
      <c r="A671" s="2"/>
      <c r="B671" s="2"/>
      <c r="C671" s="5"/>
      <c r="D671" s="3"/>
      <c r="E671" s="4"/>
      <c r="F671" s="4"/>
      <c r="G671" s="5"/>
      <c r="H671" s="5"/>
      <c r="I671" s="3"/>
      <c r="J671" s="5"/>
      <c r="K671" s="5"/>
      <c r="L671" s="5"/>
      <c r="M671" s="5"/>
      <c r="N671" s="5"/>
      <c r="O671" s="5"/>
      <c r="P671" s="5"/>
      <c r="Q671" s="5"/>
      <c r="R671" s="5"/>
      <c r="S671" s="5"/>
      <c r="T671" s="5"/>
      <c r="U671" s="5"/>
      <c r="V671" s="5"/>
      <c r="W671" s="5"/>
      <c r="X671" s="5"/>
      <c r="Y671" s="5"/>
      <c r="Z671" s="5"/>
      <c r="AA671" s="5"/>
      <c r="AB671" s="5"/>
    </row>
    <row r="672" ht="15.75" customHeight="1">
      <c r="A672" s="2"/>
      <c r="B672" s="2"/>
      <c r="C672" s="5"/>
      <c r="D672" s="3"/>
      <c r="E672" s="4"/>
      <c r="F672" s="4"/>
      <c r="G672" s="5"/>
      <c r="H672" s="3"/>
      <c r="I672" s="3"/>
      <c r="J672" s="5"/>
      <c r="K672" s="5"/>
      <c r="L672" s="5"/>
      <c r="M672" s="5"/>
      <c r="N672" s="5"/>
      <c r="O672" s="5"/>
      <c r="P672" s="5"/>
      <c r="Q672" s="5"/>
      <c r="R672" s="5"/>
      <c r="S672" s="5"/>
      <c r="T672" s="5"/>
      <c r="U672" s="5"/>
      <c r="V672" s="5"/>
      <c r="W672" s="5"/>
      <c r="X672" s="5"/>
      <c r="Y672" s="5"/>
      <c r="Z672" s="5"/>
      <c r="AA672" s="5"/>
      <c r="AB672" s="5"/>
    </row>
    <row r="673" ht="15.75" customHeight="1">
      <c r="A673" s="2"/>
      <c r="B673" s="2"/>
      <c r="C673" s="5"/>
      <c r="D673" s="3"/>
      <c r="E673" s="4"/>
      <c r="F673" s="4"/>
      <c r="G673" s="5"/>
      <c r="H673" s="5"/>
      <c r="I673" s="3"/>
      <c r="J673" s="5"/>
      <c r="K673" s="5"/>
      <c r="L673" s="5"/>
      <c r="M673" s="5"/>
      <c r="N673" s="5"/>
      <c r="O673" s="5"/>
      <c r="P673" s="5"/>
      <c r="Q673" s="5"/>
      <c r="R673" s="5"/>
      <c r="S673" s="5"/>
      <c r="T673" s="5"/>
      <c r="U673" s="5"/>
      <c r="V673" s="5"/>
      <c r="W673" s="5"/>
      <c r="X673" s="5"/>
      <c r="Y673" s="5"/>
      <c r="Z673" s="5"/>
      <c r="AA673" s="5"/>
      <c r="AB673" s="5"/>
    </row>
    <row r="674" ht="15.75" customHeight="1">
      <c r="A674" s="2"/>
      <c r="B674" s="2"/>
      <c r="C674" s="5"/>
      <c r="D674" s="3"/>
      <c r="E674" s="4"/>
      <c r="F674" s="4"/>
      <c r="G674" s="5"/>
      <c r="H674" s="3"/>
      <c r="I674" s="3"/>
      <c r="J674" s="5"/>
      <c r="K674" s="5"/>
      <c r="L674" s="5"/>
      <c r="M674" s="5"/>
      <c r="N674" s="5"/>
      <c r="O674" s="5"/>
      <c r="P674" s="5"/>
      <c r="Q674" s="5"/>
      <c r="R674" s="5"/>
      <c r="S674" s="5"/>
      <c r="T674" s="5"/>
      <c r="U674" s="5"/>
      <c r="V674" s="5"/>
      <c r="W674" s="5"/>
      <c r="X674" s="5"/>
      <c r="Y674" s="5"/>
      <c r="Z674" s="5"/>
      <c r="AA674" s="5"/>
      <c r="AB674" s="5"/>
    </row>
    <row r="675" ht="15.75" customHeight="1">
      <c r="A675" s="2"/>
      <c r="B675" s="2"/>
      <c r="C675" s="5"/>
      <c r="D675" s="3"/>
      <c r="E675" s="31"/>
      <c r="F675" s="31"/>
      <c r="G675" s="5"/>
      <c r="H675" s="5"/>
      <c r="J675" s="5"/>
      <c r="K675" s="5"/>
      <c r="L675" s="5"/>
      <c r="M675" s="5"/>
      <c r="N675" s="5"/>
      <c r="O675" s="5"/>
      <c r="P675" s="5"/>
      <c r="Q675" s="5"/>
      <c r="R675" s="5"/>
      <c r="S675" s="5"/>
      <c r="T675" s="5"/>
      <c r="U675" s="5"/>
      <c r="V675" s="5"/>
      <c r="W675" s="5"/>
      <c r="X675" s="5"/>
      <c r="Y675" s="5"/>
      <c r="Z675" s="5"/>
      <c r="AA675" s="5"/>
      <c r="AB675" s="5"/>
    </row>
    <row r="676" ht="15.75" customHeight="1">
      <c r="A676" s="2"/>
      <c r="B676" s="2"/>
      <c r="E676" s="31"/>
      <c r="F676" s="31"/>
    </row>
    <row r="677" ht="15.75" customHeight="1">
      <c r="A677" s="2"/>
      <c r="B677" s="2"/>
      <c r="E677" s="31"/>
      <c r="F677" s="31"/>
    </row>
    <row r="678" ht="15.75" customHeight="1">
      <c r="A678" s="2"/>
      <c r="B678" s="2"/>
      <c r="E678" s="31"/>
      <c r="F678" s="31"/>
    </row>
    <row r="679" ht="15.75" customHeight="1">
      <c r="A679" s="2"/>
      <c r="B679" s="2"/>
      <c r="E679" s="31"/>
      <c r="F679" s="31"/>
    </row>
    <row r="680" ht="15.75" customHeight="1">
      <c r="A680" s="2"/>
      <c r="B680" s="2"/>
      <c r="E680" s="31"/>
      <c r="F680" s="31"/>
    </row>
    <row r="681" ht="15.75" customHeight="1">
      <c r="A681" s="2"/>
      <c r="B681" s="2"/>
      <c r="E681" s="31"/>
      <c r="F681" s="31"/>
    </row>
    <row r="682" ht="15.75" customHeight="1">
      <c r="A682" s="2"/>
      <c r="B682" s="35"/>
      <c r="C682" s="30"/>
      <c r="E682" s="31"/>
      <c r="F682" s="31"/>
    </row>
    <row r="683" ht="15.75" customHeight="1">
      <c r="A683" s="2"/>
      <c r="B683" s="35"/>
      <c r="E683" s="31"/>
      <c r="F683" s="31"/>
    </row>
    <row r="684" ht="15.75" customHeight="1">
      <c r="A684" s="2"/>
      <c r="B684" s="35"/>
      <c r="E684" s="31"/>
      <c r="F684" s="31"/>
    </row>
    <row r="685" ht="15.75" customHeight="1">
      <c r="A685" s="2"/>
      <c r="B685" s="35"/>
      <c r="E685" s="31"/>
      <c r="F685" s="31"/>
    </row>
    <row r="686" ht="15.75" customHeight="1">
      <c r="A686" s="2"/>
      <c r="B686" s="35"/>
      <c r="E686" s="31"/>
      <c r="F686" s="31"/>
    </row>
    <row r="687" ht="15.75" customHeight="1">
      <c r="A687" s="2"/>
      <c r="B687" s="35"/>
      <c r="E687" s="31"/>
      <c r="F687" s="31"/>
    </row>
    <row r="688" ht="15.75" customHeight="1">
      <c r="A688" s="2"/>
      <c r="B688" s="35"/>
      <c r="D688" s="35"/>
      <c r="E688" s="36"/>
      <c r="F688" s="36"/>
      <c r="I688" s="35"/>
    </row>
    <row r="689" ht="15.75" customHeight="1">
      <c r="A689" s="2"/>
      <c r="B689" s="35"/>
      <c r="C689" s="30"/>
      <c r="E689" s="31"/>
      <c r="F689" s="31"/>
    </row>
    <row r="690" ht="15.75" customHeight="1">
      <c r="A690" s="2"/>
      <c r="B690" s="35"/>
      <c r="E690" s="31"/>
      <c r="F690" s="31"/>
    </row>
    <row r="691" ht="15.75" customHeight="1">
      <c r="A691" s="2"/>
      <c r="B691" s="35"/>
      <c r="E691" s="31"/>
      <c r="F691" s="31"/>
    </row>
    <row r="692" ht="15.75" customHeight="1">
      <c r="A692" s="2"/>
      <c r="B692" s="35"/>
      <c r="E692" s="31"/>
      <c r="F692" s="31"/>
    </row>
    <row r="693" ht="15.75" customHeight="1">
      <c r="A693" s="2"/>
      <c r="B693" s="35"/>
      <c r="E693" s="31"/>
      <c r="F693" s="31"/>
    </row>
    <row r="694" ht="15.75" customHeight="1">
      <c r="A694" s="2"/>
      <c r="B694" s="35"/>
      <c r="E694" s="31"/>
      <c r="F694" s="31"/>
    </row>
    <row r="695" ht="15.75" customHeight="1">
      <c r="A695" s="2"/>
      <c r="B695" s="35"/>
      <c r="E695" s="31"/>
      <c r="F695" s="31"/>
    </row>
    <row r="696" ht="15.75" customHeight="1">
      <c r="A696" s="2"/>
      <c r="B696" s="35"/>
      <c r="E696" s="31"/>
      <c r="F696" s="31"/>
    </row>
    <row r="697" ht="15.75" customHeight="1">
      <c r="A697" s="2"/>
      <c r="B697" s="35"/>
      <c r="E697" s="31"/>
      <c r="F697" s="31"/>
    </row>
    <row r="698" ht="15.75" customHeight="1">
      <c r="A698" s="2"/>
      <c r="B698" s="35"/>
      <c r="E698" s="31"/>
      <c r="F698" s="31"/>
    </row>
    <row r="699" ht="15.75" customHeight="1">
      <c r="A699" s="2"/>
      <c r="B699" s="35"/>
      <c r="C699" s="30"/>
      <c r="D699" s="35"/>
      <c r="E699" s="36"/>
      <c r="F699" s="36"/>
      <c r="I699" s="35"/>
    </row>
    <row r="700" ht="15.75" customHeight="1">
      <c r="A700" s="2"/>
      <c r="B700" s="35"/>
      <c r="D700" s="35"/>
      <c r="E700" s="31"/>
      <c r="F700" s="31"/>
    </row>
    <row r="701" ht="15.75" customHeight="1">
      <c r="A701" s="2"/>
      <c r="B701" s="35"/>
      <c r="E701" s="31"/>
      <c r="F701" s="31"/>
    </row>
    <row r="702" ht="15.75" customHeight="1">
      <c r="A702" s="2"/>
      <c r="B702" s="35"/>
      <c r="E702" s="31"/>
      <c r="F702" s="31"/>
    </row>
    <row r="703" ht="15.75" customHeight="1">
      <c r="A703" s="2"/>
      <c r="B703" s="35"/>
      <c r="E703" s="31"/>
      <c r="F703" s="28"/>
    </row>
    <row r="704" ht="15.75" customHeight="1">
      <c r="A704" s="2"/>
      <c r="B704" s="35"/>
      <c r="C704" s="30"/>
      <c r="E704" s="31"/>
      <c r="F704" s="31"/>
    </row>
    <row r="705" ht="15.75" customHeight="1">
      <c r="A705" s="2"/>
      <c r="B705" s="35"/>
      <c r="E705" s="31"/>
      <c r="F705" s="31"/>
    </row>
    <row r="706" ht="15.75" customHeight="1">
      <c r="A706" s="2"/>
      <c r="B706" s="35"/>
      <c r="E706" s="31"/>
      <c r="F706" s="31"/>
    </row>
    <row r="707" ht="15.75" customHeight="1">
      <c r="A707" s="2"/>
      <c r="B707" s="35"/>
      <c r="C707" s="30"/>
      <c r="E707" s="31"/>
      <c r="F707" s="31"/>
    </row>
    <row r="708" ht="15.75" customHeight="1">
      <c r="A708" s="2"/>
      <c r="B708" s="35"/>
      <c r="E708" s="31"/>
      <c r="F708" s="31"/>
    </row>
    <row r="709" ht="15.75" customHeight="1">
      <c r="A709" s="2"/>
      <c r="B709" s="35"/>
      <c r="E709" s="31"/>
      <c r="F709" s="31"/>
    </row>
    <row r="710" ht="15.75" customHeight="1">
      <c r="A710" s="2"/>
      <c r="B710" s="35"/>
      <c r="E710" s="31"/>
      <c r="F710" s="31"/>
    </row>
    <row r="711" ht="15.75" customHeight="1">
      <c r="A711" s="2"/>
      <c r="B711" s="35"/>
      <c r="E711" s="31"/>
      <c r="F711" s="31"/>
    </row>
    <row r="712" ht="15.75" customHeight="1">
      <c r="A712" s="2"/>
      <c r="B712" s="35"/>
      <c r="E712" s="33"/>
      <c r="F712" s="28"/>
    </row>
    <row r="713" ht="15.75" customHeight="1">
      <c r="A713" s="2"/>
      <c r="B713" s="35"/>
      <c r="E713" s="31"/>
      <c r="F713" s="28"/>
    </row>
    <row r="714" ht="15.75" customHeight="1">
      <c r="A714" s="2"/>
      <c r="B714" s="35"/>
      <c r="E714" s="31"/>
      <c r="F714" s="31"/>
    </row>
    <row r="715" ht="15.75" customHeight="1">
      <c r="A715" s="2"/>
      <c r="B715" s="35"/>
      <c r="E715" s="37"/>
      <c r="F715" s="31"/>
    </row>
    <row r="716" ht="15.75" customHeight="1">
      <c r="A716" s="2"/>
      <c r="B716" s="35"/>
      <c r="E716" s="37"/>
      <c r="F716" s="31"/>
    </row>
    <row r="717" ht="15.75" customHeight="1">
      <c r="A717" s="2"/>
      <c r="B717" s="35"/>
      <c r="C717" s="30"/>
      <c r="E717" s="28"/>
      <c r="F717" s="28"/>
    </row>
    <row r="718" ht="15.75" customHeight="1">
      <c r="A718" s="2"/>
      <c r="B718" s="35"/>
      <c r="E718" s="28"/>
      <c r="F718" s="28"/>
    </row>
    <row r="719" ht="15.75" customHeight="1">
      <c r="A719" s="2"/>
      <c r="B719" s="35"/>
      <c r="E719" s="31"/>
      <c r="F719" s="31"/>
    </row>
    <row r="720" ht="15.75" customHeight="1">
      <c r="A720" s="2"/>
      <c r="B720" s="35"/>
      <c r="E720" s="31"/>
      <c r="F720" s="31"/>
    </row>
    <row r="721" ht="15.75" customHeight="1">
      <c r="A721" s="2"/>
      <c r="B721" s="35"/>
      <c r="E721" s="31"/>
      <c r="F721" s="31"/>
    </row>
    <row r="722" ht="15.75" customHeight="1">
      <c r="A722" s="2"/>
      <c r="B722" s="35"/>
      <c r="E722" s="31"/>
      <c r="F722" s="31"/>
    </row>
    <row r="723" ht="15.75" customHeight="1">
      <c r="A723" s="2"/>
      <c r="B723" s="35"/>
      <c r="E723" s="31"/>
      <c r="F723" s="31"/>
    </row>
    <row r="724" ht="15.75" customHeight="1">
      <c r="A724" s="2"/>
      <c r="B724" s="35"/>
      <c r="E724" s="31"/>
      <c r="F724" s="31"/>
    </row>
    <row r="725" ht="15.75" customHeight="1">
      <c r="A725" s="2"/>
      <c r="B725" s="35"/>
      <c r="E725" s="31"/>
      <c r="F725" s="31"/>
    </row>
    <row r="726" ht="15.75" customHeight="1">
      <c r="A726" s="2"/>
      <c r="B726" s="35"/>
      <c r="E726" s="31"/>
      <c r="F726" s="31"/>
    </row>
    <row r="727" ht="15.75" customHeight="1">
      <c r="A727" s="2"/>
      <c r="B727" s="35"/>
      <c r="E727" s="31"/>
      <c r="F727" s="31"/>
    </row>
    <row r="728" ht="15.75" customHeight="1">
      <c r="A728" s="2"/>
      <c r="B728" s="35"/>
      <c r="E728" s="31"/>
      <c r="F728" s="31"/>
    </row>
    <row r="729" ht="15.75" customHeight="1">
      <c r="A729" s="2"/>
      <c r="B729" s="35"/>
      <c r="E729" s="28"/>
      <c r="F729" s="28"/>
      <c r="G729" s="38"/>
    </row>
    <row r="730" ht="15.75" customHeight="1">
      <c r="A730" s="2"/>
      <c r="B730" s="35"/>
      <c r="E730" s="28"/>
      <c r="F730" s="28"/>
    </row>
    <row r="731" ht="15.75" customHeight="1">
      <c r="A731" s="2"/>
      <c r="B731" s="35"/>
      <c r="E731" s="28"/>
      <c r="F731" s="28"/>
    </row>
    <row r="732" ht="15.75" customHeight="1">
      <c r="A732" s="2"/>
      <c r="B732" s="35"/>
      <c r="E732" s="31"/>
      <c r="F732" s="31"/>
    </row>
    <row r="733" ht="15.75" customHeight="1">
      <c r="A733" s="2"/>
      <c r="B733" s="35"/>
      <c r="E733" s="28"/>
      <c r="F733" s="28"/>
    </row>
    <row r="734" ht="15.75" customHeight="1">
      <c r="A734" s="2"/>
      <c r="B734" s="35"/>
      <c r="E734" s="28"/>
      <c r="F734" s="28"/>
    </row>
    <row r="735" ht="15.75" customHeight="1">
      <c r="A735" s="2"/>
      <c r="B735" s="35"/>
      <c r="E735" s="28"/>
      <c r="F735" s="28"/>
    </row>
    <row r="736" ht="15.75" customHeight="1">
      <c r="A736" s="2"/>
      <c r="B736" s="35"/>
      <c r="E736" s="28"/>
      <c r="F736" s="28"/>
    </row>
    <row r="737" ht="15.75" customHeight="1">
      <c r="A737" s="2"/>
      <c r="B737" s="35"/>
      <c r="E737" s="28"/>
      <c r="F737" s="28"/>
    </row>
    <row r="738" ht="15.75" customHeight="1">
      <c r="A738" s="2"/>
      <c r="B738" s="35"/>
      <c r="E738" s="28"/>
      <c r="F738" s="28"/>
    </row>
    <row r="739" ht="15.75" customHeight="1">
      <c r="A739" s="2"/>
      <c r="B739" s="35"/>
      <c r="C739" s="30"/>
      <c r="E739" s="31"/>
      <c r="F739" s="28"/>
    </row>
    <row r="740" ht="15.75" customHeight="1">
      <c r="A740" s="2"/>
      <c r="B740" s="35"/>
      <c r="E740" s="28"/>
      <c r="F740" s="28"/>
    </row>
    <row r="741" ht="15.75" customHeight="1">
      <c r="A741" s="2"/>
      <c r="B741" s="35"/>
      <c r="E741" s="28"/>
      <c r="F741" s="28"/>
    </row>
    <row r="742" ht="15.75" customHeight="1">
      <c r="A742" s="2"/>
      <c r="B742" s="35"/>
      <c r="E742" s="28"/>
      <c r="F742" s="28"/>
    </row>
    <row r="743" ht="15.75" customHeight="1">
      <c r="A743" s="2"/>
      <c r="B743" s="35"/>
      <c r="E743" s="28"/>
      <c r="F743" s="28"/>
    </row>
    <row r="744" ht="15.75" customHeight="1">
      <c r="A744" s="2"/>
      <c r="B744" s="35"/>
      <c r="E744" s="28"/>
      <c r="F744" s="28"/>
    </row>
    <row r="745" ht="15.75" customHeight="1">
      <c r="A745" s="2"/>
      <c r="B745" s="35"/>
      <c r="E745" s="28"/>
      <c r="F745" s="28"/>
    </row>
    <row r="746" ht="15.75" customHeight="1">
      <c r="A746" s="2"/>
      <c r="B746" s="35"/>
      <c r="E746" s="28"/>
      <c r="F746" s="28"/>
    </row>
    <row r="747" ht="15.75" customHeight="1">
      <c r="A747" s="2"/>
      <c r="B747" s="35"/>
      <c r="E747" s="31"/>
      <c r="F747" s="31"/>
    </row>
    <row r="748" ht="15.75" customHeight="1">
      <c r="A748" s="2"/>
      <c r="B748" s="35"/>
      <c r="E748" s="31"/>
      <c r="F748" s="31"/>
    </row>
    <row r="749" ht="15.75" customHeight="1">
      <c r="A749" s="2"/>
      <c r="B749" s="35"/>
      <c r="C749" s="30"/>
      <c r="E749" s="31"/>
      <c r="F749" s="31"/>
    </row>
    <row r="750" ht="15.75" customHeight="1">
      <c r="A750" s="2"/>
      <c r="B750" s="35"/>
      <c r="E750" s="31"/>
      <c r="F750" s="31"/>
    </row>
    <row r="751" ht="15.75" customHeight="1">
      <c r="A751" s="2"/>
      <c r="B751" s="35"/>
      <c r="E751" s="31"/>
      <c r="F751" s="31"/>
    </row>
    <row r="752" ht="15.75" customHeight="1">
      <c r="A752" s="2"/>
      <c r="B752" s="35"/>
      <c r="E752" s="31"/>
      <c r="F752" s="31"/>
    </row>
    <row r="753" ht="15.75" customHeight="1">
      <c r="A753" s="2"/>
      <c r="B753" s="35"/>
      <c r="E753" s="31"/>
      <c r="F753" s="31"/>
    </row>
    <row r="754" ht="15.75" customHeight="1">
      <c r="A754" s="2"/>
      <c r="B754" s="35"/>
      <c r="E754" s="31"/>
      <c r="F754" s="31"/>
    </row>
    <row r="755" ht="15.75" customHeight="1">
      <c r="A755" s="2"/>
      <c r="B755" s="35"/>
      <c r="E755" s="31"/>
      <c r="F755" s="31"/>
    </row>
    <row r="756" ht="15.75" customHeight="1">
      <c r="A756" s="2"/>
      <c r="B756" s="35"/>
      <c r="E756" s="37"/>
      <c r="F756" s="28"/>
    </row>
    <row r="757" ht="15.75" customHeight="1">
      <c r="A757" s="2"/>
      <c r="B757" s="35"/>
      <c r="E757" s="28"/>
      <c r="F757" s="28"/>
    </row>
    <row r="758" ht="15.75" customHeight="1">
      <c r="A758" s="2"/>
      <c r="B758" s="35"/>
      <c r="E758" s="31"/>
      <c r="F758" s="31"/>
    </row>
    <row r="759" ht="15.75" customHeight="1">
      <c r="A759" s="2"/>
      <c r="B759" s="35"/>
      <c r="E759" s="31"/>
      <c r="F759" s="31"/>
    </row>
    <row r="760" ht="15.75" customHeight="1">
      <c r="A760" s="2"/>
      <c r="B760" s="35"/>
      <c r="E760" s="31"/>
      <c r="F760" s="31"/>
    </row>
    <row r="761" ht="15.75" customHeight="1">
      <c r="A761" s="2"/>
      <c r="B761" s="35"/>
      <c r="E761" s="31"/>
      <c r="F761" s="31"/>
    </row>
    <row r="762" ht="15.75" customHeight="1">
      <c r="A762" s="2"/>
      <c r="B762" s="35"/>
      <c r="E762" s="31"/>
      <c r="F762" s="31"/>
    </row>
    <row r="763" ht="15.75" customHeight="1">
      <c r="A763" s="2"/>
      <c r="B763" s="35"/>
      <c r="E763" s="31"/>
      <c r="F763" s="31"/>
    </row>
    <row r="764" ht="15.75" customHeight="1">
      <c r="A764" s="2"/>
      <c r="B764" s="35"/>
      <c r="E764" s="31"/>
      <c r="F764" s="31"/>
    </row>
    <row r="765" ht="15.75" customHeight="1">
      <c r="A765" s="2"/>
      <c r="B765" s="35"/>
      <c r="E765" s="31"/>
      <c r="F765" s="31"/>
    </row>
    <row r="766" ht="15.75" customHeight="1">
      <c r="A766" s="2"/>
      <c r="B766" s="35"/>
      <c r="E766" s="31"/>
      <c r="F766" s="31"/>
    </row>
    <row r="767" ht="15.75" customHeight="1">
      <c r="A767" s="2"/>
      <c r="B767" s="35"/>
      <c r="E767" s="31"/>
      <c r="F767" s="31"/>
    </row>
    <row r="768" ht="15.75" customHeight="1">
      <c r="A768" s="2"/>
      <c r="B768" s="35"/>
      <c r="E768" s="31"/>
      <c r="F768" s="31"/>
    </row>
    <row r="769" ht="15.75" customHeight="1">
      <c r="A769" s="2"/>
      <c r="B769" s="35"/>
      <c r="E769" s="31"/>
      <c r="F769" s="31"/>
    </row>
    <row r="770" ht="15.75" customHeight="1">
      <c r="A770" s="2"/>
      <c r="B770" s="35"/>
      <c r="E770" s="31"/>
      <c r="F770" s="31"/>
    </row>
    <row r="771" ht="15.75" customHeight="1">
      <c r="A771" s="2"/>
      <c r="B771" s="35"/>
      <c r="E771" s="31"/>
      <c r="F771" s="31"/>
    </row>
    <row r="772" ht="15.75" customHeight="1">
      <c r="A772" s="2"/>
      <c r="B772" s="35"/>
      <c r="E772" s="31"/>
      <c r="F772" s="31"/>
    </row>
    <row r="773" ht="15.75" customHeight="1">
      <c r="A773" s="2"/>
      <c r="B773" s="35"/>
      <c r="E773" s="31"/>
      <c r="F773" s="31"/>
    </row>
    <row r="774" ht="15.75" customHeight="1">
      <c r="A774" s="2"/>
      <c r="B774" s="35"/>
      <c r="E774" s="31"/>
      <c r="F774" s="31"/>
    </row>
    <row r="775" ht="15.75" customHeight="1">
      <c r="A775" s="2"/>
      <c r="B775" s="35"/>
      <c r="E775" s="31"/>
      <c r="F775" s="31"/>
    </row>
    <row r="776" ht="15.75" customHeight="1">
      <c r="A776" s="2"/>
      <c r="B776" s="35"/>
      <c r="E776" s="31"/>
      <c r="F776" s="31"/>
    </row>
    <row r="777" ht="15.75" customHeight="1">
      <c r="A777" s="2"/>
      <c r="B777" s="35"/>
      <c r="E777" s="31"/>
      <c r="F777" s="31"/>
    </row>
    <row r="778" ht="15.75" customHeight="1">
      <c r="A778" s="2"/>
      <c r="B778" s="35"/>
      <c r="E778" s="31"/>
      <c r="F778" s="31"/>
    </row>
    <row r="779" ht="15.75" customHeight="1">
      <c r="A779" s="2"/>
      <c r="B779" s="35"/>
      <c r="E779" s="31"/>
      <c r="F779" s="31"/>
    </row>
    <row r="780" ht="15.75" customHeight="1">
      <c r="A780" s="2"/>
      <c r="B780" s="35"/>
      <c r="E780" s="31"/>
      <c r="F780" s="31"/>
    </row>
    <row r="781" ht="15.75" customHeight="1">
      <c r="A781" s="2"/>
      <c r="B781" s="35"/>
      <c r="E781" s="31"/>
      <c r="F781" s="31"/>
    </row>
    <row r="782" ht="15.75" customHeight="1">
      <c r="A782" s="2"/>
      <c r="B782" s="35"/>
      <c r="E782" s="31"/>
      <c r="F782" s="31"/>
    </row>
    <row r="783" ht="15.75" customHeight="1">
      <c r="A783" s="2"/>
      <c r="B783" s="35"/>
      <c r="E783" s="31"/>
      <c r="F783" s="31"/>
    </row>
    <row r="784" ht="15.75" customHeight="1">
      <c r="A784" s="2"/>
      <c r="B784" s="35"/>
      <c r="E784" s="31"/>
      <c r="F784" s="31"/>
    </row>
    <row r="785" ht="15.75" customHeight="1">
      <c r="A785" s="2"/>
      <c r="B785" s="35"/>
      <c r="E785" s="31"/>
      <c r="F785" s="31"/>
    </row>
    <row r="786" ht="15.75" customHeight="1">
      <c r="A786" s="2"/>
      <c r="B786" s="35"/>
      <c r="E786" s="31"/>
      <c r="F786" s="31"/>
    </row>
    <row r="787" ht="15.75" customHeight="1">
      <c r="A787" s="2"/>
      <c r="B787" s="35"/>
      <c r="E787" s="31"/>
      <c r="F787" s="31"/>
    </row>
    <row r="788" ht="15.75" customHeight="1">
      <c r="A788" s="2"/>
      <c r="B788" s="35"/>
      <c r="E788" s="31"/>
      <c r="F788" s="31"/>
    </row>
    <row r="789" ht="15.75" customHeight="1">
      <c r="A789" s="2"/>
      <c r="B789" s="35"/>
      <c r="E789" s="31"/>
      <c r="F789" s="31"/>
    </row>
    <row r="790" ht="15.75" customHeight="1">
      <c r="A790" s="2"/>
      <c r="B790" s="35"/>
      <c r="E790" s="31"/>
      <c r="F790" s="31"/>
    </row>
    <row r="791" ht="15.75" customHeight="1">
      <c r="A791" s="2"/>
      <c r="B791" s="35"/>
      <c r="E791" s="31"/>
      <c r="F791" s="31"/>
    </row>
    <row r="792" ht="15.75" customHeight="1">
      <c r="A792" s="2"/>
      <c r="B792" s="35"/>
      <c r="E792" s="31"/>
      <c r="F792" s="31"/>
    </row>
    <row r="793" ht="15.75" customHeight="1">
      <c r="A793" s="2"/>
      <c r="B793" s="35"/>
      <c r="E793" s="31"/>
      <c r="F793" s="31"/>
    </row>
    <row r="794" ht="15.75" customHeight="1">
      <c r="A794" s="2"/>
      <c r="B794" s="35"/>
      <c r="E794" s="31"/>
      <c r="F794" s="31"/>
    </row>
    <row r="795" ht="15.75" customHeight="1">
      <c r="A795" s="2"/>
      <c r="B795" s="35"/>
      <c r="E795" s="31"/>
      <c r="F795" s="31"/>
    </row>
    <row r="796" ht="15.75" customHeight="1">
      <c r="A796" s="39"/>
      <c r="B796" s="35"/>
      <c r="E796" s="31"/>
      <c r="F796" s="31"/>
    </row>
    <row r="797" ht="15.75" customHeight="1">
      <c r="A797" s="39"/>
      <c r="B797" s="35"/>
      <c r="E797" s="31"/>
      <c r="F797" s="31"/>
    </row>
    <row r="798" ht="15.75" customHeight="1">
      <c r="A798" s="39"/>
      <c r="B798" s="35"/>
      <c r="E798" s="31"/>
      <c r="F798" s="31"/>
    </row>
    <row r="799" ht="15.75" customHeight="1">
      <c r="A799" s="39"/>
      <c r="B799" s="35"/>
      <c r="E799" s="31"/>
      <c r="F799" s="31"/>
    </row>
    <row r="800" ht="15.75" customHeight="1">
      <c r="A800" s="39"/>
      <c r="B800" s="35"/>
      <c r="E800" s="31"/>
      <c r="F800" s="31"/>
    </row>
    <row r="801" ht="15.75" customHeight="1">
      <c r="A801" s="39"/>
      <c r="B801" s="35"/>
      <c r="C801" s="30"/>
      <c r="E801" s="31"/>
      <c r="F801" s="31"/>
    </row>
    <row r="802" ht="37.5" customHeight="1">
      <c r="A802" s="40"/>
      <c r="B802" s="40"/>
      <c r="C802" s="40"/>
      <c r="D802" s="41"/>
      <c r="E802" s="41"/>
      <c r="F802" s="41"/>
      <c r="G802" s="42"/>
      <c r="H802" s="42"/>
      <c r="I802" s="42"/>
      <c r="J802" s="42"/>
      <c r="K802" s="42"/>
      <c r="L802" s="42"/>
      <c r="M802" s="42"/>
      <c r="N802" s="42"/>
      <c r="O802" s="42"/>
      <c r="P802" s="42"/>
      <c r="Q802" s="42"/>
      <c r="R802" s="42"/>
      <c r="S802" s="42"/>
      <c r="T802" s="42"/>
      <c r="U802" s="42"/>
      <c r="V802" s="42"/>
      <c r="W802" s="42"/>
      <c r="X802" s="42"/>
      <c r="Y802" s="42"/>
      <c r="Z802" s="42"/>
      <c r="AA802" s="42"/>
      <c r="AB802" s="42"/>
    </row>
    <row r="803" ht="15.75" customHeight="1">
      <c r="A803" s="39"/>
      <c r="B803" s="39"/>
      <c r="C803" s="39"/>
      <c r="D803" s="43"/>
      <c r="E803" s="43"/>
      <c r="F803" s="43"/>
      <c r="G803" s="43"/>
    </row>
    <row r="804" ht="15.75" customHeight="1">
      <c r="A804" s="40"/>
      <c r="B804" s="40"/>
    </row>
    <row r="805" ht="15.75" customHeight="1">
      <c r="A805" s="39"/>
      <c r="B805" s="39"/>
    </row>
    <row r="806" ht="15.75" customHeight="1">
      <c r="A806" s="40"/>
      <c r="B806" s="40"/>
    </row>
    <row r="807" ht="15.75" customHeight="1">
      <c r="A807" s="39"/>
      <c r="B807" s="39"/>
    </row>
    <row r="808" ht="15.75" customHeight="1">
      <c r="A808" s="40"/>
      <c r="B808" s="40"/>
    </row>
    <row r="809" ht="15.75" customHeight="1">
      <c r="A809" s="39"/>
      <c r="B809" s="39"/>
    </row>
    <row r="810" ht="15.75" customHeight="1">
      <c r="A810" s="40"/>
      <c r="B810" s="40"/>
    </row>
    <row r="811" ht="15.75" customHeight="1">
      <c r="A811" s="39"/>
      <c r="B811" s="39"/>
    </row>
    <row r="812" ht="15.75" customHeight="1">
      <c r="A812" s="40"/>
      <c r="B812" s="40"/>
    </row>
    <row r="813" ht="15.75" customHeight="1">
      <c r="A813" s="39"/>
      <c r="B813" s="39"/>
    </row>
    <row r="814" ht="15.75" customHeight="1">
      <c r="A814" s="40"/>
      <c r="B814" s="35"/>
      <c r="C814" s="30"/>
    </row>
    <row r="815" ht="15.75" customHeight="1">
      <c r="A815" s="39"/>
      <c r="B815" s="35"/>
    </row>
    <row r="816" ht="15.75" customHeight="1">
      <c r="A816" s="40"/>
      <c r="B816" s="35"/>
    </row>
    <row r="817" ht="15.75" customHeight="1">
      <c r="A817" s="39"/>
      <c r="B817" s="35"/>
    </row>
    <row r="818" ht="15.75" customHeight="1">
      <c r="A818" s="40"/>
      <c r="B818" s="35"/>
    </row>
    <row r="819" ht="15.75" customHeight="1">
      <c r="A819" s="39"/>
      <c r="B819" s="35"/>
    </row>
    <row r="820" ht="15.75" customHeight="1">
      <c r="A820" s="40"/>
      <c r="B820" s="35"/>
    </row>
    <row r="821" ht="15.75" customHeight="1">
      <c r="A821" s="39"/>
      <c r="B821" s="35"/>
    </row>
    <row r="822" ht="15.75" customHeight="1">
      <c r="A822" s="40"/>
      <c r="B822" s="35"/>
    </row>
    <row r="823" ht="15.75" customHeight="1">
      <c r="A823" s="39"/>
      <c r="B823" s="35"/>
      <c r="E823" s="31"/>
      <c r="F823" s="28"/>
    </row>
    <row r="824" ht="15.75" customHeight="1">
      <c r="A824" s="40"/>
      <c r="B824" s="35"/>
      <c r="C824" s="30"/>
    </row>
    <row r="825" ht="15.75" customHeight="1">
      <c r="A825" s="39"/>
      <c r="B825" s="35"/>
    </row>
    <row r="826" ht="15.75" customHeight="1">
      <c r="A826" s="40"/>
      <c r="B826" s="35"/>
    </row>
    <row r="827" ht="15.75" customHeight="1">
      <c r="A827" s="39"/>
      <c r="B827" s="35"/>
    </row>
    <row r="828" ht="15.75" customHeight="1">
      <c r="A828" s="40"/>
      <c r="B828" s="35"/>
    </row>
    <row r="829" ht="15.75" customHeight="1">
      <c r="A829" s="39"/>
      <c r="B829" s="35"/>
    </row>
    <row r="830" ht="15.75" customHeight="1">
      <c r="A830" s="40"/>
      <c r="B830" s="35"/>
    </row>
    <row r="831" ht="15.75" customHeight="1">
      <c r="A831" s="39"/>
      <c r="B831" s="35"/>
    </row>
    <row r="832" ht="15.75" customHeight="1">
      <c r="A832" s="40"/>
      <c r="B832" s="35"/>
    </row>
    <row r="833" ht="15.75" customHeight="1">
      <c r="A833" s="39"/>
      <c r="B833" s="35"/>
      <c r="C833" s="30"/>
    </row>
    <row r="834" ht="15.75" customHeight="1">
      <c r="A834" s="40"/>
      <c r="B834" s="35"/>
    </row>
    <row r="835" ht="37.5" customHeight="1">
      <c r="A835" s="40"/>
      <c r="B835" s="44"/>
      <c r="C835" s="42"/>
      <c r="D835" s="41"/>
      <c r="E835" s="41"/>
      <c r="F835" s="41"/>
      <c r="G835" s="41"/>
      <c r="H835" s="42"/>
      <c r="I835" s="42"/>
      <c r="J835" s="42"/>
      <c r="K835" s="42"/>
      <c r="L835" s="42"/>
      <c r="M835" s="42"/>
      <c r="N835" s="42"/>
      <c r="O835" s="42"/>
      <c r="P835" s="42"/>
      <c r="Q835" s="42"/>
      <c r="R835" s="42"/>
      <c r="S835" s="42"/>
      <c r="T835" s="42"/>
      <c r="U835" s="42"/>
      <c r="V835" s="42"/>
      <c r="W835" s="42"/>
      <c r="X835" s="42"/>
      <c r="Y835" s="42"/>
      <c r="Z835" s="42"/>
      <c r="AA835" s="42"/>
      <c r="AB835" s="42"/>
    </row>
    <row r="836" ht="15.75" customHeight="1">
      <c r="A836" s="40"/>
      <c r="B836" s="35"/>
    </row>
    <row r="837" ht="15.75" customHeight="1">
      <c r="A837" s="39"/>
      <c r="B837" s="35"/>
    </row>
    <row r="838" ht="15.75" customHeight="1">
      <c r="A838" s="40"/>
      <c r="B838" s="35"/>
    </row>
    <row r="839" ht="15.75" customHeight="1">
      <c r="A839" s="39"/>
      <c r="B839" s="35"/>
    </row>
    <row r="840" ht="15.75" customHeight="1">
      <c r="A840" s="40"/>
      <c r="B840" s="35"/>
    </row>
    <row r="841" ht="15.75" customHeight="1">
      <c r="A841" s="39"/>
      <c r="B841" s="35"/>
    </row>
    <row r="842" ht="15.75" customHeight="1">
      <c r="A842" s="40"/>
      <c r="B842" s="35"/>
    </row>
    <row r="843" ht="15.75" customHeight="1">
      <c r="A843" s="39"/>
      <c r="B843" s="35"/>
    </row>
    <row r="844" ht="15.75" customHeight="1">
      <c r="A844" s="40"/>
      <c r="B844" s="35"/>
    </row>
    <row r="845" ht="15.75" customHeight="1">
      <c r="A845" s="39"/>
      <c r="B845" s="35"/>
    </row>
    <row r="846" ht="15.75" customHeight="1">
      <c r="A846" s="40"/>
      <c r="B846" s="35"/>
    </row>
    <row r="847" ht="15.75" customHeight="1">
      <c r="A847" s="39"/>
      <c r="B847" s="35"/>
    </row>
    <row r="848" ht="15.75" customHeight="1">
      <c r="A848" s="40"/>
      <c r="B848" s="35"/>
    </row>
    <row r="849" ht="15.75" customHeight="1">
      <c r="A849" s="39"/>
      <c r="B849" s="35"/>
    </row>
    <row r="850" ht="15.75" customHeight="1">
      <c r="A850" s="40"/>
      <c r="B850" s="35"/>
    </row>
    <row r="851" ht="15.75" customHeight="1">
      <c r="A851" s="39"/>
      <c r="B851" s="35"/>
    </row>
    <row r="852" ht="15.75" customHeight="1">
      <c r="A852" s="40"/>
      <c r="B852" s="35"/>
    </row>
    <row r="853" ht="15.75" customHeight="1">
      <c r="A853" s="39"/>
      <c r="B853" s="35"/>
    </row>
    <row r="854" ht="15.75" customHeight="1">
      <c r="A854" s="40"/>
      <c r="B854" s="35"/>
    </row>
    <row r="855" ht="15.75" customHeight="1">
      <c r="A855" s="39"/>
      <c r="B855" s="35"/>
    </row>
    <row r="856" ht="15.75" customHeight="1">
      <c r="A856" s="40"/>
      <c r="B856" s="35"/>
    </row>
    <row r="857" ht="15.75" customHeight="1">
      <c r="A857" s="39"/>
      <c r="B857" s="35"/>
    </row>
    <row r="858" ht="15.75" customHeight="1">
      <c r="A858" s="40"/>
      <c r="B858" s="35"/>
    </row>
    <row r="859" ht="15.75" customHeight="1">
      <c r="A859" s="39"/>
      <c r="B859" s="35"/>
    </row>
    <row r="860" ht="15.75" customHeight="1">
      <c r="A860" s="40"/>
      <c r="B860" s="35"/>
      <c r="C860" s="45"/>
    </row>
    <row r="861" ht="15.75" customHeight="1">
      <c r="A861" s="39"/>
      <c r="B861" s="35"/>
    </row>
    <row r="862" ht="15.75" customHeight="1">
      <c r="A862" s="40"/>
      <c r="B862" s="35"/>
    </row>
    <row r="863" ht="15.75" customHeight="1">
      <c r="A863" s="39"/>
      <c r="B863" s="35"/>
      <c r="E863" s="28"/>
      <c r="F863" s="28"/>
    </row>
    <row r="864" ht="15.75" customHeight="1">
      <c r="A864" s="40"/>
      <c r="B864" s="35"/>
      <c r="E864" s="28"/>
      <c r="F864" s="28"/>
    </row>
    <row r="865" ht="15.75" customHeight="1">
      <c r="A865" s="39"/>
      <c r="B865" s="35"/>
      <c r="E865" s="28"/>
      <c r="F865" s="28"/>
    </row>
    <row r="866" ht="15.75" customHeight="1">
      <c r="A866" s="40"/>
      <c r="B866" s="35"/>
      <c r="E866" s="28"/>
      <c r="F866" s="28"/>
    </row>
    <row r="867" ht="15.75" customHeight="1">
      <c r="A867" s="39"/>
      <c r="B867" s="35"/>
      <c r="E867" s="28"/>
      <c r="F867" s="28"/>
    </row>
    <row r="868" ht="15.75" customHeight="1">
      <c r="A868" s="40"/>
      <c r="B868" s="35"/>
    </row>
    <row r="869" ht="15.75" customHeight="1">
      <c r="A869" s="39"/>
      <c r="B869" s="35"/>
    </row>
    <row r="870" ht="15.75" customHeight="1">
      <c r="A870" s="40"/>
      <c r="B870" s="35"/>
      <c r="C870" s="45"/>
    </row>
    <row r="871" ht="15.75" customHeight="1">
      <c r="A871" s="39"/>
      <c r="B871" s="35"/>
    </row>
    <row r="872" ht="15.75" customHeight="1">
      <c r="A872" s="40"/>
      <c r="B872" s="35"/>
    </row>
    <row r="873" ht="15.75" customHeight="1">
      <c r="A873" s="39"/>
      <c r="B873" s="35"/>
    </row>
    <row r="874" ht="15.75" customHeight="1">
      <c r="A874" s="40"/>
      <c r="B874" s="35"/>
      <c r="C874" s="45"/>
    </row>
    <row r="875" ht="15.75" customHeight="1">
      <c r="A875" s="39"/>
      <c r="B875" s="35"/>
    </row>
    <row r="876" ht="15.75" customHeight="1">
      <c r="A876" s="40"/>
      <c r="B876" s="35"/>
    </row>
    <row r="877" ht="15.75" customHeight="1">
      <c r="A877" s="39"/>
      <c r="B877" s="35"/>
    </row>
    <row r="878" ht="15.75" customHeight="1">
      <c r="A878" s="40"/>
      <c r="B878" s="35"/>
    </row>
    <row r="879" ht="15.75" customHeight="1">
      <c r="A879" s="39"/>
      <c r="B879" s="35"/>
    </row>
    <row r="880" ht="15.75" customHeight="1">
      <c r="A880" s="40"/>
      <c r="B880" s="35"/>
    </row>
    <row r="881" ht="15.75" customHeight="1">
      <c r="A881" s="39"/>
      <c r="B881" s="35"/>
    </row>
    <row r="882" ht="15.75" customHeight="1">
      <c r="A882" s="40"/>
      <c r="B882" s="35"/>
      <c r="E882" s="45"/>
      <c r="F882" s="45"/>
    </row>
    <row r="883" ht="15.75" customHeight="1">
      <c r="A883" s="39"/>
      <c r="B883" s="35"/>
      <c r="E883" s="45"/>
      <c r="F883" s="45"/>
    </row>
    <row r="884" ht="15.75" customHeight="1">
      <c r="A884" s="40"/>
      <c r="B884" s="35"/>
      <c r="C884" s="45"/>
      <c r="E884" s="45"/>
      <c r="F884" s="45"/>
    </row>
    <row r="885" ht="15.75" customHeight="1">
      <c r="A885" s="39"/>
      <c r="B885" s="35"/>
    </row>
    <row r="886" ht="15.75" customHeight="1">
      <c r="A886" s="40"/>
      <c r="B886" s="35"/>
    </row>
    <row r="887" ht="15.75" customHeight="1">
      <c r="A887" s="39"/>
      <c r="B887" s="35"/>
    </row>
    <row r="888" ht="15.75" customHeight="1">
      <c r="A888" s="40"/>
      <c r="B888" s="35"/>
    </row>
    <row r="889" ht="15.75" customHeight="1">
      <c r="A889" s="39"/>
      <c r="B889" s="35"/>
    </row>
    <row r="890" ht="15.75" customHeight="1">
      <c r="A890" s="40"/>
      <c r="B890" s="35"/>
    </row>
    <row r="891" ht="15.75" customHeight="1">
      <c r="A891" s="39"/>
      <c r="B891" s="35"/>
    </row>
    <row r="892" ht="15.75" customHeight="1">
      <c r="A892" s="40"/>
      <c r="B892" s="35"/>
    </row>
    <row r="893" ht="15.75" customHeight="1">
      <c r="A893" s="39"/>
      <c r="B893" s="35"/>
    </row>
    <row r="894" ht="15.75" customHeight="1">
      <c r="A894" s="40"/>
      <c r="B894" s="35"/>
    </row>
    <row r="895" ht="15.75" customHeight="1">
      <c r="A895" s="39"/>
      <c r="B895" s="35"/>
    </row>
    <row r="896" ht="15.75" customHeight="1">
      <c r="A896" s="40"/>
      <c r="B896" s="35"/>
    </row>
    <row r="897" ht="15.75" customHeight="1">
      <c r="A897" s="39"/>
      <c r="B897" s="35"/>
    </row>
    <row r="898" ht="15.75" customHeight="1">
      <c r="A898" s="40"/>
      <c r="B898" s="35"/>
    </row>
    <row r="899" ht="15.75" customHeight="1">
      <c r="A899" s="39"/>
      <c r="B899" s="35"/>
    </row>
    <row r="900" ht="15.75" customHeight="1">
      <c r="A900" s="40"/>
      <c r="B900" s="35"/>
    </row>
    <row r="901" ht="15.75" customHeight="1">
      <c r="A901" s="39"/>
      <c r="B901" s="35"/>
    </row>
    <row r="902" ht="15.75" customHeight="1">
      <c r="A902" s="39"/>
      <c r="B902" s="35"/>
      <c r="C902" s="45"/>
    </row>
    <row r="903" ht="15.75" customHeight="1">
      <c r="A903" s="40"/>
      <c r="B903" s="35"/>
    </row>
    <row r="904" ht="15.75" customHeight="1">
      <c r="A904" s="39"/>
      <c r="B904" s="35"/>
    </row>
    <row r="905" ht="15.75" customHeight="1">
      <c r="A905" s="39"/>
      <c r="B905" s="35"/>
    </row>
    <row r="906" ht="15.75" customHeight="1">
      <c r="A906" s="39"/>
      <c r="B906" s="35"/>
      <c r="C906" s="45"/>
    </row>
    <row r="907" ht="15.75" customHeight="1">
      <c r="A907" s="39"/>
      <c r="B907" s="35"/>
    </row>
    <row r="908" ht="15.75" customHeight="1">
      <c r="A908" s="39"/>
      <c r="B908" s="35"/>
    </row>
    <row r="909" ht="15.75" customHeight="1">
      <c r="A909" s="39"/>
      <c r="B909" s="35"/>
    </row>
    <row r="910" ht="15.75" customHeight="1">
      <c r="A910" s="39"/>
      <c r="B910" s="35"/>
    </row>
    <row r="911" ht="15.75" customHeight="1">
      <c r="A911" s="39"/>
      <c r="B911" s="35"/>
    </row>
    <row r="912" ht="15.75" customHeight="1">
      <c r="A912" s="39"/>
      <c r="B912" s="35"/>
    </row>
    <row r="913" ht="15.75" customHeight="1">
      <c r="A913" s="39"/>
      <c r="B913" s="35"/>
    </row>
    <row r="914" ht="15.75" customHeight="1">
      <c r="A914" s="39"/>
      <c r="B914" s="35"/>
    </row>
    <row r="915" ht="15.75" customHeight="1">
      <c r="A915" s="39"/>
      <c r="B915" s="35"/>
    </row>
    <row r="916" ht="15.75" customHeight="1">
      <c r="A916" s="39"/>
      <c r="B916" s="35"/>
    </row>
    <row r="917" ht="15.75" customHeight="1">
      <c r="A917" s="39"/>
      <c r="B917" s="35"/>
    </row>
    <row r="918" ht="15.75" customHeight="1">
      <c r="A918" s="39"/>
      <c r="B918" s="35"/>
    </row>
    <row r="919" ht="15.75" customHeight="1">
      <c r="A919" s="39"/>
      <c r="B919" s="35"/>
    </row>
    <row r="920" ht="15.75" customHeight="1">
      <c r="A920" s="39"/>
      <c r="B920" s="35"/>
      <c r="H920" s="35"/>
      <c r="I920" s="35"/>
    </row>
    <row r="921" ht="15.75" customHeight="1">
      <c r="A921" s="39"/>
      <c r="B921" s="35"/>
      <c r="H921" s="35"/>
      <c r="I921" s="35"/>
    </row>
    <row r="922" ht="15.75" customHeight="1">
      <c r="A922" s="39"/>
      <c r="B922" s="35"/>
      <c r="H922" s="35"/>
      <c r="I922" s="35"/>
    </row>
    <row r="923" ht="15.75" customHeight="1">
      <c r="A923" s="39"/>
      <c r="B923" s="35"/>
      <c r="H923" s="35"/>
      <c r="I923" s="35"/>
    </row>
    <row r="924" ht="15.75" customHeight="1">
      <c r="A924" s="39"/>
      <c r="B924" s="35"/>
      <c r="H924" s="35"/>
      <c r="I924" s="35"/>
    </row>
    <row r="925" ht="15.75" customHeight="1">
      <c r="A925" s="39"/>
      <c r="B925" s="35"/>
      <c r="H925" s="35"/>
      <c r="I925" s="35"/>
    </row>
    <row r="926" ht="15.75" customHeight="1">
      <c r="A926" s="39"/>
      <c r="B926" s="35"/>
      <c r="H926" s="35"/>
      <c r="I926" s="35"/>
    </row>
    <row r="927" ht="15.75" customHeight="1">
      <c r="A927" s="39"/>
      <c r="B927" s="35"/>
      <c r="H927" s="35"/>
      <c r="I927" s="35"/>
    </row>
    <row r="928" ht="15.75" customHeight="1">
      <c r="A928" s="39"/>
      <c r="B928" s="35"/>
    </row>
    <row r="929" ht="15.75" customHeight="1">
      <c r="A929" s="46"/>
      <c r="B929" s="35"/>
    </row>
    <row r="930" ht="15.75" customHeight="1">
      <c r="A930" s="46"/>
      <c r="B930" s="35"/>
    </row>
    <row r="931" ht="15.75" customHeight="1">
      <c r="A931" s="46"/>
      <c r="B931" s="35"/>
    </row>
    <row r="932" ht="15.75" customHeight="1">
      <c r="A932" s="46"/>
      <c r="B932" s="35"/>
    </row>
    <row r="933" ht="15.75" customHeight="1">
      <c r="A933" s="46"/>
      <c r="B933" s="35"/>
    </row>
    <row r="934" ht="15.75" customHeight="1">
      <c r="A934" s="46"/>
      <c r="B934" s="35"/>
    </row>
    <row r="935" ht="15.75" customHeight="1">
      <c r="A935" s="46"/>
      <c r="B935" s="35"/>
    </row>
    <row r="936" ht="15.75" customHeight="1">
      <c r="A936" s="46"/>
      <c r="B936" s="35"/>
    </row>
    <row r="937" ht="15.75" customHeight="1">
      <c r="A937" s="46"/>
      <c r="B937" s="35"/>
    </row>
    <row r="938" ht="15.75" customHeight="1">
      <c r="A938" s="46"/>
      <c r="B938" s="35"/>
    </row>
    <row r="939" ht="15.75" customHeight="1">
      <c r="A939" s="46"/>
      <c r="B939" s="35"/>
    </row>
    <row r="940" ht="15.75" customHeight="1">
      <c r="A940" s="46"/>
      <c r="B940" s="35"/>
    </row>
    <row r="941" ht="15.75" customHeight="1">
      <c r="A941" s="46"/>
      <c r="B941" s="35"/>
    </row>
    <row r="942" ht="15.75" customHeight="1">
      <c r="A942" s="46"/>
      <c r="B942" s="35"/>
    </row>
    <row r="943" ht="15.75" customHeight="1">
      <c r="A943" s="46"/>
      <c r="B943" s="35"/>
    </row>
    <row r="944" ht="15.75" customHeight="1">
      <c r="A944" s="46"/>
      <c r="B944" s="35"/>
    </row>
    <row r="945" ht="15.75" customHeight="1">
      <c r="A945" s="46"/>
      <c r="B945" s="35"/>
    </row>
    <row r="946" ht="15.75" customHeight="1">
      <c r="A946" s="46"/>
      <c r="B946" s="35"/>
    </row>
    <row r="947" ht="15.75" customHeight="1">
      <c r="A947" s="46"/>
      <c r="B947" s="35"/>
    </row>
    <row r="948" ht="15.75" customHeight="1">
      <c r="A948" s="46"/>
      <c r="B948" s="35"/>
    </row>
    <row r="949" ht="15.75" customHeight="1">
      <c r="A949" s="46"/>
      <c r="B949" s="35"/>
    </row>
    <row r="950" ht="15.75" customHeight="1">
      <c r="A950" s="46"/>
      <c r="B950" s="35"/>
    </row>
    <row r="951" ht="15.75" customHeight="1">
      <c r="A951" s="46"/>
      <c r="B951" s="35"/>
    </row>
    <row r="952" ht="15.75" customHeight="1">
      <c r="A952" s="46"/>
      <c r="B952" s="35"/>
    </row>
    <row r="953" ht="15.75" customHeight="1">
      <c r="A953" s="46"/>
      <c r="B953" s="35"/>
    </row>
    <row r="954" ht="15.75" customHeight="1">
      <c r="A954" s="46"/>
      <c r="B954" s="35"/>
    </row>
    <row r="955" ht="15.75" customHeight="1">
      <c r="A955" s="46"/>
      <c r="B955" s="47"/>
      <c r="E955" s="43"/>
      <c r="F955" s="43"/>
      <c r="G955" s="43"/>
    </row>
    <row r="956" ht="15.75" customHeight="1">
      <c r="A956" s="46"/>
      <c r="B956" s="47"/>
      <c r="E956" s="28"/>
      <c r="F956" s="28"/>
    </row>
    <row r="957" ht="15.75" customHeight="1">
      <c r="A957" s="46"/>
      <c r="B957" s="47"/>
      <c r="E957" s="28"/>
      <c r="F957" s="28"/>
    </row>
    <row r="958" ht="15.75" customHeight="1">
      <c r="A958" s="46"/>
      <c r="B958" s="47"/>
      <c r="E958" s="28"/>
      <c r="F958" s="28"/>
    </row>
    <row r="959" ht="15.75" customHeight="1">
      <c r="A959" s="46"/>
      <c r="B959" s="47"/>
      <c r="E959" s="28"/>
      <c r="F959" s="28"/>
    </row>
    <row r="960" ht="15.75" customHeight="1">
      <c r="A960" s="46"/>
      <c r="B960" s="47"/>
      <c r="E960" s="28"/>
      <c r="F960" s="28"/>
    </row>
    <row r="961" ht="15.75" customHeight="1">
      <c r="A961" s="46"/>
      <c r="B961" s="47"/>
      <c r="E961" s="28"/>
      <c r="F961" s="28"/>
    </row>
    <row r="962" ht="15.75" customHeight="1">
      <c r="A962" s="46"/>
      <c r="B962" s="47"/>
      <c r="E962" s="28"/>
      <c r="F962" s="28"/>
    </row>
    <row r="963" ht="15.75" customHeight="1">
      <c r="A963" s="46"/>
      <c r="B963" s="47"/>
      <c r="E963" s="28"/>
      <c r="F963" s="28"/>
    </row>
    <row r="964" ht="15.75" customHeight="1">
      <c r="A964" s="46"/>
      <c r="B964" s="47"/>
      <c r="E964" s="28"/>
      <c r="F964" s="28"/>
    </row>
    <row r="965" ht="15.75" customHeight="1">
      <c r="A965" s="46"/>
      <c r="B965" s="47"/>
      <c r="E965" s="28"/>
      <c r="F965" s="28"/>
    </row>
    <row r="966" ht="15.75" customHeight="1">
      <c r="A966" s="46"/>
      <c r="B966" s="47"/>
      <c r="E966" s="28"/>
      <c r="F966" s="28"/>
    </row>
    <row r="967" ht="15.75" customHeight="1">
      <c r="A967" s="46"/>
      <c r="B967" s="47"/>
      <c r="E967" s="28"/>
      <c r="F967" s="28"/>
    </row>
    <row r="968" ht="15.75" customHeight="1">
      <c r="A968" s="46"/>
      <c r="B968" s="47"/>
      <c r="E968" s="28"/>
      <c r="F968" s="28"/>
    </row>
    <row r="969" ht="15.75" customHeight="1">
      <c r="A969" s="46"/>
      <c r="B969" s="47"/>
      <c r="E969" s="28"/>
      <c r="F969" s="28"/>
    </row>
    <row r="970" ht="15.75" customHeight="1">
      <c r="A970" s="46"/>
      <c r="B970" s="47"/>
      <c r="E970" s="28"/>
      <c r="F970" s="28"/>
    </row>
    <row r="971" ht="15.75" customHeight="1">
      <c r="A971" s="46"/>
      <c r="B971" s="47"/>
      <c r="E971" s="28"/>
      <c r="F971" s="28"/>
    </row>
    <row r="972" ht="15.75" customHeight="1">
      <c r="A972" s="46"/>
      <c r="B972" s="47"/>
      <c r="E972" s="28"/>
      <c r="F972" s="28"/>
    </row>
    <row r="973" ht="15.75" customHeight="1">
      <c r="A973" s="46"/>
      <c r="B973" s="47"/>
      <c r="E973" s="28"/>
      <c r="F973" s="28"/>
    </row>
    <row r="974" ht="15.75" customHeight="1">
      <c r="A974" s="46"/>
      <c r="B974" s="47"/>
      <c r="E974" s="28"/>
      <c r="F974" s="28"/>
    </row>
    <row r="975" ht="15.75" customHeight="1">
      <c r="A975" s="46"/>
      <c r="B975" s="47"/>
      <c r="E975" s="28"/>
      <c r="F975" s="28"/>
    </row>
    <row r="976" ht="15.75" customHeight="1">
      <c r="A976" s="46"/>
      <c r="B976" s="47"/>
      <c r="E976" s="28"/>
      <c r="F976" s="28"/>
    </row>
    <row r="977" ht="15.75" customHeight="1">
      <c r="A977" s="46"/>
      <c r="B977" s="47"/>
      <c r="E977" s="28"/>
      <c r="F977" s="28"/>
    </row>
    <row r="978" ht="15.75" customHeight="1">
      <c r="A978" s="46"/>
      <c r="B978" s="47"/>
      <c r="E978" s="28"/>
      <c r="F978" s="28"/>
    </row>
    <row r="979" ht="15.75" customHeight="1">
      <c r="A979" s="46"/>
      <c r="B979" s="47"/>
      <c r="E979" s="28"/>
      <c r="F979" s="28"/>
    </row>
    <row r="980" ht="15.75" customHeight="1">
      <c r="A980" s="46"/>
      <c r="B980" s="47"/>
      <c r="E980" s="28"/>
      <c r="F980" s="28"/>
    </row>
    <row r="981" ht="15.75" customHeight="1">
      <c r="A981" s="46"/>
      <c r="B981" s="47"/>
      <c r="E981" s="28"/>
      <c r="F981" s="28"/>
    </row>
    <row r="982" ht="15.75" customHeight="1">
      <c r="A982" s="46"/>
      <c r="B982" s="47"/>
      <c r="E982" s="28"/>
      <c r="F982" s="28"/>
    </row>
    <row r="983" ht="15.75" customHeight="1">
      <c r="A983" s="46"/>
      <c r="B983" s="47"/>
      <c r="E983" s="28"/>
      <c r="F983" s="28"/>
    </row>
    <row r="984" ht="15.75" customHeight="1">
      <c r="A984" s="46"/>
      <c r="B984" s="47"/>
      <c r="E984" s="28"/>
      <c r="F984" s="28"/>
    </row>
    <row r="985" ht="15.75" customHeight="1">
      <c r="A985" s="46"/>
      <c r="B985" s="47"/>
      <c r="E985" s="28"/>
      <c r="F985" s="28"/>
    </row>
    <row r="986" ht="15.75" customHeight="1">
      <c r="A986" s="46"/>
      <c r="B986" s="47"/>
      <c r="E986" s="28"/>
      <c r="F986" s="28"/>
    </row>
    <row r="987" ht="15.75" customHeight="1">
      <c r="A987" s="46"/>
      <c r="B987" s="47"/>
      <c r="E987" s="28"/>
      <c r="F987" s="28"/>
    </row>
    <row r="988" ht="15.75" customHeight="1">
      <c r="A988" s="46"/>
      <c r="B988" s="47"/>
      <c r="E988" s="28"/>
      <c r="F988" s="28"/>
    </row>
    <row r="989" ht="15.75" customHeight="1">
      <c r="A989" s="46"/>
      <c r="B989" s="47"/>
      <c r="E989" s="28"/>
      <c r="F989" s="28"/>
    </row>
    <row r="990" ht="15.75" customHeight="1">
      <c r="A990" s="46"/>
      <c r="B990" s="47"/>
      <c r="E990" s="28"/>
      <c r="F990" s="28"/>
    </row>
    <row r="991" ht="15.75" customHeight="1">
      <c r="A991" s="46"/>
      <c r="B991" s="47"/>
      <c r="E991" s="28"/>
      <c r="F991" s="28"/>
    </row>
    <row r="992" ht="15.75" customHeight="1">
      <c r="A992" s="46"/>
      <c r="B992" s="47"/>
      <c r="E992" s="28"/>
      <c r="F992" s="28"/>
    </row>
    <row r="993" ht="15.75" customHeight="1">
      <c r="A993" s="46"/>
      <c r="B993" s="47"/>
      <c r="E993" s="28"/>
      <c r="F993" s="28"/>
    </row>
    <row r="994" ht="15.75" customHeight="1">
      <c r="A994" s="46"/>
      <c r="B994" s="47"/>
      <c r="E994" s="28"/>
      <c r="F994" s="28"/>
    </row>
    <row r="995" ht="15.75" customHeight="1">
      <c r="A995" s="46"/>
      <c r="B995" s="47"/>
      <c r="E995" s="28"/>
      <c r="F995" s="28"/>
    </row>
    <row r="996" ht="15.75" customHeight="1">
      <c r="A996" s="46"/>
      <c r="B996" s="47"/>
      <c r="E996" s="28"/>
      <c r="F996" s="28"/>
    </row>
    <row r="997" ht="15.75" customHeight="1">
      <c r="A997" s="46"/>
      <c r="B997" s="47"/>
      <c r="E997" s="28"/>
      <c r="F997" s="28"/>
    </row>
    <row r="998" ht="15.75" customHeight="1">
      <c r="A998" s="46"/>
      <c r="B998" s="47"/>
      <c r="E998" s="28"/>
      <c r="F998" s="28"/>
    </row>
    <row r="999" ht="15.75" customHeight="1">
      <c r="A999" s="46"/>
      <c r="B999" s="47"/>
      <c r="E999" s="28"/>
      <c r="F999" s="28"/>
    </row>
    <row r="1000" ht="15.75" customHeight="1">
      <c r="A1000" s="46"/>
      <c r="B1000" s="47"/>
      <c r="E1000" s="28"/>
      <c r="F1000" s="2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13"/>
    <col customWidth="1" min="2" max="2" width="9.25"/>
    <col customWidth="1" min="3" max="3" width="43.38"/>
    <col customWidth="1" min="4" max="4" width="28.75"/>
    <col customWidth="1" min="5" max="8" width="37.63"/>
  </cols>
  <sheetData>
    <row r="1" ht="26.25" customHeight="1">
      <c r="A1" s="48" t="s">
        <v>0</v>
      </c>
      <c r="B1" s="49" t="s">
        <v>16</v>
      </c>
      <c r="C1" s="48" t="s">
        <v>17</v>
      </c>
      <c r="D1" s="48" t="s">
        <v>18</v>
      </c>
      <c r="E1" s="48"/>
      <c r="F1" s="48"/>
      <c r="G1" s="48"/>
      <c r="H1" s="48"/>
      <c r="I1" s="48"/>
      <c r="J1" s="48"/>
      <c r="K1" s="48"/>
      <c r="L1" s="48"/>
      <c r="M1" s="48"/>
      <c r="N1" s="48"/>
      <c r="O1" s="48"/>
      <c r="P1" s="48"/>
      <c r="Q1" s="48"/>
      <c r="R1" s="48"/>
      <c r="S1" s="48"/>
      <c r="T1" s="48"/>
      <c r="U1" s="48"/>
      <c r="V1" s="48"/>
      <c r="W1" s="48"/>
      <c r="X1" s="48"/>
      <c r="Y1" s="48"/>
      <c r="Z1" s="48"/>
    </row>
    <row r="2" ht="26.25" customHeight="1">
      <c r="A2" s="50">
        <v>1.0</v>
      </c>
      <c r="B2" s="51">
        <v>45966.0</v>
      </c>
      <c r="C2" s="52" t="s">
        <v>19</v>
      </c>
      <c r="D2" s="53" t="s">
        <v>20</v>
      </c>
      <c r="E2" s="54"/>
      <c r="F2" s="54"/>
      <c r="G2" s="54"/>
      <c r="H2" s="54"/>
      <c r="I2" s="54"/>
      <c r="J2" s="54"/>
      <c r="K2" s="54"/>
      <c r="L2" s="54"/>
      <c r="M2" s="54"/>
      <c r="N2" s="54"/>
      <c r="O2" s="54"/>
      <c r="P2" s="54"/>
      <c r="Q2" s="54"/>
      <c r="R2" s="54"/>
      <c r="S2" s="54"/>
      <c r="T2" s="54"/>
      <c r="U2" s="54"/>
      <c r="V2" s="54"/>
      <c r="W2" s="54"/>
      <c r="X2" s="54"/>
      <c r="Y2" s="54"/>
      <c r="Z2" s="54"/>
    </row>
    <row r="3" ht="26.25" customHeight="1">
      <c r="A3" s="54"/>
      <c r="B3" s="55"/>
      <c r="C3" s="52" t="s">
        <v>21</v>
      </c>
      <c r="D3" s="53" t="s">
        <v>22</v>
      </c>
      <c r="E3" s="54"/>
      <c r="F3" s="54"/>
      <c r="G3" s="54"/>
      <c r="H3" s="54"/>
      <c r="I3" s="54"/>
      <c r="J3" s="54"/>
      <c r="K3" s="54"/>
      <c r="L3" s="54"/>
      <c r="M3" s="54"/>
      <c r="N3" s="54"/>
      <c r="O3" s="54"/>
      <c r="P3" s="54"/>
      <c r="Q3" s="54"/>
      <c r="R3" s="54"/>
      <c r="S3" s="54"/>
      <c r="T3" s="54"/>
      <c r="U3" s="54"/>
      <c r="V3" s="54"/>
      <c r="W3" s="54"/>
      <c r="X3" s="54"/>
      <c r="Y3" s="54"/>
      <c r="Z3" s="54"/>
    </row>
    <row r="4" ht="26.25" customHeight="1">
      <c r="A4" s="54"/>
      <c r="B4" s="56">
        <v>45967.0</v>
      </c>
      <c r="C4" s="52" t="s">
        <v>23</v>
      </c>
      <c r="D4" s="53" t="s">
        <v>24</v>
      </c>
      <c r="E4" s="54"/>
      <c r="F4" s="54"/>
      <c r="G4" s="54"/>
      <c r="H4" s="54"/>
      <c r="I4" s="54"/>
      <c r="J4" s="54"/>
      <c r="K4" s="54"/>
      <c r="L4" s="54"/>
      <c r="M4" s="54"/>
      <c r="N4" s="54"/>
      <c r="O4" s="54"/>
      <c r="P4" s="54"/>
      <c r="Q4" s="54"/>
      <c r="R4" s="54"/>
      <c r="S4" s="54"/>
      <c r="T4" s="54"/>
      <c r="U4" s="54"/>
      <c r="V4" s="54"/>
      <c r="W4" s="54"/>
      <c r="X4" s="54"/>
      <c r="Y4" s="54"/>
      <c r="Z4" s="54"/>
    </row>
    <row r="5" ht="26.25" customHeight="1">
      <c r="A5" s="54"/>
      <c r="B5" s="57"/>
      <c r="C5" s="58" t="s">
        <v>25</v>
      </c>
      <c r="D5" s="53" t="s">
        <v>26</v>
      </c>
      <c r="E5" s="54"/>
      <c r="F5" s="54"/>
      <c r="G5" s="54"/>
      <c r="H5" s="54"/>
      <c r="I5" s="54"/>
      <c r="J5" s="54"/>
      <c r="K5" s="54"/>
      <c r="L5" s="54"/>
      <c r="M5" s="54"/>
      <c r="N5" s="54"/>
      <c r="O5" s="54"/>
      <c r="P5" s="54"/>
      <c r="Q5" s="54"/>
      <c r="R5" s="54"/>
      <c r="S5" s="54"/>
      <c r="T5" s="54"/>
      <c r="U5" s="54"/>
      <c r="V5" s="54"/>
      <c r="W5" s="54"/>
      <c r="X5" s="54"/>
      <c r="Y5" s="54"/>
      <c r="Z5" s="54"/>
    </row>
    <row r="6" ht="26.25" customHeight="1">
      <c r="A6" s="54"/>
      <c r="B6" s="59">
        <v>45968.0</v>
      </c>
      <c r="C6" s="52" t="s">
        <v>27</v>
      </c>
      <c r="D6" s="53" t="s">
        <v>28</v>
      </c>
      <c r="E6" s="54"/>
      <c r="F6" s="54"/>
      <c r="G6" s="54"/>
      <c r="H6" s="54"/>
      <c r="I6" s="54"/>
      <c r="J6" s="54"/>
      <c r="K6" s="54"/>
      <c r="L6" s="54"/>
      <c r="M6" s="54"/>
      <c r="N6" s="54"/>
      <c r="O6" s="54"/>
      <c r="P6" s="54"/>
      <c r="Q6" s="54"/>
      <c r="R6" s="54"/>
      <c r="S6" s="54"/>
      <c r="T6" s="54"/>
      <c r="U6" s="54"/>
      <c r="V6" s="54"/>
      <c r="W6" s="54"/>
      <c r="X6" s="54"/>
      <c r="Y6" s="54"/>
      <c r="Z6" s="54"/>
    </row>
    <row r="7" ht="26.25" customHeight="1">
      <c r="A7" s="54"/>
      <c r="B7" s="55"/>
      <c r="C7" s="52" t="s">
        <v>29</v>
      </c>
      <c r="D7" s="53" t="s">
        <v>30</v>
      </c>
      <c r="E7" s="54"/>
      <c r="F7" s="54"/>
      <c r="G7" s="54"/>
      <c r="H7" s="54"/>
      <c r="I7" s="54"/>
      <c r="J7" s="54"/>
      <c r="K7" s="54"/>
      <c r="L7" s="54"/>
      <c r="M7" s="54"/>
      <c r="N7" s="54"/>
      <c r="O7" s="54"/>
      <c r="P7" s="54"/>
      <c r="Q7" s="54"/>
      <c r="R7" s="54"/>
      <c r="S7" s="54"/>
      <c r="T7" s="54"/>
      <c r="U7" s="54"/>
      <c r="V7" s="54"/>
      <c r="W7" s="54"/>
      <c r="X7" s="54"/>
      <c r="Y7" s="54"/>
      <c r="Z7" s="54"/>
    </row>
    <row r="8" ht="26.25" customHeight="1">
      <c r="A8" s="54"/>
      <c r="B8" s="59">
        <v>45971.0</v>
      </c>
      <c r="C8" s="52" t="s">
        <v>31</v>
      </c>
      <c r="D8" s="53" t="s">
        <v>32</v>
      </c>
      <c r="E8" s="54"/>
      <c r="F8" s="54"/>
      <c r="G8" s="54"/>
      <c r="H8" s="54"/>
      <c r="I8" s="54"/>
      <c r="J8" s="54"/>
      <c r="K8" s="54"/>
      <c r="L8" s="54"/>
      <c r="M8" s="54"/>
      <c r="N8" s="54"/>
      <c r="O8" s="54"/>
      <c r="P8" s="54"/>
      <c r="Q8" s="54"/>
      <c r="R8" s="54"/>
      <c r="S8" s="54"/>
      <c r="T8" s="54"/>
      <c r="U8" s="54"/>
      <c r="V8" s="54"/>
      <c r="W8" s="54"/>
      <c r="X8" s="54"/>
      <c r="Y8" s="54"/>
      <c r="Z8" s="54"/>
    </row>
    <row r="9" ht="26.25" customHeight="1">
      <c r="A9" s="54"/>
      <c r="B9" s="55"/>
      <c r="C9" s="52" t="s">
        <v>33</v>
      </c>
      <c r="D9" s="60" t="s">
        <v>34</v>
      </c>
      <c r="E9" s="54"/>
      <c r="F9" s="54"/>
      <c r="G9" s="54"/>
      <c r="H9" s="54"/>
      <c r="I9" s="54"/>
      <c r="J9" s="54"/>
      <c r="K9" s="54"/>
      <c r="L9" s="54"/>
      <c r="M9" s="54"/>
      <c r="N9" s="54"/>
      <c r="O9" s="54"/>
      <c r="P9" s="54"/>
      <c r="Q9" s="54"/>
      <c r="R9" s="54"/>
      <c r="S9" s="54"/>
      <c r="T9" s="54"/>
      <c r="U9" s="54"/>
      <c r="V9" s="54"/>
      <c r="W9" s="54"/>
      <c r="X9" s="54"/>
      <c r="Y9" s="54"/>
      <c r="Z9" s="54"/>
    </row>
    <row r="10" ht="26.25" customHeight="1">
      <c r="A10" s="54"/>
      <c r="B10" s="55"/>
      <c r="C10" s="54"/>
      <c r="D10" s="53" t="s">
        <v>35</v>
      </c>
      <c r="E10" s="54"/>
      <c r="F10" s="54"/>
      <c r="G10" s="54"/>
      <c r="H10" s="54"/>
      <c r="I10" s="54"/>
      <c r="J10" s="54"/>
      <c r="K10" s="54"/>
      <c r="L10" s="54"/>
      <c r="M10" s="54"/>
      <c r="N10" s="54"/>
      <c r="O10" s="54"/>
      <c r="P10" s="54"/>
      <c r="Q10" s="54"/>
      <c r="R10" s="54"/>
      <c r="S10" s="54"/>
      <c r="T10" s="54"/>
      <c r="U10" s="54"/>
      <c r="V10" s="54"/>
      <c r="W10" s="54"/>
      <c r="X10" s="54"/>
      <c r="Y10" s="54"/>
      <c r="Z10" s="54"/>
    </row>
    <row r="11" ht="26.25" customHeight="1">
      <c r="A11" s="54"/>
      <c r="B11" s="55"/>
      <c r="C11" s="52" t="s">
        <v>36</v>
      </c>
      <c r="D11" s="53" t="s">
        <v>37</v>
      </c>
      <c r="E11" s="54"/>
      <c r="F11" s="54"/>
      <c r="G11" s="54"/>
      <c r="H11" s="54"/>
      <c r="I11" s="54"/>
      <c r="J11" s="54"/>
      <c r="K11" s="54"/>
      <c r="L11" s="54"/>
      <c r="M11" s="54"/>
      <c r="N11" s="54"/>
      <c r="O11" s="54"/>
      <c r="P11" s="54"/>
      <c r="Q11" s="54"/>
      <c r="R11" s="54"/>
      <c r="S11" s="54"/>
      <c r="T11" s="54"/>
      <c r="U11" s="54"/>
      <c r="V11" s="54"/>
      <c r="W11" s="54"/>
      <c r="X11" s="54"/>
      <c r="Y11" s="54"/>
      <c r="Z11" s="54"/>
    </row>
    <row r="12" ht="26.25" customHeight="1">
      <c r="A12" s="54"/>
      <c r="B12" s="55"/>
      <c r="C12" s="61" t="s">
        <v>38</v>
      </c>
      <c r="D12" s="53" t="s">
        <v>39</v>
      </c>
      <c r="E12" s="54"/>
      <c r="F12" s="54"/>
      <c r="G12" s="54"/>
      <c r="H12" s="54"/>
      <c r="I12" s="54"/>
      <c r="J12" s="54"/>
      <c r="K12" s="54"/>
      <c r="L12" s="54"/>
      <c r="M12" s="54"/>
      <c r="N12" s="54"/>
      <c r="O12" s="54"/>
      <c r="P12" s="54"/>
      <c r="Q12" s="54"/>
      <c r="R12" s="54"/>
      <c r="S12" s="54"/>
      <c r="T12" s="54"/>
      <c r="U12" s="54"/>
      <c r="V12" s="54"/>
      <c r="W12" s="54"/>
      <c r="X12" s="54"/>
      <c r="Y12" s="54"/>
      <c r="Z12" s="54"/>
    </row>
    <row r="13" ht="26.25" customHeight="1">
      <c r="A13" s="54"/>
      <c r="B13" s="59">
        <v>45972.0</v>
      </c>
      <c r="C13" s="52" t="s">
        <v>40</v>
      </c>
      <c r="D13" s="53" t="s">
        <v>41</v>
      </c>
      <c r="E13" s="54"/>
      <c r="F13" s="54"/>
      <c r="G13" s="54"/>
      <c r="H13" s="54"/>
      <c r="I13" s="54"/>
      <c r="J13" s="54"/>
      <c r="K13" s="54"/>
      <c r="L13" s="54"/>
      <c r="M13" s="54"/>
      <c r="N13" s="54"/>
      <c r="O13" s="54"/>
      <c r="P13" s="54"/>
      <c r="Q13" s="54"/>
      <c r="R13" s="54"/>
      <c r="S13" s="54"/>
      <c r="T13" s="54"/>
      <c r="U13" s="54"/>
      <c r="V13" s="54"/>
      <c r="W13" s="54"/>
      <c r="X13" s="54"/>
      <c r="Y13" s="54"/>
      <c r="Z13" s="54"/>
    </row>
    <row r="14" ht="26.25" customHeight="1">
      <c r="A14" s="54"/>
      <c r="B14" s="55"/>
      <c r="C14" s="52" t="s">
        <v>42</v>
      </c>
      <c r="D14" s="60" t="s">
        <v>43</v>
      </c>
      <c r="E14" s="54"/>
      <c r="F14" s="54"/>
      <c r="G14" s="54"/>
      <c r="H14" s="54"/>
      <c r="I14" s="54"/>
      <c r="J14" s="54"/>
      <c r="K14" s="54"/>
      <c r="L14" s="54"/>
      <c r="M14" s="54"/>
      <c r="N14" s="54"/>
      <c r="O14" s="54"/>
      <c r="P14" s="54"/>
      <c r="Q14" s="54"/>
      <c r="R14" s="54"/>
      <c r="S14" s="54"/>
      <c r="T14" s="54"/>
      <c r="U14" s="54"/>
      <c r="V14" s="54"/>
      <c r="W14" s="54"/>
      <c r="X14" s="54"/>
      <c r="Y14" s="54"/>
      <c r="Z14" s="54"/>
    </row>
    <row r="15" ht="26.25" customHeight="1">
      <c r="A15" s="54"/>
      <c r="B15" s="55"/>
      <c r="C15" s="52" t="s">
        <v>44</v>
      </c>
      <c r="D15" s="60" t="s">
        <v>45</v>
      </c>
      <c r="E15" s="54"/>
      <c r="F15" s="54"/>
      <c r="G15" s="54"/>
      <c r="H15" s="54"/>
      <c r="I15" s="54"/>
      <c r="J15" s="54"/>
      <c r="K15" s="54"/>
      <c r="L15" s="54"/>
      <c r="M15" s="54"/>
      <c r="N15" s="54"/>
      <c r="O15" s="54"/>
      <c r="P15" s="54"/>
      <c r="Q15" s="54"/>
      <c r="R15" s="54"/>
      <c r="S15" s="54"/>
      <c r="T15" s="54"/>
      <c r="U15" s="54"/>
      <c r="V15" s="54"/>
      <c r="W15" s="54"/>
      <c r="X15" s="54"/>
      <c r="Y15" s="54"/>
      <c r="Z15" s="54"/>
    </row>
    <row r="16" ht="26.25" customHeight="1">
      <c r="A16" s="54"/>
      <c r="B16" s="55"/>
      <c r="C16" s="52" t="s">
        <v>46</v>
      </c>
      <c r="D16" s="53" t="s">
        <v>47</v>
      </c>
      <c r="E16" s="54"/>
      <c r="F16" s="54"/>
      <c r="G16" s="54"/>
      <c r="H16" s="54"/>
      <c r="I16" s="54"/>
      <c r="J16" s="54"/>
      <c r="K16" s="54"/>
      <c r="L16" s="54"/>
      <c r="M16" s="54"/>
      <c r="N16" s="54"/>
      <c r="O16" s="54"/>
      <c r="P16" s="54"/>
      <c r="Q16" s="54"/>
      <c r="R16" s="54"/>
      <c r="S16" s="54"/>
      <c r="T16" s="54"/>
      <c r="U16" s="54"/>
      <c r="V16" s="54"/>
      <c r="W16" s="54"/>
      <c r="X16" s="54"/>
      <c r="Y16" s="54"/>
      <c r="Z16" s="54"/>
    </row>
    <row r="17" ht="26.25" customHeight="1">
      <c r="A17" s="54"/>
      <c r="B17" s="55"/>
      <c r="C17" s="52" t="s">
        <v>48</v>
      </c>
      <c r="D17" s="53" t="s">
        <v>49</v>
      </c>
      <c r="E17" s="54"/>
      <c r="F17" s="54"/>
      <c r="G17" s="54"/>
      <c r="H17" s="54"/>
      <c r="I17" s="54"/>
      <c r="J17" s="54"/>
      <c r="K17" s="54"/>
      <c r="L17" s="54"/>
      <c r="M17" s="54"/>
      <c r="N17" s="54"/>
      <c r="O17" s="54"/>
      <c r="P17" s="54"/>
      <c r="Q17" s="54"/>
      <c r="R17" s="54"/>
      <c r="S17" s="54"/>
      <c r="T17" s="54"/>
      <c r="U17" s="54"/>
      <c r="V17" s="54"/>
      <c r="W17" s="54"/>
      <c r="X17" s="54"/>
      <c r="Y17" s="54"/>
      <c r="Z17" s="54"/>
    </row>
    <row r="18" ht="26.25" customHeight="1">
      <c r="A18" s="54"/>
      <c r="B18" s="55"/>
      <c r="C18" s="52" t="s">
        <v>50</v>
      </c>
      <c r="D18" s="53" t="s">
        <v>51</v>
      </c>
      <c r="E18" s="54"/>
      <c r="F18" s="54"/>
      <c r="G18" s="54"/>
      <c r="H18" s="54"/>
      <c r="I18" s="54"/>
      <c r="J18" s="54"/>
      <c r="K18" s="54"/>
      <c r="L18" s="54"/>
      <c r="M18" s="54"/>
      <c r="N18" s="54"/>
      <c r="O18" s="54"/>
      <c r="P18" s="54"/>
      <c r="Q18" s="54"/>
      <c r="R18" s="54"/>
      <c r="S18" s="54"/>
      <c r="T18" s="54"/>
      <c r="U18" s="54"/>
      <c r="V18" s="54"/>
      <c r="W18" s="54"/>
      <c r="X18" s="54"/>
      <c r="Y18" s="54"/>
      <c r="Z18" s="54"/>
    </row>
    <row r="19" ht="26.25" customHeight="1">
      <c r="A19" s="54"/>
      <c r="B19" s="59">
        <v>45973.0</v>
      </c>
      <c r="C19" s="62" t="s">
        <v>52</v>
      </c>
      <c r="D19" s="38" t="s">
        <v>53</v>
      </c>
      <c r="E19" s="54"/>
      <c r="F19" s="54"/>
      <c r="G19" s="54"/>
      <c r="H19" s="54"/>
      <c r="I19" s="54"/>
      <c r="J19" s="54"/>
      <c r="K19" s="54"/>
      <c r="L19" s="54"/>
      <c r="M19" s="54"/>
      <c r="N19" s="54"/>
      <c r="O19" s="54"/>
      <c r="P19" s="54"/>
      <c r="Q19" s="54"/>
      <c r="R19" s="54"/>
      <c r="S19" s="54"/>
      <c r="T19" s="54"/>
      <c r="U19" s="54"/>
      <c r="V19" s="54"/>
      <c r="W19" s="54"/>
      <c r="X19" s="54"/>
      <c r="Y19" s="54"/>
      <c r="Z19" s="54"/>
    </row>
    <row r="20" ht="26.25" customHeight="1">
      <c r="A20" s="54"/>
      <c r="B20" s="55"/>
      <c r="C20" s="52" t="s">
        <v>54</v>
      </c>
      <c r="D20" s="53" t="s">
        <v>55</v>
      </c>
      <c r="E20" s="54"/>
      <c r="F20" s="54"/>
      <c r="G20" s="54"/>
      <c r="H20" s="54"/>
      <c r="I20" s="54"/>
      <c r="J20" s="54"/>
      <c r="K20" s="54"/>
      <c r="L20" s="54"/>
      <c r="M20" s="54"/>
      <c r="N20" s="54"/>
      <c r="O20" s="54"/>
      <c r="P20" s="54"/>
      <c r="Q20" s="54"/>
      <c r="R20" s="54"/>
      <c r="S20" s="54"/>
      <c r="T20" s="54"/>
      <c r="U20" s="54"/>
      <c r="V20" s="54"/>
      <c r="W20" s="54"/>
      <c r="X20" s="54"/>
      <c r="Y20" s="54"/>
      <c r="Z20" s="54"/>
    </row>
    <row r="21" ht="26.25" customHeight="1">
      <c r="A21" s="54"/>
      <c r="B21" s="55"/>
      <c r="C21" s="52" t="s">
        <v>56</v>
      </c>
      <c r="D21" s="53" t="s">
        <v>57</v>
      </c>
      <c r="E21" s="54"/>
      <c r="F21" s="54"/>
      <c r="G21" s="54"/>
      <c r="H21" s="54"/>
      <c r="I21" s="54"/>
      <c r="J21" s="54"/>
      <c r="K21" s="54"/>
      <c r="L21" s="54"/>
      <c r="M21" s="54"/>
      <c r="N21" s="54"/>
      <c r="O21" s="54"/>
      <c r="P21" s="54"/>
      <c r="Q21" s="54"/>
      <c r="R21" s="54"/>
      <c r="S21" s="54"/>
      <c r="T21" s="54"/>
      <c r="U21" s="54"/>
      <c r="V21" s="54"/>
      <c r="W21" s="54"/>
      <c r="X21" s="54"/>
      <c r="Y21" s="54"/>
      <c r="Z21" s="54"/>
    </row>
    <row r="22" ht="26.25" customHeight="1">
      <c r="A22" s="54"/>
      <c r="B22" s="55"/>
      <c r="C22" s="52" t="s">
        <v>58</v>
      </c>
      <c r="D22" s="53" t="s">
        <v>59</v>
      </c>
      <c r="E22" s="54"/>
      <c r="F22" s="54"/>
      <c r="G22" s="54"/>
      <c r="H22" s="54"/>
      <c r="I22" s="54"/>
      <c r="J22" s="54"/>
      <c r="K22" s="54"/>
      <c r="L22" s="54"/>
      <c r="M22" s="54"/>
      <c r="N22" s="54"/>
      <c r="O22" s="54"/>
      <c r="P22" s="54"/>
      <c r="Q22" s="54"/>
      <c r="R22" s="54"/>
      <c r="S22" s="54"/>
      <c r="T22" s="54"/>
      <c r="U22" s="54"/>
      <c r="V22" s="54"/>
      <c r="W22" s="54"/>
      <c r="X22" s="54"/>
      <c r="Y22" s="54"/>
      <c r="Z22" s="54"/>
    </row>
    <row r="23" ht="26.25" customHeight="1">
      <c r="A23" s="54"/>
      <c r="B23" s="55"/>
      <c r="C23" s="52" t="s">
        <v>60</v>
      </c>
      <c r="D23" s="53" t="s">
        <v>61</v>
      </c>
      <c r="E23" s="54"/>
      <c r="F23" s="54"/>
      <c r="G23" s="54"/>
      <c r="H23" s="54"/>
      <c r="I23" s="54"/>
      <c r="J23" s="54"/>
      <c r="K23" s="54"/>
      <c r="L23" s="54"/>
      <c r="M23" s="54"/>
      <c r="N23" s="54"/>
      <c r="O23" s="54"/>
      <c r="P23" s="54"/>
      <c r="Q23" s="54"/>
      <c r="R23" s="54"/>
      <c r="S23" s="54"/>
      <c r="T23" s="54"/>
      <c r="U23" s="54"/>
      <c r="V23" s="54"/>
      <c r="W23" s="54"/>
      <c r="X23" s="54"/>
      <c r="Y23" s="54"/>
      <c r="Z23" s="54"/>
    </row>
    <row r="24" ht="26.25" customHeight="1">
      <c r="A24" s="54"/>
      <c r="B24" s="55"/>
      <c r="C24" s="52" t="s">
        <v>62</v>
      </c>
      <c r="D24" s="53" t="s">
        <v>63</v>
      </c>
      <c r="E24" s="54"/>
      <c r="F24" s="54"/>
      <c r="G24" s="54"/>
      <c r="H24" s="54"/>
      <c r="I24" s="54"/>
      <c r="J24" s="54"/>
      <c r="K24" s="54"/>
      <c r="L24" s="54"/>
      <c r="M24" s="54"/>
      <c r="N24" s="54"/>
      <c r="O24" s="54"/>
      <c r="P24" s="54"/>
      <c r="Q24" s="54"/>
      <c r="R24" s="54"/>
      <c r="S24" s="54"/>
      <c r="T24" s="54"/>
      <c r="U24" s="54"/>
      <c r="V24" s="54"/>
      <c r="W24" s="54"/>
      <c r="X24" s="54"/>
      <c r="Y24" s="54"/>
      <c r="Z24" s="54"/>
    </row>
    <row r="25" ht="26.25" customHeight="1">
      <c r="A25" s="54"/>
      <c r="B25" s="55"/>
      <c r="C25" s="52" t="s">
        <v>64</v>
      </c>
      <c r="D25" s="53" t="s">
        <v>65</v>
      </c>
      <c r="E25" s="54"/>
      <c r="F25" s="54"/>
      <c r="G25" s="54"/>
      <c r="H25" s="54"/>
      <c r="I25" s="54"/>
      <c r="J25" s="54"/>
      <c r="K25" s="54"/>
      <c r="L25" s="54"/>
      <c r="M25" s="54"/>
      <c r="N25" s="54"/>
      <c r="O25" s="54"/>
      <c r="P25" s="54"/>
      <c r="Q25" s="54"/>
      <c r="R25" s="54"/>
      <c r="S25" s="54"/>
      <c r="T25" s="54"/>
      <c r="U25" s="54"/>
      <c r="V25" s="54"/>
      <c r="W25" s="54"/>
      <c r="X25" s="54"/>
      <c r="Y25" s="54"/>
      <c r="Z25" s="54"/>
    </row>
    <row r="26" ht="26.25" customHeight="1">
      <c r="A26" s="50">
        <v>1.0</v>
      </c>
      <c r="B26" s="59">
        <v>45977.0</v>
      </c>
      <c r="C26" s="52" t="s">
        <v>66</v>
      </c>
      <c r="D26" s="53" t="s">
        <v>67</v>
      </c>
      <c r="E26" s="54"/>
      <c r="F26" s="54"/>
      <c r="G26" s="54"/>
      <c r="H26" s="54"/>
      <c r="I26" s="54"/>
      <c r="J26" s="54"/>
      <c r="K26" s="54"/>
      <c r="L26" s="54"/>
      <c r="M26" s="54"/>
      <c r="N26" s="54"/>
      <c r="O26" s="54"/>
      <c r="P26" s="54"/>
      <c r="Q26" s="54"/>
      <c r="R26" s="54"/>
      <c r="S26" s="54"/>
      <c r="T26" s="54"/>
      <c r="U26" s="54"/>
      <c r="V26" s="54"/>
      <c r="W26" s="54"/>
      <c r="X26" s="54"/>
      <c r="Y26" s="54"/>
      <c r="Z26" s="54"/>
    </row>
    <row r="27" ht="26.25" customHeight="1">
      <c r="A27" s="50">
        <v>2.0</v>
      </c>
      <c r="B27" s="55"/>
      <c r="C27" s="52" t="s">
        <v>68</v>
      </c>
      <c r="D27" s="63"/>
      <c r="E27" s="54"/>
      <c r="F27" s="54"/>
      <c r="G27" s="54"/>
      <c r="H27" s="54"/>
      <c r="I27" s="54"/>
      <c r="J27" s="54"/>
      <c r="K27" s="54"/>
      <c r="L27" s="54"/>
      <c r="M27" s="54"/>
      <c r="N27" s="54"/>
      <c r="O27" s="54"/>
      <c r="P27" s="54"/>
      <c r="Q27" s="54"/>
      <c r="R27" s="54"/>
      <c r="S27" s="54"/>
      <c r="T27" s="54"/>
      <c r="U27" s="54"/>
      <c r="V27" s="54"/>
      <c r="W27" s="54"/>
      <c r="X27" s="54"/>
      <c r="Y27" s="54"/>
      <c r="Z27" s="54"/>
    </row>
    <row r="28" ht="26.25" customHeight="1">
      <c r="A28" s="50">
        <v>3.0</v>
      </c>
      <c r="B28" s="59">
        <v>45978.0</v>
      </c>
      <c r="C28" s="52" t="s">
        <v>69</v>
      </c>
      <c r="D28" s="53" t="s">
        <v>70</v>
      </c>
      <c r="E28" s="54"/>
      <c r="F28" s="54"/>
      <c r="G28" s="54"/>
      <c r="H28" s="54"/>
      <c r="I28" s="54"/>
      <c r="J28" s="54"/>
      <c r="K28" s="54"/>
      <c r="L28" s="54"/>
      <c r="M28" s="54"/>
      <c r="N28" s="54"/>
      <c r="O28" s="54"/>
      <c r="P28" s="54"/>
      <c r="Q28" s="54"/>
      <c r="R28" s="54"/>
      <c r="S28" s="54"/>
      <c r="T28" s="54"/>
      <c r="U28" s="54"/>
      <c r="V28" s="54"/>
      <c r="W28" s="54"/>
      <c r="X28" s="54"/>
      <c r="Y28" s="54"/>
      <c r="Z28" s="54"/>
    </row>
    <row r="29" ht="26.25" customHeight="1">
      <c r="A29" s="50">
        <v>4.0</v>
      </c>
      <c r="B29" s="55"/>
      <c r="C29" s="52" t="s">
        <v>71</v>
      </c>
      <c r="D29" s="53" t="s">
        <v>72</v>
      </c>
      <c r="E29" s="54"/>
      <c r="F29" s="54"/>
      <c r="G29" s="54"/>
      <c r="H29" s="54"/>
      <c r="I29" s="54"/>
      <c r="J29" s="54"/>
      <c r="K29" s="54"/>
      <c r="L29" s="54"/>
      <c r="M29" s="54"/>
      <c r="N29" s="54"/>
      <c r="O29" s="54"/>
      <c r="P29" s="54"/>
      <c r="Q29" s="54"/>
      <c r="R29" s="54"/>
      <c r="S29" s="54"/>
      <c r="T29" s="54"/>
      <c r="U29" s="54"/>
      <c r="V29" s="54"/>
      <c r="W29" s="54"/>
      <c r="X29" s="54"/>
      <c r="Y29" s="54"/>
      <c r="Z29" s="54"/>
    </row>
    <row r="30" ht="26.25" customHeight="1">
      <c r="A30" s="50">
        <v>5.0</v>
      </c>
      <c r="B30" s="55"/>
      <c r="C30" s="54"/>
      <c r="D30" s="53" t="s">
        <v>73</v>
      </c>
      <c r="E30" s="54"/>
      <c r="F30" s="54"/>
      <c r="G30" s="54"/>
      <c r="H30" s="54"/>
      <c r="I30" s="54"/>
      <c r="J30" s="54"/>
      <c r="K30" s="54"/>
      <c r="L30" s="54"/>
      <c r="M30" s="54"/>
      <c r="N30" s="54"/>
      <c r="O30" s="54"/>
      <c r="P30" s="54"/>
      <c r="Q30" s="54"/>
      <c r="R30" s="54"/>
      <c r="S30" s="54"/>
      <c r="T30" s="54"/>
      <c r="U30" s="54"/>
      <c r="V30" s="54"/>
      <c r="W30" s="54"/>
      <c r="X30" s="54"/>
      <c r="Y30" s="54"/>
      <c r="Z30" s="54"/>
    </row>
    <row r="31" ht="26.25" customHeight="1">
      <c r="A31" s="50">
        <v>6.0</v>
      </c>
      <c r="B31" s="55"/>
      <c r="C31" s="52" t="s">
        <v>74</v>
      </c>
      <c r="D31" s="53" t="s">
        <v>75</v>
      </c>
      <c r="E31" s="54"/>
      <c r="F31" s="54"/>
      <c r="G31" s="54"/>
      <c r="H31" s="54"/>
      <c r="I31" s="54"/>
      <c r="J31" s="54"/>
      <c r="K31" s="54"/>
      <c r="L31" s="54"/>
      <c r="M31" s="54"/>
      <c r="N31" s="54"/>
      <c r="O31" s="54"/>
      <c r="P31" s="54"/>
      <c r="Q31" s="54"/>
      <c r="R31" s="54"/>
      <c r="S31" s="54"/>
      <c r="T31" s="54"/>
      <c r="U31" s="54"/>
      <c r="V31" s="54"/>
      <c r="W31" s="54"/>
      <c r="X31" s="54"/>
      <c r="Y31" s="54"/>
      <c r="Z31" s="54"/>
    </row>
    <row r="32" ht="26.25" customHeight="1">
      <c r="A32" s="50">
        <v>7.0</v>
      </c>
      <c r="B32" s="55"/>
      <c r="C32" s="52" t="s">
        <v>76</v>
      </c>
      <c r="D32" s="53" t="s">
        <v>77</v>
      </c>
      <c r="E32" s="54"/>
      <c r="F32" s="54"/>
      <c r="G32" s="54"/>
      <c r="H32" s="54"/>
      <c r="I32" s="54"/>
      <c r="J32" s="54"/>
      <c r="K32" s="54"/>
      <c r="L32" s="54"/>
      <c r="M32" s="54"/>
      <c r="N32" s="54"/>
      <c r="O32" s="54"/>
      <c r="P32" s="54"/>
      <c r="Q32" s="54"/>
      <c r="R32" s="54"/>
      <c r="S32" s="54"/>
      <c r="T32" s="54"/>
      <c r="U32" s="54"/>
      <c r="V32" s="54"/>
      <c r="W32" s="54"/>
      <c r="X32" s="54"/>
      <c r="Y32" s="54"/>
      <c r="Z32" s="54"/>
    </row>
    <row r="33" ht="26.25" customHeight="1">
      <c r="A33" s="50">
        <v>8.0</v>
      </c>
      <c r="B33" s="55"/>
      <c r="C33" s="54"/>
      <c r="D33" s="53" t="s">
        <v>78</v>
      </c>
      <c r="E33" s="53" t="s">
        <v>79</v>
      </c>
      <c r="F33" s="53" t="s">
        <v>80</v>
      </c>
      <c r="G33" s="54"/>
      <c r="H33" s="54"/>
      <c r="I33" s="54"/>
      <c r="J33" s="54"/>
      <c r="K33" s="54"/>
      <c r="L33" s="54"/>
      <c r="M33" s="54"/>
      <c r="N33" s="54"/>
      <c r="O33" s="54"/>
      <c r="P33" s="54"/>
      <c r="Q33" s="54"/>
      <c r="R33" s="54"/>
      <c r="S33" s="54"/>
      <c r="T33" s="54"/>
      <c r="U33" s="54"/>
      <c r="V33" s="54"/>
      <c r="W33" s="54"/>
      <c r="X33" s="54"/>
      <c r="Y33" s="54"/>
      <c r="Z33" s="54"/>
    </row>
    <row r="34" ht="26.25" customHeight="1">
      <c r="A34" s="50">
        <v>9.0</v>
      </c>
      <c r="B34" s="59">
        <v>45980.0</v>
      </c>
      <c r="C34" s="52" t="s">
        <v>81</v>
      </c>
      <c r="D34" s="53" t="s">
        <v>82</v>
      </c>
      <c r="E34" s="54"/>
      <c r="F34" s="54"/>
      <c r="G34" s="54"/>
      <c r="H34" s="54"/>
      <c r="I34" s="54"/>
      <c r="J34" s="54"/>
      <c r="K34" s="54"/>
      <c r="L34" s="54"/>
      <c r="M34" s="54"/>
      <c r="N34" s="54"/>
      <c r="O34" s="54"/>
      <c r="P34" s="54"/>
      <c r="Q34" s="54"/>
      <c r="R34" s="54"/>
      <c r="S34" s="54"/>
      <c r="T34" s="54"/>
      <c r="U34" s="54"/>
      <c r="V34" s="54"/>
      <c r="W34" s="54"/>
      <c r="X34" s="54"/>
      <c r="Y34" s="54"/>
      <c r="Z34" s="54"/>
    </row>
    <row r="35" ht="26.25" customHeight="1">
      <c r="A35" s="50">
        <v>10.0</v>
      </c>
      <c r="B35" s="55"/>
      <c r="C35" s="52" t="s">
        <v>83</v>
      </c>
      <c r="D35" s="60" t="s">
        <v>84</v>
      </c>
      <c r="E35" s="54"/>
      <c r="F35" s="54"/>
      <c r="G35" s="54"/>
      <c r="H35" s="54"/>
      <c r="I35" s="54"/>
      <c r="J35" s="54"/>
      <c r="K35" s="54"/>
      <c r="L35" s="54"/>
      <c r="M35" s="54"/>
      <c r="N35" s="54"/>
      <c r="O35" s="54"/>
      <c r="P35" s="54"/>
      <c r="Q35" s="54"/>
      <c r="R35" s="54"/>
      <c r="S35" s="54"/>
      <c r="T35" s="54"/>
      <c r="U35" s="54"/>
      <c r="V35" s="54"/>
      <c r="W35" s="54"/>
      <c r="X35" s="54"/>
      <c r="Y35" s="54"/>
      <c r="Z35" s="54"/>
    </row>
    <row r="36" ht="26.25" customHeight="1">
      <c r="A36" s="50">
        <v>11.0</v>
      </c>
      <c r="B36" s="55"/>
      <c r="C36" s="52" t="s">
        <v>85</v>
      </c>
      <c r="D36" s="53" t="s">
        <v>86</v>
      </c>
      <c r="E36" s="50" t="s">
        <v>87</v>
      </c>
      <c r="F36" s="61" t="s">
        <v>88</v>
      </c>
      <c r="G36" s="54"/>
      <c r="H36" s="54"/>
      <c r="I36" s="54"/>
      <c r="J36" s="54"/>
      <c r="K36" s="54"/>
      <c r="L36" s="54"/>
      <c r="M36" s="54"/>
      <c r="N36" s="54"/>
      <c r="O36" s="54"/>
      <c r="P36" s="54"/>
      <c r="Q36" s="54"/>
      <c r="R36" s="54"/>
      <c r="S36" s="54"/>
      <c r="T36" s="54"/>
      <c r="U36" s="54"/>
      <c r="V36" s="54"/>
      <c r="W36" s="54"/>
      <c r="X36" s="54"/>
      <c r="Y36" s="54"/>
      <c r="Z36" s="54"/>
    </row>
    <row r="37" ht="26.25" customHeight="1">
      <c r="A37" s="50">
        <v>12.0</v>
      </c>
      <c r="B37" s="55"/>
      <c r="C37" s="52" t="s">
        <v>89</v>
      </c>
      <c r="D37" s="53" t="s">
        <v>90</v>
      </c>
      <c r="E37" s="54"/>
      <c r="F37" s="54"/>
      <c r="G37" s="54"/>
      <c r="H37" s="54"/>
      <c r="I37" s="54"/>
      <c r="J37" s="54"/>
      <c r="K37" s="54"/>
      <c r="L37" s="54"/>
      <c r="M37" s="54"/>
      <c r="N37" s="54"/>
      <c r="O37" s="54"/>
      <c r="P37" s="54"/>
      <c r="Q37" s="54"/>
      <c r="R37" s="54"/>
      <c r="S37" s="54"/>
      <c r="T37" s="54"/>
      <c r="U37" s="54"/>
      <c r="V37" s="54"/>
      <c r="W37" s="54"/>
      <c r="X37" s="54"/>
      <c r="Y37" s="54"/>
      <c r="Z37" s="54"/>
    </row>
    <row r="38" ht="26.25" customHeight="1">
      <c r="A38" s="50">
        <v>13.0</v>
      </c>
      <c r="B38" s="55"/>
      <c r="C38" s="52" t="s">
        <v>91</v>
      </c>
      <c r="D38" s="53" t="s">
        <v>92</v>
      </c>
      <c r="E38" s="54"/>
      <c r="F38" s="54"/>
      <c r="G38" s="54"/>
      <c r="H38" s="54"/>
      <c r="I38" s="54"/>
      <c r="J38" s="54"/>
      <c r="K38" s="54"/>
      <c r="L38" s="54"/>
      <c r="M38" s="54"/>
      <c r="N38" s="54"/>
      <c r="O38" s="54"/>
      <c r="P38" s="54"/>
      <c r="Q38" s="54"/>
      <c r="R38" s="54"/>
      <c r="S38" s="54"/>
      <c r="T38" s="54"/>
      <c r="U38" s="54"/>
      <c r="V38" s="54"/>
      <c r="W38" s="54"/>
      <c r="X38" s="54"/>
      <c r="Y38" s="54"/>
      <c r="Z38" s="54"/>
    </row>
    <row r="39" ht="26.25" customHeight="1">
      <c r="A39" s="50">
        <v>14.0</v>
      </c>
      <c r="B39" s="55"/>
      <c r="C39" s="64" t="s">
        <v>93</v>
      </c>
      <c r="D39" s="43" t="s">
        <v>94</v>
      </c>
      <c r="E39" s="54"/>
      <c r="F39" s="54"/>
      <c r="G39" s="54"/>
      <c r="H39" s="54"/>
      <c r="I39" s="54"/>
      <c r="J39" s="54"/>
      <c r="K39" s="54"/>
      <c r="L39" s="54"/>
      <c r="M39" s="54"/>
      <c r="N39" s="54"/>
      <c r="O39" s="54"/>
      <c r="P39" s="54"/>
      <c r="Q39" s="54"/>
      <c r="R39" s="54"/>
      <c r="S39" s="54"/>
      <c r="T39" s="54"/>
      <c r="U39" s="54"/>
      <c r="V39" s="54"/>
      <c r="W39" s="54"/>
      <c r="X39" s="54"/>
      <c r="Y39" s="54"/>
      <c r="Z39" s="54"/>
    </row>
    <row r="40" ht="26.25" customHeight="1">
      <c r="A40" s="50">
        <v>15.0</v>
      </c>
      <c r="B40" s="59">
        <v>45981.0</v>
      </c>
      <c r="C40" s="52" t="s">
        <v>95</v>
      </c>
      <c r="D40" s="53" t="s">
        <v>96</v>
      </c>
      <c r="E40" s="54"/>
      <c r="F40" s="54"/>
      <c r="G40" s="54"/>
      <c r="H40" s="54"/>
      <c r="I40" s="54"/>
      <c r="J40" s="54"/>
      <c r="K40" s="54"/>
      <c r="L40" s="54"/>
      <c r="M40" s="54"/>
      <c r="N40" s="54"/>
      <c r="O40" s="54"/>
      <c r="P40" s="54"/>
      <c r="Q40" s="54"/>
      <c r="R40" s="54"/>
      <c r="S40" s="54"/>
      <c r="T40" s="54"/>
      <c r="U40" s="54"/>
      <c r="V40" s="54"/>
      <c r="W40" s="54"/>
      <c r="X40" s="54"/>
      <c r="Y40" s="54"/>
      <c r="Z40" s="54"/>
    </row>
    <row r="41" ht="26.25" customHeight="1">
      <c r="A41" s="50">
        <v>16.0</v>
      </c>
      <c r="B41" s="55"/>
      <c r="C41" s="52" t="s">
        <v>97</v>
      </c>
      <c r="D41" s="53" t="s">
        <v>98</v>
      </c>
      <c r="E41" s="54"/>
      <c r="F41" s="54"/>
      <c r="G41" s="54"/>
      <c r="H41" s="54"/>
      <c r="I41" s="54"/>
      <c r="J41" s="54"/>
      <c r="K41" s="54"/>
      <c r="L41" s="54"/>
      <c r="M41" s="54"/>
      <c r="N41" s="54"/>
      <c r="O41" s="54"/>
      <c r="P41" s="54"/>
      <c r="Q41" s="54"/>
      <c r="R41" s="54"/>
      <c r="S41" s="54"/>
      <c r="T41" s="54"/>
      <c r="U41" s="54"/>
      <c r="V41" s="54"/>
      <c r="W41" s="54"/>
      <c r="X41" s="54"/>
      <c r="Y41" s="54"/>
      <c r="Z41" s="54"/>
    </row>
    <row r="42" ht="26.25" customHeight="1">
      <c r="A42" s="50">
        <v>17.0</v>
      </c>
      <c r="B42" s="55"/>
      <c r="C42" s="52" t="s">
        <v>99</v>
      </c>
      <c r="D42" s="53" t="s">
        <v>100</v>
      </c>
      <c r="E42" s="54"/>
      <c r="F42" s="54"/>
      <c r="G42" s="54"/>
      <c r="H42" s="54"/>
      <c r="I42" s="54"/>
      <c r="J42" s="54"/>
      <c r="K42" s="54"/>
      <c r="L42" s="54"/>
      <c r="M42" s="54"/>
      <c r="N42" s="54"/>
      <c r="O42" s="54"/>
      <c r="P42" s="54"/>
      <c r="Q42" s="54"/>
      <c r="R42" s="54"/>
      <c r="S42" s="54"/>
      <c r="T42" s="54"/>
      <c r="U42" s="54"/>
      <c r="V42" s="54"/>
      <c r="W42" s="54"/>
      <c r="X42" s="54"/>
      <c r="Y42" s="54"/>
      <c r="Z42" s="54"/>
    </row>
    <row r="43" ht="26.25" customHeight="1">
      <c r="A43" s="50">
        <v>18.0</v>
      </c>
      <c r="B43" s="55"/>
      <c r="C43" s="52" t="s">
        <v>101</v>
      </c>
      <c r="D43" s="53" t="s">
        <v>102</v>
      </c>
      <c r="E43" s="53" t="s">
        <v>103</v>
      </c>
      <c r="F43" s="53" t="s">
        <v>104</v>
      </c>
      <c r="G43" s="53" t="s">
        <v>105</v>
      </c>
      <c r="H43" s="53" t="s">
        <v>106</v>
      </c>
      <c r="I43" s="53" t="s">
        <v>107</v>
      </c>
      <c r="J43" s="54"/>
      <c r="K43" s="54"/>
      <c r="L43" s="54"/>
      <c r="M43" s="54"/>
      <c r="N43" s="54"/>
      <c r="O43" s="54"/>
      <c r="P43" s="54"/>
      <c r="Q43" s="54"/>
      <c r="R43" s="54"/>
      <c r="S43" s="54"/>
      <c r="T43" s="54"/>
      <c r="U43" s="54"/>
      <c r="V43" s="54"/>
      <c r="W43" s="54"/>
      <c r="X43" s="54"/>
      <c r="Y43" s="54"/>
      <c r="Z43" s="54"/>
    </row>
    <row r="44" ht="26.25" customHeight="1">
      <c r="A44" s="50">
        <v>19.0</v>
      </c>
      <c r="B44" s="55"/>
      <c r="C44" s="52" t="s">
        <v>108</v>
      </c>
      <c r="D44" s="53" t="s">
        <v>109</v>
      </c>
      <c r="E44" s="50" t="s">
        <v>110</v>
      </c>
      <c r="F44" s="50" t="s">
        <v>111</v>
      </c>
      <c r="G44" s="50" t="s">
        <v>112</v>
      </c>
      <c r="H44" s="54"/>
      <c r="I44" s="54"/>
      <c r="J44" s="54"/>
      <c r="K44" s="54"/>
      <c r="L44" s="54"/>
      <c r="M44" s="54"/>
      <c r="N44" s="54"/>
      <c r="O44" s="54"/>
      <c r="P44" s="54"/>
      <c r="Q44" s="54"/>
      <c r="R44" s="54"/>
      <c r="S44" s="54"/>
      <c r="T44" s="54"/>
      <c r="U44" s="54"/>
      <c r="V44" s="54"/>
      <c r="W44" s="54"/>
      <c r="X44" s="54"/>
      <c r="Y44" s="54"/>
      <c r="Z44" s="54"/>
    </row>
    <row r="45" ht="26.25" customHeight="1">
      <c r="A45" s="50">
        <v>20.0</v>
      </c>
      <c r="B45" s="55"/>
      <c r="C45" s="52" t="s">
        <v>113</v>
      </c>
      <c r="D45" s="65" t="s">
        <v>114</v>
      </c>
      <c r="E45" s="50" t="s">
        <v>115</v>
      </c>
      <c r="F45" s="50" t="s">
        <v>116</v>
      </c>
      <c r="G45" s="43" t="s">
        <v>117</v>
      </c>
      <c r="H45" s="50" t="s">
        <v>118</v>
      </c>
      <c r="I45" s="54"/>
      <c r="J45" s="54"/>
      <c r="K45" s="54"/>
      <c r="L45" s="54"/>
      <c r="M45" s="54"/>
      <c r="N45" s="54"/>
      <c r="O45" s="54"/>
      <c r="P45" s="54"/>
      <c r="Q45" s="54"/>
      <c r="R45" s="54"/>
      <c r="S45" s="54"/>
      <c r="T45" s="54"/>
      <c r="U45" s="54"/>
      <c r="V45" s="54"/>
      <c r="W45" s="54"/>
      <c r="X45" s="54"/>
      <c r="Y45" s="54"/>
      <c r="Z45" s="54"/>
    </row>
    <row r="46" ht="26.25" customHeight="1">
      <c r="A46" s="50">
        <v>21.0</v>
      </c>
      <c r="B46" s="59">
        <v>45982.0</v>
      </c>
      <c r="C46" s="52" t="s">
        <v>119</v>
      </c>
      <c r="D46" s="53" t="s">
        <v>120</v>
      </c>
      <c r="E46" s="54"/>
      <c r="F46" s="54"/>
      <c r="G46" s="54"/>
      <c r="H46" s="54"/>
      <c r="I46" s="54"/>
      <c r="J46" s="54"/>
      <c r="K46" s="54"/>
      <c r="L46" s="54"/>
      <c r="M46" s="54"/>
      <c r="N46" s="54"/>
      <c r="O46" s="54"/>
      <c r="P46" s="54"/>
      <c r="Q46" s="54"/>
      <c r="R46" s="54"/>
      <c r="S46" s="54"/>
      <c r="T46" s="54"/>
      <c r="U46" s="54"/>
      <c r="V46" s="54"/>
      <c r="W46" s="54"/>
      <c r="X46" s="54"/>
      <c r="Y46" s="54"/>
      <c r="Z46" s="54"/>
    </row>
    <row r="47" ht="26.25" customHeight="1">
      <c r="A47" s="50">
        <v>22.0</v>
      </c>
      <c r="B47" s="55"/>
      <c r="C47" s="52" t="s">
        <v>121</v>
      </c>
      <c r="D47" s="53" t="s">
        <v>122</v>
      </c>
      <c r="E47" s="54"/>
      <c r="F47" s="54"/>
      <c r="G47" s="54"/>
      <c r="H47" s="54"/>
      <c r="I47" s="54"/>
      <c r="J47" s="54"/>
      <c r="K47" s="54"/>
      <c r="L47" s="54"/>
      <c r="M47" s="54"/>
      <c r="N47" s="54"/>
      <c r="O47" s="54"/>
      <c r="P47" s="54"/>
      <c r="Q47" s="54"/>
      <c r="R47" s="54"/>
      <c r="S47" s="54"/>
      <c r="T47" s="54"/>
      <c r="U47" s="54"/>
      <c r="V47" s="54"/>
      <c r="W47" s="54"/>
      <c r="X47" s="54"/>
      <c r="Y47" s="54"/>
      <c r="Z47" s="54"/>
    </row>
    <row r="48" ht="26.25" customHeight="1">
      <c r="A48" s="50">
        <v>23.0</v>
      </c>
      <c r="B48" s="55"/>
      <c r="C48" s="52" t="s">
        <v>123</v>
      </c>
      <c r="D48" s="53" t="s">
        <v>124</v>
      </c>
      <c r="E48" s="54"/>
      <c r="F48" s="54"/>
      <c r="G48" s="54"/>
      <c r="H48" s="54"/>
      <c r="I48" s="54"/>
      <c r="J48" s="54"/>
      <c r="K48" s="54"/>
      <c r="L48" s="54"/>
      <c r="M48" s="54"/>
      <c r="N48" s="54"/>
      <c r="O48" s="54"/>
      <c r="P48" s="54"/>
      <c r="Q48" s="54"/>
      <c r="R48" s="54"/>
      <c r="S48" s="54"/>
      <c r="T48" s="54"/>
      <c r="U48" s="54"/>
      <c r="V48" s="54"/>
      <c r="W48" s="54"/>
      <c r="X48" s="54"/>
      <c r="Y48" s="54"/>
      <c r="Z48" s="54"/>
    </row>
    <row r="49" ht="26.25" customHeight="1">
      <c r="A49" s="50">
        <v>24.0</v>
      </c>
      <c r="B49" s="55"/>
      <c r="C49" s="52" t="s">
        <v>125</v>
      </c>
      <c r="D49" s="65" t="s">
        <v>126</v>
      </c>
      <c r="E49" s="54"/>
      <c r="F49" s="54"/>
      <c r="G49" s="54"/>
      <c r="H49" s="54"/>
      <c r="I49" s="54"/>
      <c r="J49" s="54"/>
      <c r="K49" s="54"/>
      <c r="L49" s="54"/>
      <c r="M49" s="54"/>
      <c r="N49" s="54"/>
      <c r="O49" s="54"/>
      <c r="P49" s="54"/>
      <c r="Q49" s="54"/>
      <c r="R49" s="54"/>
      <c r="S49" s="54"/>
      <c r="T49" s="54"/>
      <c r="U49" s="54"/>
      <c r="V49" s="54"/>
      <c r="W49" s="54"/>
      <c r="X49" s="54"/>
      <c r="Y49" s="54"/>
      <c r="Z49" s="54"/>
    </row>
    <row r="50" ht="26.25" customHeight="1">
      <c r="A50" s="50">
        <v>25.0</v>
      </c>
      <c r="B50" s="55"/>
      <c r="C50" s="52" t="s">
        <v>127</v>
      </c>
      <c r="D50" s="60" t="s">
        <v>128</v>
      </c>
      <c r="E50" s="54"/>
      <c r="F50" s="54"/>
      <c r="G50" s="54"/>
      <c r="H50" s="54"/>
      <c r="I50" s="54"/>
      <c r="J50" s="54"/>
      <c r="K50" s="54"/>
      <c r="L50" s="54"/>
      <c r="M50" s="54"/>
      <c r="N50" s="54"/>
      <c r="O50" s="54"/>
      <c r="P50" s="54"/>
      <c r="Q50" s="54"/>
      <c r="R50" s="54"/>
      <c r="S50" s="54"/>
      <c r="T50" s="54"/>
      <c r="U50" s="54"/>
      <c r="V50" s="54"/>
      <c r="W50" s="54"/>
      <c r="X50" s="54"/>
      <c r="Y50" s="54"/>
      <c r="Z50" s="54"/>
    </row>
    <row r="51" ht="26.25" customHeight="1">
      <c r="A51" s="54"/>
      <c r="B51" s="59">
        <v>45985.0</v>
      </c>
      <c r="C51" s="61" t="s">
        <v>129</v>
      </c>
      <c r="D51" s="53" t="s">
        <v>130</v>
      </c>
      <c r="E51" s="54"/>
      <c r="F51" s="54"/>
      <c r="G51" s="54"/>
      <c r="H51" s="54"/>
      <c r="I51" s="54"/>
      <c r="J51" s="54"/>
      <c r="K51" s="54"/>
      <c r="L51" s="54"/>
      <c r="M51" s="54"/>
      <c r="N51" s="54"/>
      <c r="O51" s="54"/>
      <c r="P51" s="54"/>
      <c r="Q51" s="54"/>
      <c r="R51" s="54"/>
      <c r="S51" s="54"/>
      <c r="T51" s="54"/>
      <c r="U51" s="54"/>
      <c r="V51" s="54"/>
      <c r="W51" s="54"/>
      <c r="X51" s="54"/>
      <c r="Y51" s="54"/>
      <c r="Z51" s="54"/>
    </row>
    <row r="52" ht="26.25" customHeight="1">
      <c r="A52" s="54"/>
      <c r="B52" s="55"/>
      <c r="C52" s="52" t="s">
        <v>131</v>
      </c>
      <c r="D52" s="66" t="s">
        <v>132</v>
      </c>
      <c r="E52" s="54"/>
      <c r="F52" s="54"/>
      <c r="G52" s="54"/>
      <c r="H52" s="54"/>
      <c r="I52" s="54"/>
      <c r="J52" s="54"/>
      <c r="K52" s="54"/>
      <c r="L52" s="54"/>
      <c r="M52" s="54"/>
      <c r="N52" s="54"/>
      <c r="O52" s="54"/>
      <c r="P52" s="54"/>
      <c r="Q52" s="54"/>
      <c r="R52" s="54"/>
      <c r="S52" s="54"/>
      <c r="T52" s="54"/>
      <c r="U52" s="54"/>
      <c r="V52" s="54"/>
      <c r="W52" s="54"/>
      <c r="X52" s="54"/>
      <c r="Y52" s="54"/>
      <c r="Z52" s="54"/>
    </row>
    <row r="53" ht="26.25" customHeight="1">
      <c r="A53" s="54"/>
      <c r="B53" s="55"/>
      <c r="C53" s="61" t="s">
        <v>133</v>
      </c>
      <c r="D53" s="65" t="s">
        <v>134</v>
      </c>
      <c r="E53" s="54"/>
      <c r="F53" s="54"/>
      <c r="G53" s="54"/>
      <c r="H53" s="54"/>
      <c r="I53" s="54"/>
      <c r="J53" s="54"/>
      <c r="K53" s="54"/>
      <c r="L53" s="54"/>
      <c r="M53" s="54"/>
      <c r="N53" s="54"/>
      <c r="O53" s="54"/>
      <c r="P53" s="54"/>
      <c r="Q53" s="54"/>
      <c r="R53" s="54"/>
      <c r="S53" s="54"/>
      <c r="T53" s="54"/>
      <c r="U53" s="54"/>
      <c r="V53" s="54"/>
      <c r="W53" s="54"/>
      <c r="X53" s="54"/>
      <c r="Y53" s="54"/>
      <c r="Z53" s="54"/>
    </row>
    <row r="54" ht="26.25" customHeight="1">
      <c r="A54" s="54"/>
      <c r="B54" s="55"/>
      <c r="C54" s="52" t="s">
        <v>135</v>
      </c>
      <c r="D54" s="65" t="s">
        <v>136</v>
      </c>
      <c r="E54" s="54"/>
      <c r="F54" s="54"/>
      <c r="G54" s="54"/>
      <c r="H54" s="54"/>
      <c r="I54" s="54"/>
      <c r="J54" s="54"/>
      <c r="K54" s="54"/>
      <c r="L54" s="54"/>
      <c r="M54" s="54"/>
      <c r="N54" s="54"/>
      <c r="O54" s="54"/>
      <c r="P54" s="54"/>
      <c r="Q54" s="54"/>
      <c r="R54" s="54"/>
      <c r="S54" s="54"/>
      <c r="T54" s="54"/>
      <c r="U54" s="54"/>
      <c r="V54" s="54"/>
      <c r="W54" s="54"/>
      <c r="X54" s="54"/>
      <c r="Y54" s="54"/>
      <c r="Z54" s="54"/>
    </row>
    <row r="55" ht="26.25" customHeight="1">
      <c r="A55" s="54"/>
      <c r="B55" s="55"/>
      <c r="C55" s="52" t="s">
        <v>137</v>
      </c>
      <c r="D55" s="67" t="s">
        <v>138</v>
      </c>
      <c r="E55" s="54"/>
      <c r="F55" s="54"/>
      <c r="G55" s="54"/>
      <c r="H55" s="54"/>
      <c r="I55" s="54"/>
      <c r="J55" s="54"/>
      <c r="K55" s="54"/>
      <c r="L55" s="54"/>
      <c r="M55" s="54"/>
      <c r="N55" s="54"/>
      <c r="O55" s="54"/>
      <c r="P55" s="54"/>
      <c r="Q55" s="54"/>
      <c r="R55" s="54"/>
      <c r="S55" s="54"/>
      <c r="T55" s="54"/>
      <c r="U55" s="54"/>
      <c r="V55" s="54"/>
      <c r="W55" s="54"/>
      <c r="X55" s="54"/>
      <c r="Y55" s="54"/>
      <c r="Z55" s="54"/>
    </row>
    <row r="56" ht="26.25" customHeight="1">
      <c r="A56" s="54"/>
      <c r="B56" s="55"/>
      <c r="C56" s="52" t="s">
        <v>139</v>
      </c>
      <c r="D56" s="65" t="s">
        <v>140</v>
      </c>
      <c r="E56" s="54"/>
      <c r="F56" s="54"/>
      <c r="G56" s="54"/>
      <c r="H56" s="54"/>
      <c r="I56" s="54"/>
      <c r="J56" s="54"/>
      <c r="K56" s="54"/>
      <c r="L56" s="54"/>
      <c r="M56" s="54"/>
      <c r="N56" s="54"/>
      <c r="O56" s="54"/>
      <c r="P56" s="54"/>
      <c r="Q56" s="54"/>
      <c r="R56" s="54"/>
      <c r="S56" s="54"/>
      <c r="T56" s="54"/>
      <c r="U56" s="54"/>
      <c r="V56" s="54"/>
      <c r="W56" s="54"/>
      <c r="X56" s="54"/>
      <c r="Y56" s="54"/>
      <c r="Z56" s="54"/>
    </row>
    <row r="57" ht="26.25" customHeight="1">
      <c r="A57" s="54"/>
      <c r="B57" s="55"/>
      <c r="C57" s="52" t="s">
        <v>141</v>
      </c>
      <c r="D57" s="53" t="s">
        <v>142</v>
      </c>
      <c r="E57" s="54"/>
      <c r="F57" s="54"/>
      <c r="G57" s="54"/>
      <c r="H57" s="54"/>
      <c r="I57" s="54"/>
      <c r="J57" s="54"/>
      <c r="K57" s="54"/>
      <c r="L57" s="54"/>
      <c r="M57" s="54"/>
      <c r="N57" s="54"/>
      <c r="O57" s="54"/>
      <c r="P57" s="54"/>
      <c r="Q57" s="54"/>
      <c r="R57" s="54"/>
      <c r="S57" s="54"/>
      <c r="T57" s="54"/>
      <c r="U57" s="54"/>
      <c r="V57" s="54"/>
      <c r="W57" s="54"/>
      <c r="X57" s="54"/>
      <c r="Y57" s="54"/>
      <c r="Z57" s="54"/>
    </row>
    <row r="58" ht="26.25" customHeight="1">
      <c r="A58" s="54"/>
      <c r="B58" s="55"/>
      <c r="C58" s="52" t="s">
        <v>143</v>
      </c>
      <c r="D58" s="53" t="s">
        <v>144</v>
      </c>
      <c r="E58" s="54"/>
      <c r="F58" s="54"/>
      <c r="G58" s="54"/>
      <c r="H58" s="54"/>
      <c r="I58" s="54"/>
      <c r="J58" s="54"/>
      <c r="K58" s="54"/>
      <c r="L58" s="54"/>
      <c r="M58" s="54"/>
      <c r="N58" s="54"/>
      <c r="O58" s="54"/>
      <c r="P58" s="54"/>
      <c r="Q58" s="54"/>
      <c r="R58" s="54"/>
      <c r="S58" s="54"/>
      <c r="T58" s="54"/>
      <c r="U58" s="54"/>
      <c r="V58" s="54"/>
      <c r="W58" s="54"/>
      <c r="X58" s="54"/>
      <c r="Y58" s="54"/>
      <c r="Z58" s="54"/>
    </row>
    <row r="59" ht="26.25" customHeight="1">
      <c r="A59" s="54"/>
      <c r="B59" s="59">
        <v>45986.0</v>
      </c>
      <c r="C59" s="61" t="s">
        <v>145</v>
      </c>
      <c r="D59" s="66" t="s">
        <v>146</v>
      </c>
      <c r="E59" s="54"/>
      <c r="F59" s="54"/>
      <c r="G59" s="54"/>
      <c r="H59" s="54"/>
      <c r="I59" s="54"/>
      <c r="J59" s="54"/>
      <c r="K59" s="54"/>
      <c r="L59" s="54"/>
      <c r="M59" s="54"/>
      <c r="N59" s="54"/>
      <c r="O59" s="54"/>
      <c r="P59" s="54"/>
      <c r="Q59" s="54"/>
      <c r="R59" s="54"/>
      <c r="S59" s="54"/>
      <c r="T59" s="54"/>
      <c r="U59" s="54"/>
      <c r="V59" s="54"/>
      <c r="W59" s="54"/>
      <c r="X59" s="54"/>
      <c r="Y59" s="54"/>
      <c r="Z59" s="54"/>
    </row>
    <row r="60" ht="26.25" customHeight="1">
      <c r="A60" s="54"/>
      <c r="B60" s="55"/>
      <c r="C60" s="52" t="s">
        <v>147</v>
      </c>
      <c r="D60" s="66" t="s">
        <v>148</v>
      </c>
      <c r="E60" s="54"/>
      <c r="F60" s="54"/>
      <c r="G60" s="54"/>
      <c r="H60" s="54"/>
      <c r="I60" s="54"/>
      <c r="J60" s="54"/>
      <c r="K60" s="54"/>
      <c r="L60" s="54"/>
      <c r="M60" s="54"/>
      <c r="N60" s="54"/>
      <c r="O60" s="54"/>
      <c r="P60" s="54"/>
      <c r="Q60" s="54"/>
      <c r="R60" s="54"/>
      <c r="S60" s="54"/>
      <c r="T60" s="54"/>
      <c r="U60" s="54"/>
      <c r="V60" s="54"/>
      <c r="W60" s="54"/>
      <c r="X60" s="54"/>
      <c r="Y60" s="54"/>
      <c r="Z60" s="54"/>
    </row>
    <row r="61" ht="26.25" customHeight="1">
      <c r="A61" s="54"/>
      <c r="B61" s="55"/>
      <c r="C61" s="52" t="s">
        <v>149</v>
      </c>
      <c r="D61" s="66" t="s">
        <v>150</v>
      </c>
      <c r="E61" s="54"/>
      <c r="F61" s="54"/>
      <c r="G61" s="54"/>
      <c r="H61" s="54"/>
      <c r="I61" s="54"/>
      <c r="J61" s="54"/>
      <c r="K61" s="54"/>
      <c r="L61" s="54"/>
      <c r="M61" s="54"/>
      <c r="N61" s="54"/>
      <c r="O61" s="54"/>
      <c r="P61" s="54"/>
      <c r="Q61" s="54"/>
      <c r="R61" s="54"/>
      <c r="S61" s="54"/>
      <c r="T61" s="54"/>
      <c r="U61" s="54"/>
      <c r="V61" s="54"/>
      <c r="W61" s="54"/>
      <c r="X61" s="54"/>
      <c r="Y61" s="54"/>
      <c r="Z61" s="54"/>
    </row>
    <row r="62" ht="26.25" customHeight="1">
      <c r="A62" s="54"/>
      <c r="B62" s="55"/>
      <c r="C62" s="52" t="s">
        <v>151</v>
      </c>
      <c r="D62" s="65" t="s">
        <v>152</v>
      </c>
      <c r="E62" s="54"/>
      <c r="F62" s="54"/>
      <c r="G62" s="54"/>
      <c r="H62" s="54"/>
      <c r="I62" s="54"/>
      <c r="J62" s="54"/>
      <c r="K62" s="54"/>
      <c r="L62" s="54"/>
      <c r="M62" s="54"/>
      <c r="N62" s="54"/>
      <c r="O62" s="54"/>
      <c r="P62" s="54"/>
      <c r="Q62" s="54"/>
      <c r="R62" s="54"/>
      <c r="S62" s="54"/>
      <c r="T62" s="54"/>
      <c r="U62" s="54"/>
      <c r="V62" s="54"/>
      <c r="W62" s="54"/>
      <c r="X62" s="54"/>
      <c r="Y62" s="54"/>
      <c r="Z62" s="54"/>
    </row>
    <row r="63" ht="26.25" customHeight="1">
      <c r="A63" s="54"/>
      <c r="B63" s="55"/>
      <c r="C63" s="52" t="s">
        <v>153</v>
      </c>
      <c r="D63" s="53" t="s">
        <v>154</v>
      </c>
      <c r="E63" s="54"/>
      <c r="F63" s="54"/>
      <c r="G63" s="54"/>
      <c r="H63" s="54"/>
      <c r="I63" s="54"/>
      <c r="J63" s="54"/>
      <c r="K63" s="54"/>
      <c r="L63" s="54"/>
      <c r="M63" s="54"/>
      <c r="N63" s="54"/>
      <c r="O63" s="54"/>
      <c r="P63" s="54"/>
      <c r="Q63" s="54"/>
      <c r="R63" s="54"/>
      <c r="S63" s="54"/>
      <c r="T63" s="54"/>
      <c r="U63" s="54"/>
      <c r="V63" s="54"/>
      <c r="W63" s="54"/>
      <c r="X63" s="54"/>
      <c r="Y63" s="54"/>
      <c r="Z63" s="54"/>
    </row>
    <row r="64" ht="26.25" customHeight="1">
      <c r="A64" s="54"/>
      <c r="B64" s="55"/>
      <c r="C64" s="52" t="s">
        <v>155</v>
      </c>
      <c r="D64" s="68" t="s">
        <v>156</v>
      </c>
      <c r="E64" s="69" t="s">
        <v>157</v>
      </c>
      <c r="F64" s="61" t="s">
        <v>158</v>
      </c>
      <c r="G64" s="54"/>
      <c r="H64" s="54"/>
      <c r="I64" s="54"/>
      <c r="J64" s="54"/>
      <c r="K64" s="54"/>
      <c r="L64" s="54"/>
      <c r="M64" s="54"/>
      <c r="N64" s="54"/>
      <c r="O64" s="54"/>
      <c r="P64" s="54"/>
      <c r="Q64" s="54"/>
      <c r="R64" s="54"/>
      <c r="S64" s="54"/>
      <c r="T64" s="54"/>
      <c r="U64" s="54"/>
      <c r="V64" s="54"/>
      <c r="W64" s="54"/>
      <c r="X64" s="54"/>
      <c r="Y64" s="54"/>
      <c r="Z64" s="54"/>
    </row>
    <row r="65" ht="26.25" customHeight="1">
      <c r="A65" s="54"/>
      <c r="B65" s="59">
        <v>45987.0</v>
      </c>
      <c r="C65" s="52" t="s">
        <v>159</v>
      </c>
      <c r="D65" s="53" t="s">
        <v>160</v>
      </c>
      <c r="E65" s="54"/>
      <c r="F65" s="54"/>
      <c r="G65" s="54"/>
      <c r="H65" s="54"/>
      <c r="I65" s="54"/>
      <c r="J65" s="54"/>
      <c r="K65" s="54"/>
      <c r="L65" s="54"/>
      <c r="M65" s="54"/>
      <c r="N65" s="54"/>
      <c r="O65" s="54"/>
      <c r="P65" s="54"/>
      <c r="Q65" s="54"/>
      <c r="R65" s="54"/>
      <c r="S65" s="54"/>
      <c r="T65" s="54"/>
      <c r="U65" s="54"/>
      <c r="V65" s="54"/>
      <c r="W65" s="54"/>
      <c r="X65" s="54"/>
      <c r="Y65" s="54"/>
      <c r="Z65" s="54"/>
    </row>
    <row r="66" ht="26.25" customHeight="1">
      <c r="A66" s="54"/>
      <c r="B66" s="55"/>
      <c r="C66" s="52" t="s">
        <v>161</v>
      </c>
      <c r="D66" s="53" t="s">
        <v>162</v>
      </c>
      <c r="E66" s="54"/>
      <c r="F66" s="54"/>
      <c r="G66" s="54"/>
      <c r="H66" s="54"/>
      <c r="I66" s="54"/>
      <c r="J66" s="54"/>
      <c r="K66" s="54"/>
      <c r="L66" s="54"/>
      <c r="M66" s="54"/>
      <c r="N66" s="54"/>
      <c r="O66" s="54"/>
      <c r="P66" s="54"/>
      <c r="Q66" s="54"/>
      <c r="R66" s="54"/>
      <c r="S66" s="54"/>
      <c r="T66" s="54"/>
      <c r="U66" s="54"/>
      <c r="V66" s="54"/>
      <c r="W66" s="54"/>
      <c r="X66" s="54"/>
      <c r="Y66" s="54"/>
      <c r="Z66" s="54"/>
    </row>
    <row r="67" ht="26.25" customHeight="1">
      <c r="A67" s="54"/>
      <c r="B67" s="55"/>
      <c r="C67" s="52" t="s">
        <v>163</v>
      </c>
      <c r="D67" s="53" t="s">
        <v>164</v>
      </c>
      <c r="E67" s="54"/>
      <c r="F67" s="54"/>
      <c r="G67" s="54"/>
      <c r="H67" s="54"/>
      <c r="I67" s="54"/>
      <c r="J67" s="54"/>
      <c r="K67" s="54"/>
      <c r="L67" s="54"/>
      <c r="M67" s="54"/>
      <c r="N67" s="54"/>
      <c r="O67" s="54"/>
      <c r="P67" s="54"/>
      <c r="Q67" s="54"/>
      <c r="R67" s="54"/>
      <c r="S67" s="54"/>
      <c r="T67" s="54"/>
      <c r="U67" s="54"/>
      <c r="V67" s="54"/>
      <c r="W67" s="54"/>
      <c r="X67" s="54"/>
      <c r="Y67" s="54"/>
      <c r="Z67" s="54"/>
    </row>
    <row r="68" ht="26.25" customHeight="1">
      <c r="A68" s="54"/>
      <c r="B68" s="55"/>
      <c r="C68" s="61" t="s">
        <v>165</v>
      </c>
      <c r="D68" s="53" t="s">
        <v>166</v>
      </c>
      <c r="E68" s="54"/>
      <c r="F68" s="54"/>
      <c r="G68" s="54"/>
      <c r="H68" s="54"/>
      <c r="I68" s="54"/>
      <c r="J68" s="54"/>
      <c r="K68" s="54"/>
      <c r="L68" s="54"/>
      <c r="M68" s="54"/>
      <c r="N68" s="54"/>
      <c r="O68" s="54"/>
      <c r="P68" s="54"/>
      <c r="Q68" s="54"/>
      <c r="R68" s="54"/>
      <c r="S68" s="54"/>
      <c r="T68" s="54"/>
      <c r="U68" s="54"/>
      <c r="V68" s="54"/>
      <c r="W68" s="54"/>
      <c r="X68" s="54"/>
      <c r="Y68" s="54"/>
      <c r="Z68" s="54"/>
    </row>
    <row r="69" ht="26.25" customHeight="1">
      <c r="A69" s="54"/>
      <c r="B69" s="55"/>
      <c r="C69" s="52" t="s">
        <v>167</v>
      </c>
      <c r="D69" s="53" t="s">
        <v>168</v>
      </c>
      <c r="E69" s="54"/>
      <c r="F69" s="54"/>
      <c r="G69" s="54"/>
      <c r="H69" s="54"/>
      <c r="I69" s="54"/>
      <c r="J69" s="54"/>
      <c r="K69" s="54"/>
      <c r="L69" s="54"/>
      <c r="M69" s="54"/>
      <c r="N69" s="54"/>
      <c r="O69" s="54"/>
      <c r="P69" s="54"/>
      <c r="Q69" s="54"/>
      <c r="R69" s="54"/>
      <c r="S69" s="54"/>
      <c r="T69" s="54"/>
      <c r="U69" s="54"/>
      <c r="V69" s="54"/>
      <c r="W69" s="54"/>
      <c r="X69" s="54"/>
      <c r="Y69" s="54"/>
      <c r="Z69" s="54"/>
    </row>
    <row r="70" ht="26.25" customHeight="1">
      <c r="A70" s="54"/>
      <c r="B70" s="55"/>
      <c r="C70" s="52" t="s">
        <v>169</v>
      </c>
      <c r="D70" s="53" t="s">
        <v>170</v>
      </c>
      <c r="E70" s="61" t="s">
        <v>171</v>
      </c>
      <c r="F70" s="50" t="s">
        <v>172</v>
      </c>
      <c r="G70" s="50" t="s">
        <v>173</v>
      </c>
      <c r="H70" s="54"/>
      <c r="I70" s="54"/>
      <c r="J70" s="54"/>
      <c r="K70" s="54"/>
      <c r="L70" s="54"/>
      <c r="M70" s="54"/>
      <c r="N70" s="54"/>
      <c r="O70" s="54"/>
      <c r="P70" s="54"/>
      <c r="Q70" s="54"/>
      <c r="R70" s="54"/>
      <c r="S70" s="54"/>
      <c r="T70" s="54"/>
      <c r="U70" s="54"/>
      <c r="V70" s="54"/>
      <c r="W70" s="54"/>
      <c r="X70" s="54"/>
      <c r="Y70" s="54"/>
      <c r="Z70" s="54"/>
    </row>
    <row r="71" ht="26.25" customHeight="1">
      <c r="A71" s="54"/>
      <c r="B71" s="55"/>
      <c r="C71" s="70" t="s">
        <v>174</v>
      </c>
      <c r="D71" s="43" t="s">
        <v>175</v>
      </c>
      <c r="E71" s="50" t="s">
        <v>176</v>
      </c>
      <c r="F71" s="50" t="s">
        <v>177</v>
      </c>
      <c r="G71" s="50" t="s">
        <v>178</v>
      </c>
      <c r="H71" s="50" t="s">
        <v>179</v>
      </c>
      <c r="I71" s="54"/>
      <c r="J71" s="54"/>
      <c r="K71" s="54"/>
      <c r="L71" s="54"/>
      <c r="M71" s="54"/>
      <c r="N71" s="54"/>
      <c r="O71" s="54"/>
      <c r="P71" s="54"/>
      <c r="Q71" s="54"/>
      <c r="R71" s="54"/>
      <c r="S71" s="54"/>
      <c r="T71" s="54"/>
      <c r="U71" s="54"/>
      <c r="V71" s="54"/>
      <c r="W71" s="54"/>
      <c r="X71" s="54"/>
      <c r="Y71" s="54"/>
      <c r="Z71" s="54"/>
    </row>
    <row r="72" ht="26.25" customHeight="1">
      <c r="A72" s="54"/>
      <c r="B72" s="59">
        <v>45988.0</v>
      </c>
      <c r="C72" s="52" t="s">
        <v>180</v>
      </c>
      <c r="D72" s="53" t="s">
        <v>181</v>
      </c>
      <c r="E72" s="54"/>
      <c r="F72" s="54"/>
      <c r="G72" s="54"/>
      <c r="H72" s="54"/>
      <c r="I72" s="54"/>
      <c r="J72" s="54"/>
      <c r="K72" s="54"/>
      <c r="L72" s="54"/>
      <c r="M72" s="54"/>
      <c r="N72" s="54"/>
      <c r="O72" s="54"/>
      <c r="P72" s="54"/>
      <c r="Q72" s="54"/>
      <c r="R72" s="54"/>
      <c r="S72" s="54"/>
      <c r="T72" s="54"/>
      <c r="U72" s="54"/>
      <c r="V72" s="54"/>
      <c r="W72" s="54"/>
      <c r="X72" s="54"/>
      <c r="Y72" s="54"/>
      <c r="Z72" s="54"/>
    </row>
    <row r="73" ht="26.25" customHeight="1">
      <c r="A73" s="54"/>
      <c r="B73" s="55"/>
      <c r="C73" s="52" t="s">
        <v>182</v>
      </c>
      <c r="D73" s="53" t="s">
        <v>183</v>
      </c>
      <c r="E73" s="54"/>
      <c r="F73" s="54"/>
      <c r="G73" s="54"/>
      <c r="H73" s="54"/>
      <c r="I73" s="54"/>
      <c r="J73" s="54"/>
      <c r="K73" s="54"/>
      <c r="L73" s="54"/>
      <c r="M73" s="54"/>
      <c r="N73" s="54"/>
      <c r="O73" s="54"/>
      <c r="P73" s="54"/>
      <c r="Q73" s="54"/>
      <c r="R73" s="54"/>
      <c r="S73" s="54"/>
      <c r="T73" s="54"/>
      <c r="U73" s="54"/>
      <c r="V73" s="54"/>
      <c r="W73" s="54"/>
      <c r="X73" s="54"/>
      <c r="Y73" s="54"/>
      <c r="Z73" s="54"/>
    </row>
    <row r="74" ht="26.25" customHeight="1">
      <c r="A74" s="54"/>
      <c r="B74" s="55"/>
      <c r="C74" s="52" t="s">
        <v>184</v>
      </c>
      <c r="D74" s="53" t="s">
        <v>185</v>
      </c>
      <c r="E74" s="54"/>
      <c r="F74" s="54"/>
      <c r="G74" s="54"/>
      <c r="H74" s="54"/>
      <c r="I74" s="54"/>
      <c r="J74" s="54"/>
      <c r="K74" s="54"/>
      <c r="L74" s="54"/>
      <c r="M74" s="54"/>
      <c r="N74" s="54"/>
      <c r="O74" s="54"/>
      <c r="P74" s="54"/>
      <c r="Q74" s="54"/>
      <c r="R74" s="54"/>
      <c r="S74" s="54"/>
      <c r="T74" s="54"/>
      <c r="U74" s="54"/>
      <c r="V74" s="54"/>
      <c r="W74" s="54"/>
      <c r="X74" s="54"/>
      <c r="Y74" s="54"/>
      <c r="Z74" s="54"/>
    </row>
    <row r="75" ht="26.25" customHeight="1">
      <c r="A75" s="54"/>
      <c r="B75" s="55"/>
      <c r="C75" s="52" t="s">
        <v>186</v>
      </c>
      <c r="D75" s="53" t="s">
        <v>187</v>
      </c>
      <c r="E75" s="54"/>
      <c r="F75" s="54"/>
      <c r="G75" s="54"/>
      <c r="H75" s="54"/>
      <c r="I75" s="54"/>
      <c r="J75" s="54"/>
      <c r="K75" s="54"/>
      <c r="L75" s="54"/>
      <c r="M75" s="54"/>
      <c r="N75" s="54"/>
      <c r="O75" s="54"/>
      <c r="P75" s="54"/>
      <c r="Q75" s="54"/>
      <c r="R75" s="54"/>
      <c r="S75" s="54"/>
      <c r="T75" s="54"/>
      <c r="U75" s="54"/>
      <c r="V75" s="54"/>
      <c r="W75" s="54"/>
      <c r="X75" s="54"/>
      <c r="Y75" s="54"/>
      <c r="Z75" s="54"/>
    </row>
    <row r="76" ht="26.25" customHeight="1">
      <c r="A76" s="54"/>
      <c r="B76" s="55"/>
      <c r="C76" s="52" t="s">
        <v>188</v>
      </c>
      <c r="D76" s="53" t="s">
        <v>189</v>
      </c>
      <c r="E76" s="54"/>
      <c r="F76" s="54"/>
      <c r="G76" s="54"/>
      <c r="H76" s="54"/>
      <c r="I76" s="54"/>
      <c r="J76" s="54"/>
      <c r="K76" s="54"/>
      <c r="L76" s="54"/>
      <c r="M76" s="54"/>
      <c r="N76" s="54"/>
      <c r="O76" s="54"/>
      <c r="P76" s="54"/>
      <c r="Q76" s="54"/>
      <c r="R76" s="54"/>
      <c r="S76" s="54"/>
      <c r="T76" s="54"/>
      <c r="U76" s="54"/>
      <c r="V76" s="54"/>
      <c r="W76" s="54"/>
      <c r="X76" s="54"/>
      <c r="Y76" s="54"/>
      <c r="Z76" s="54"/>
    </row>
    <row r="77" ht="26.25" customHeight="1">
      <c r="A77" s="54"/>
      <c r="B77" s="59">
        <v>45989.0</v>
      </c>
      <c r="C77" s="52" t="s">
        <v>190</v>
      </c>
      <c r="D77" s="53" t="s">
        <v>191</v>
      </c>
      <c r="E77" s="54"/>
      <c r="F77" s="54"/>
      <c r="G77" s="54"/>
      <c r="H77" s="54"/>
      <c r="I77" s="54"/>
      <c r="J77" s="54"/>
      <c r="K77" s="54"/>
      <c r="L77" s="54"/>
      <c r="M77" s="54"/>
      <c r="N77" s="54"/>
      <c r="O77" s="54"/>
      <c r="P77" s="54"/>
      <c r="Q77" s="54"/>
      <c r="R77" s="54"/>
      <c r="S77" s="54"/>
      <c r="T77" s="54"/>
      <c r="U77" s="54"/>
      <c r="V77" s="54"/>
      <c r="W77" s="54"/>
      <c r="X77" s="54"/>
      <c r="Y77" s="54"/>
      <c r="Z77" s="54"/>
    </row>
    <row r="78" ht="26.25" customHeight="1">
      <c r="A78" s="54"/>
      <c r="B78" s="55"/>
      <c r="C78" s="52" t="s">
        <v>192</v>
      </c>
      <c r="D78" s="66" t="s">
        <v>193</v>
      </c>
      <c r="E78" s="50" t="s">
        <v>194</v>
      </c>
      <c r="F78" s="50" t="s">
        <v>195</v>
      </c>
      <c r="G78" s="54"/>
      <c r="H78" s="54"/>
      <c r="I78" s="54"/>
      <c r="J78" s="54"/>
      <c r="K78" s="54"/>
      <c r="L78" s="54"/>
      <c r="M78" s="54"/>
      <c r="N78" s="54"/>
      <c r="O78" s="54"/>
      <c r="P78" s="54"/>
      <c r="Q78" s="54"/>
      <c r="R78" s="54"/>
      <c r="S78" s="54"/>
      <c r="T78" s="54"/>
      <c r="U78" s="54"/>
      <c r="V78" s="54"/>
      <c r="W78" s="54"/>
      <c r="X78" s="54"/>
      <c r="Y78" s="54"/>
      <c r="Z78" s="54"/>
    </row>
    <row r="79" ht="26.25" customHeight="1">
      <c r="A79" s="54"/>
      <c r="B79" s="55"/>
      <c r="C79" s="52" t="s">
        <v>196</v>
      </c>
      <c r="D79" s="53" t="s">
        <v>197</v>
      </c>
      <c r="E79" s="54"/>
      <c r="F79" s="54"/>
      <c r="G79" s="54"/>
      <c r="H79" s="54"/>
      <c r="I79" s="54"/>
      <c r="J79" s="54"/>
      <c r="K79" s="54"/>
      <c r="L79" s="54"/>
      <c r="M79" s="54"/>
      <c r="N79" s="54"/>
      <c r="O79" s="54"/>
      <c r="P79" s="54"/>
      <c r="Q79" s="54"/>
      <c r="R79" s="54"/>
      <c r="S79" s="54"/>
      <c r="T79" s="54"/>
      <c r="U79" s="54"/>
      <c r="V79" s="54"/>
      <c r="W79" s="54"/>
      <c r="X79" s="54"/>
      <c r="Y79" s="54"/>
      <c r="Z79" s="54"/>
    </row>
    <row r="80" ht="26.25" customHeight="1">
      <c r="A80" s="54"/>
      <c r="B80" s="55"/>
      <c r="C80" s="52" t="s">
        <v>198</v>
      </c>
      <c r="D80" s="53" t="s">
        <v>199</v>
      </c>
      <c r="E80" s="54"/>
      <c r="F80" s="54"/>
      <c r="G80" s="54"/>
      <c r="H80" s="54"/>
      <c r="I80" s="54"/>
      <c r="J80" s="54"/>
      <c r="K80" s="54"/>
      <c r="L80" s="54"/>
      <c r="M80" s="54"/>
      <c r="N80" s="54"/>
      <c r="O80" s="54"/>
      <c r="P80" s="54"/>
      <c r="Q80" s="54"/>
      <c r="R80" s="54"/>
      <c r="S80" s="54"/>
      <c r="T80" s="54"/>
      <c r="U80" s="54"/>
      <c r="V80" s="54"/>
      <c r="W80" s="54"/>
      <c r="X80" s="54"/>
      <c r="Y80" s="54"/>
      <c r="Z80" s="54"/>
    </row>
    <row r="81" ht="26.25" customHeight="1">
      <c r="A81" s="54"/>
      <c r="B81" s="59">
        <v>45992.0</v>
      </c>
      <c r="C81" s="52" t="s">
        <v>200</v>
      </c>
      <c r="D81" s="53" t="s">
        <v>201</v>
      </c>
      <c r="E81" s="50" t="s">
        <v>202</v>
      </c>
      <c r="F81" s="50" t="s">
        <v>203</v>
      </c>
      <c r="G81" s="50" t="s">
        <v>204</v>
      </c>
      <c r="H81" s="61" t="s">
        <v>205</v>
      </c>
      <c r="I81" s="54"/>
      <c r="J81" s="54"/>
      <c r="K81" s="54"/>
      <c r="L81" s="54"/>
      <c r="M81" s="54"/>
      <c r="N81" s="54"/>
      <c r="O81" s="54"/>
      <c r="P81" s="54"/>
      <c r="Q81" s="54"/>
      <c r="R81" s="54"/>
      <c r="S81" s="54"/>
      <c r="T81" s="54"/>
      <c r="U81" s="54"/>
      <c r="V81" s="54"/>
      <c r="W81" s="54"/>
      <c r="X81" s="54"/>
      <c r="Y81" s="54"/>
      <c r="Z81" s="54"/>
    </row>
    <row r="82" ht="26.25" customHeight="1">
      <c r="A82" s="54"/>
      <c r="B82" s="55"/>
      <c r="C82" s="52" t="s">
        <v>206</v>
      </c>
      <c r="D82" s="53" t="s">
        <v>207</v>
      </c>
      <c r="E82" s="54"/>
      <c r="F82" s="54"/>
      <c r="G82" s="54"/>
      <c r="H82" s="54"/>
      <c r="I82" s="54"/>
      <c r="J82" s="54"/>
      <c r="K82" s="54"/>
      <c r="L82" s="54"/>
      <c r="M82" s="54"/>
      <c r="N82" s="54"/>
      <c r="O82" s="54"/>
      <c r="P82" s="54"/>
      <c r="Q82" s="54"/>
      <c r="R82" s="54"/>
      <c r="S82" s="54"/>
      <c r="T82" s="54"/>
      <c r="U82" s="54"/>
      <c r="V82" s="54"/>
      <c r="W82" s="54"/>
      <c r="X82" s="54"/>
      <c r="Y82" s="54"/>
      <c r="Z82" s="54"/>
    </row>
    <row r="83" ht="26.25" customHeight="1">
      <c r="A83" s="54"/>
      <c r="B83" s="55"/>
      <c r="C83" s="52" t="s">
        <v>208</v>
      </c>
      <c r="D83" s="53" t="s">
        <v>209</v>
      </c>
      <c r="E83" s="54"/>
      <c r="F83" s="54"/>
      <c r="G83" s="54"/>
      <c r="H83" s="54"/>
      <c r="I83" s="54"/>
      <c r="J83" s="54"/>
      <c r="K83" s="54"/>
      <c r="L83" s="54"/>
      <c r="M83" s="54"/>
      <c r="N83" s="54"/>
      <c r="O83" s="54"/>
      <c r="P83" s="54"/>
      <c r="Q83" s="54"/>
      <c r="R83" s="54"/>
      <c r="S83" s="54"/>
      <c r="T83" s="54"/>
      <c r="U83" s="54"/>
      <c r="V83" s="54"/>
      <c r="W83" s="54"/>
      <c r="X83" s="54"/>
      <c r="Y83" s="54"/>
      <c r="Z83" s="54"/>
    </row>
    <row r="84" ht="26.25" customHeight="1">
      <c r="A84" s="54"/>
      <c r="B84" s="55"/>
      <c r="C84" s="52" t="s">
        <v>210</v>
      </c>
      <c r="D84" s="53" t="s">
        <v>211</v>
      </c>
      <c r="E84" s="54"/>
      <c r="F84" s="54"/>
      <c r="G84" s="54"/>
      <c r="H84" s="54"/>
      <c r="I84" s="54"/>
      <c r="J84" s="54"/>
      <c r="K84" s="54"/>
      <c r="L84" s="54"/>
      <c r="M84" s="54"/>
      <c r="N84" s="54"/>
      <c r="O84" s="54"/>
      <c r="P84" s="54"/>
      <c r="Q84" s="54"/>
      <c r="R84" s="54"/>
      <c r="S84" s="54"/>
      <c r="T84" s="54"/>
      <c r="U84" s="54"/>
      <c r="V84" s="54"/>
      <c r="W84" s="54"/>
      <c r="X84" s="54"/>
      <c r="Y84" s="54"/>
      <c r="Z84" s="54"/>
    </row>
    <row r="85" ht="26.25" customHeight="1">
      <c r="A85" s="54"/>
      <c r="B85" s="55"/>
      <c r="C85" s="52" t="s">
        <v>212</v>
      </c>
      <c r="D85" s="53" t="s">
        <v>213</v>
      </c>
      <c r="E85" s="54"/>
      <c r="F85" s="54"/>
      <c r="G85" s="54"/>
      <c r="H85" s="54"/>
      <c r="I85" s="54"/>
      <c r="J85" s="54"/>
      <c r="K85" s="54"/>
      <c r="L85" s="54"/>
      <c r="M85" s="54"/>
      <c r="N85" s="54"/>
      <c r="O85" s="54"/>
      <c r="P85" s="54"/>
      <c r="Q85" s="54"/>
      <c r="R85" s="54"/>
      <c r="S85" s="54"/>
      <c r="T85" s="54"/>
      <c r="U85" s="54"/>
      <c r="V85" s="54"/>
      <c r="W85" s="54"/>
      <c r="X85" s="54"/>
      <c r="Y85" s="54"/>
      <c r="Z85" s="54"/>
    </row>
    <row r="86" ht="26.25" customHeight="1">
      <c r="A86" s="54"/>
      <c r="B86" s="55"/>
      <c r="C86" s="52" t="s">
        <v>214</v>
      </c>
      <c r="D86" s="53" t="s">
        <v>213</v>
      </c>
      <c r="E86" s="54"/>
      <c r="F86" s="54"/>
      <c r="G86" s="54"/>
      <c r="H86" s="54"/>
      <c r="I86" s="54"/>
      <c r="J86" s="54"/>
      <c r="K86" s="54"/>
      <c r="L86" s="54"/>
      <c r="M86" s="54"/>
      <c r="N86" s="54"/>
      <c r="O86" s="54"/>
      <c r="P86" s="54"/>
      <c r="Q86" s="54"/>
      <c r="R86" s="54"/>
      <c r="S86" s="54"/>
      <c r="T86" s="54"/>
      <c r="U86" s="54"/>
      <c r="V86" s="54"/>
      <c r="W86" s="54"/>
      <c r="X86" s="54"/>
      <c r="Y86" s="54"/>
      <c r="Z86" s="54"/>
    </row>
    <row r="87" ht="26.25" customHeight="1">
      <c r="A87" s="54"/>
      <c r="B87" s="55"/>
      <c r="C87" s="52" t="s">
        <v>215</v>
      </c>
      <c r="D87" s="66" t="s">
        <v>216</v>
      </c>
      <c r="E87" s="54"/>
      <c r="F87" s="54"/>
      <c r="G87" s="54"/>
      <c r="H87" s="54"/>
      <c r="I87" s="54"/>
      <c r="J87" s="54"/>
      <c r="K87" s="54"/>
      <c r="L87" s="54"/>
      <c r="M87" s="54"/>
      <c r="N87" s="54"/>
      <c r="O87" s="54"/>
      <c r="P87" s="54"/>
      <c r="Q87" s="54"/>
      <c r="R87" s="54"/>
      <c r="S87" s="54"/>
      <c r="T87" s="54"/>
      <c r="U87" s="54"/>
      <c r="V87" s="54"/>
      <c r="W87" s="54"/>
      <c r="X87" s="54"/>
      <c r="Y87" s="54"/>
      <c r="Z87" s="54"/>
    </row>
    <row r="88" ht="26.25" customHeight="1">
      <c r="A88" s="54"/>
      <c r="B88" s="59">
        <v>45993.0</v>
      </c>
      <c r="C88" s="52" t="s">
        <v>217</v>
      </c>
      <c r="D88" s="53" t="s">
        <v>218</v>
      </c>
      <c r="E88" s="54"/>
      <c r="F88" s="54"/>
      <c r="G88" s="54"/>
      <c r="H88" s="54"/>
      <c r="I88" s="54"/>
      <c r="J88" s="54"/>
      <c r="K88" s="54"/>
      <c r="L88" s="54"/>
      <c r="M88" s="54"/>
      <c r="N88" s="54"/>
      <c r="O88" s="54"/>
      <c r="P88" s="54"/>
      <c r="Q88" s="54"/>
      <c r="R88" s="54"/>
      <c r="S88" s="54"/>
      <c r="T88" s="54"/>
      <c r="U88" s="54"/>
      <c r="V88" s="54"/>
      <c r="W88" s="54"/>
      <c r="X88" s="54"/>
      <c r="Y88" s="54"/>
      <c r="Z88" s="54"/>
    </row>
    <row r="89" ht="26.25" customHeight="1">
      <c r="A89" s="54"/>
      <c r="B89" s="55"/>
      <c r="C89" s="52" t="s">
        <v>219</v>
      </c>
      <c r="D89" s="53" t="s">
        <v>220</v>
      </c>
      <c r="E89" s="54"/>
      <c r="F89" s="54"/>
      <c r="G89" s="54"/>
      <c r="H89" s="54"/>
      <c r="I89" s="54"/>
      <c r="J89" s="54"/>
      <c r="K89" s="54"/>
      <c r="L89" s="54"/>
      <c r="M89" s="54"/>
      <c r="N89" s="54"/>
      <c r="O89" s="54"/>
      <c r="P89" s="54"/>
      <c r="Q89" s="54"/>
      <c r="R89" s="54"/>
      <c r="S89" s="54"/>
      <c r="T89" s="54"/>
      <c r="U89" s="54"/>
      <c r="V89" s="54"/>
      <c r="W89" s="54"/>
      <c r="X89" s="54"/>
      <c r="Y89" s="54"/>
      <c r="Z89" s="54"/>
    </row>
    <row r="90" ht="26.25" customHeight="1">
      <c r="A90" s="54"/>
      <c r="B90" s="55"/>
      <c r="C90" s="52" t="s">
        <v>221</v>
      </c>
      <c r="D90" s="53" t="s">
        <v>222</v>
      </c>
      <c r="E90" s="54"/>
      <c r="F90" s="54"/>
      <c r="G90" s="54"/>
      <c r="H90" s="54"/>
      <c r="I90" s="54"/>
      <c r="J90" s="54"/>
      <c r="K90" s="54"/>
      <c r="L90" s="54"/>
      <c r="M90" s="54"/>
      <c r="N90" s="54"/>
      <c r="O90" s="54"/>
      <c r="P90" s="54"/>
      <c r="Q90" s="54"/>
      <c r="R90" s="54"/>
      <c r="S90" s="54"/>
      <c r="T90" s="54"/>
      <c r="U90" s="54"/>
      <c r="V90" s="54"/>
      <c r="W90" s="54"/>
      <c r="X90" s="54"/>
      <c r="Y90" s="54"/>
      <c r="Z90" s="54"/>
    </row>
    <row r="91" ht="26.25" customHeight="1">
      <c r="A91" s="54"/>
      <c r="B91" s="55"/>
      <c r="C91" s="52" t="s">
        <v>223</v>
      </c>
      <c r="D91" s="53" t="s">
        <v>224</v>
      </c>
      <c r="E91" s="54"/>
      <c r="F91" s="54"/>
      <c r="G91" s="54"/>
      <c r="H91" s="54"/>
      <c r="I91" s="54"/>
      <c r="J91" s="54"/>
      <c r="K91" s="54"/>
      <c r="L91" s="54"/>
      <c r="M91" s="54"/>
      <c r="N91" s="54"/>
      <c r="O91" s="54"/>
      <c r="P91" s="54"/>
      <c r="Q91" s="54"/>
      <c r="R91" s="54"/>
      <c r="S91" s="54"/>
      <c r="T91" s="54"/>
      <c r="U91" s="54"/>
      <c r="V91" s="54"/>
      <c r="W91" s="54"/>
      <c r="X91" s="54"/>
      <c r="Y91" s="54"/>
      <c r="Z91" s="54"/>
    </row>
    <row r="92" ht="26.25" customHeight="1">
      <c r="A92" s="54"/>
      <c r="B92" s="55"/>
      <c r="C92" s="52" t="s">
        <v>225</v>
      </c>
      <c r="D92" s="53" t="s">
        <v>226</v>
      </c>
      <c r="E92" s="54"/>
      <c r="F92" s="54"/>
      <c r="G92" s="54"/>
      <c r="H92" s="54"/>
      <c r="I92" s="54"/>
      <c r="J92" s="54"/>
      <c r="K92" s="54"/>
      <c r="L92" s="54"/>
      <c r="M92" s="54"/>
      <c r="N92" s="54"/>
      <c r="O92" s="54"/>
      <c r="P92" s="54"/>
      <c r="Q92" s="54"/>
      <c r="R92" s="54"/>
      <c r="S92" s="54"/>
      <c r="T92" s="54"/>
      <c r="U92" s="54"/>
      <c r="V92" s="54"/>
      <c r="W92" s="54"/>
      <c r="X92" s="54"/>
      <c r="Y92" s="54"/>
      <c r="Z92" s="54"/>
    </row>
    <row r="93" ht="26.25" customHeight="1">
      <c r="A93" s="54"/>
      <c r="B93" s="55"/>
      <c r="C93" s="52" t="s">
        <v>227</v>
      </c>
      <c r="D93" s="53" t="s">
        <v>228</v>
      </c>
      <c r="E93" s="54"/>
      <c r="F93" s="54"/>
      <c r="G93" s="54"/>
      <c r="H93" s="54"/>
      <c r="I93" s="54"/>
      <c r="J93" s="54"/>
      <c r="K93" s="54"/>
      <c r="L93" s="54"/>
      <c r="M93" s="54"/>
      <c r="N93" s="54"/>
      <c r="O93" s="54"/>
      <c r="P93" s="54"/>
      <c r="Q93" s="54"/>
      <c r="R93" s="54"/>
      <c r="S93" s="54"/>
      <c r="T93" s="54"/>
      <c r="U93" s="54"/>
      <c r="V93" s="54"/>
      <c r="W93" s="54"/>
      <c r="X93" s="54"/>
      <c r="Y93" s="54"/>
      <c r="Z93" s="54"/>
    </row>
    <row r="94" ht="26.25" customHeight="1">
      <c r="A94" s="54"/>
      <c r="B94" s="55"/>
      <c r="C94" s="52" t="s">
        <v>229</v>
      </c>
      <c r="D94" s="53" t="s">
        <v>230</v>
      </c>
      <c r="E94" s="61" t="s">
        <v>231</v>
      </c>
      <c r="F94" s="50" t="s">
        <v>232</v>
      </c>
      <c r="G94" s="50" t="s">
        <v>233</v>
      </c>
      <c r="H94" s="54"/>
      <c r="I94" s="54"/>
      <c r="J94" s="54"/>
      <c r="K94" s="54"/>
      <c r="L94" s="54"/>
      <c r="M94" s="54"/>
      <c r="N94" s="54"/>
      <c r="O94" s="54"/>
      <c r="P94" s="54"/>
      <c r="Q94" s="54"/>
      <c r="R94" s="54"/>
      <c r="S94" s="54"/>
      <c r="T94" s="54"/>
      <c r="U94" s="54"/>
      <c r="V94" s="54"/>
      <c r="W94" s="54"/>
      <c r="X94" s="54"/>
      <c r="Y94" s="54"/>
      <c r="Z94" s="54"/>
    </row>
    <row r="95" ht="26.25" customHeight="1">
      <c r="A95" s="54"/>
      <c r="B95" s="59">
        <v>45994.0</v>
      </c>
      <c r="C95" s="52" t="s">
        <v>234</v>
      </c>
      <c r="D95" s="53" t="s">
        <v>235</v>
      </c>
      <c r="E95" s="54"/>
      <c r="F95" s="54"/>
      <c r="G95" s="54"/>
      <c r="H95" s="54"/>
      <c r="I95" s="54"/>
      <c r="J95" s="54"/>
      <c r="K95" s="54"/>
      <c r="L95" s="54"/>
      <c r="M95" s="54"/>
      <c r="N95" s="54"/>
      <c r="O95" s="54"/>
      <c r="P95" s="54"/>
      <c r="Q95" s="54"/>
      <c r="R95" s="54"/>
      <c r="S95" s="54"/>
      <c r="T95" s="54"/>
      <c r="U95" s="54"/>
      <c r="V95" s="54"/>
      <c r="W95" s="54"/>
      <c r="X95" s="54"/>
      <c r="Y95" s="54"/>
      <c r="Z95" s="54"/>
    </row>
    <row r="96" ht="26.25" customHeight="1">
      <c r="A96" s="54"/>
      <c r="B96" s="55"/>
      <c r="C96" s="52" t="s">
        <v>236</v>
      </c>
      <c r="D96" s="53" t="s">
        <v>237</v>
      </c>
      <c r="E96" s="54"/>
      <c r="F96" s="54"/>
      <c r="G96" s="54"/>
      <c r="H96" s="54"/>
      <c r="I96" s="54"/>
      <c r="J96" s="54"/>
      <c r="K96" s="54"/>
      <c r="L96" s="54"/>
      <c r="M96" s="54"/>
      <c r="N96" s="54"/>
      <c r="O96" s="54"/>
      <c r="P96" s="54"/>
      <c r="Q96" s="54"/>
      <c r="R96" s="54"/>
      <c r="S96" s="54"/>
      <c r="T96" s="54"/>
      <c r="U96" s="54"/>
      <c r="V96" s="54"/>
      <c r="W96" s="54"/>
      <c r="X96" s="54"/>
      <c r="Y96" s="54"/>
      <c r="Z96" s="54"/>
    </row>
    <row r="97" ht="26.25" customHeight="1">
      <c r="A97" s="54"/>
      <c r="B97" s="55"/>
      <c r="C97" s="61" t="s">
        <v>238</v>
      </c>
      <c r="D97" s="53" t="s">
        <v>239</v>
      </c>
      <c r="E97" s="54"/>
      <c r="F97" s="54"/>
      <c r="G97" s="54"/>
      <c r="H97" s="54"/>
      <c r="I97" s="54"/>
      <c r="J97" s="54"/>
      <c r="K97" s="54"/>
      <c r="L97" s="54"/>
      <c r="M97" s="54"/>
      <c r="N97" s="54"/>
      <c r="O97" s="54"/>
      <c r="P97" s="54"/>
      <c r="Q97" s="54"/>
      <c r="R97" s="54"/>
      <c r="S97" s="54"/>
      <c r="T97" s="54"/>
      <c r="U97" s="54"/>
      <c r="V97" s="54"/>
      <c r="W97" s="54"/>
      <c r="X97" s="54"/>
      <c r="Y97" s="54"/>
      <c r="Z97" s="54"/>
    </row>
    <row r="98" ht="26.25" customHeight="1">
      <c r="A98" s="54"/>
      <c r="B98" s="55"/>
      <c r="C98" s="61" t="s">
        <v>240</v>
      </c>
      <c r="D98" s="53" t="s">
        <v>241</v>
      </c>
      <c r="E98" s="54"/>
      <c r="F98" s="54"/>
      <c r="G98" s="54"/>
      <c r="H98" s="54"/>
      <c r="I98" s="54"/>
      <c r="J98" s="54"/>
      <c r="K98" s="54"/>
      <c r="L98" s="54"/>
      <c r="M98" s="54"/>
      <c r="N98" s="54"/>
      <c r="O98" s="54"/>
      <c r="P98" s="54"/>
      <c r="Q98" s="54"/>
      <c r="R98" s="54"/>
      <c r="S98" s="54"/>
      <c r="T98" s="54"/>
      <c r="U98" s="54"/>
      <c r="V98" s="54"/>
      <c r="W98" s="54"/>
      <c r="X98" s="54"/>
      <c r="Y98" s="54"/>
      <c r="Z98" s="54"/>
    </row>
    <row r="99" ht="26.25" customHeight="1">
      <c r="A99" s="54"/>
      <c r="B99" s="55"/>
      <c r="C99" s="52" t="s">
        <v>242</v>
      </c>
      <c r="D99" s="53" t="s">
        <v>243</v>
      </c>
      <c r="E99" s="54"/>
      <c r="F99" s="54"/>
      <c r="G99" s="54"/>
      <c r="H99" s="54"/>
      <c r="I99" s="54"/>
      <c r="J99" s="54"/>
      <c r="K99" s="54"/>
      <c r="L99" s="54"/>
      <c r="M99" s="54"/>
      <c r="N99" s="54"/>
      <c r="O99" s="54"/>
      <c r="P99" s="54"/>
      <c r="Q99" s="54"/>
      <c r="R99" s="54"/>
      <c r="S99" s="54"/>
      <c r="T99" s="54"/>
      <c r="U99" s="54"/>
      <c r="V99" s="54"/>
      <c r="W99" s="54"/>
      <c r="X99" s="54"/>
      <c r="Y99" s="54"/>
      <c r="Z99" s="54"/>
    </row>
    <row r="100" ht="26.25" customHeight="1">
      <c r="A100" s="54"/>
      <c r="B100" s="55"/>
      <c r="C100" s="52" t="s">
        <v>244</v>
      </c>
      <c r="D100" s="43" t="s">
        <v>245</v>
      </c>
      <c r="E100" s="54"/>
      <c r="F100" s="54"/>
      <c r="G100" s="54"/>
      <c r="H100" s="54"/>
      <c r="I100" s="54"/>
      <c r="J100" s="54"/>
      <c r="K100" s="54"/>
      <c r="L100" s="54"/>
      <c r="M100" s="54"/>
      <c r="N100" s="54"/>
      <c r="O100" s="54"/>
      <c r="P100" s="54"/>
      <c r="Q100" s="54"/>
      <c r="R100" s="54"/>
      <c r="S100" s="54"/>
      <c r="T100" s="54"/>
      <c r="U100" s="54"/>
      <c r="V100" s="54"/>
      <c r="W100" s="54"/>
      <c r="X100" s="54"/>
      <c r="Y100" s="54"/>
      <c r="Z100" s="54"/>
    </row>
    <row r="101" ht="26.25" customHeight="1">
      <c r="A101" s="54"/>
      <c r="B101" s="55"/>
      <c r="C101" s="52" t="s">
        <v>246</v>
      </c>
      <c r="D101" s="53" t="s">
        <v>247</v>
      </c>
      <c r="E101" s="54"/>
      <c r="F101" s="54"/>
      <c r="G101" s="54"/>
      <c r="H101" s="54"/>
      <c r="I101" s="54"/>
      <c r="J101" s="54"/>
      <c r="K101" s="54"/>
      <c r="L101" s="54"/>
      <c r="M101" s="54"/>
      <c r="N101" s="54"/>
      <c r="O101" s="54"/>
      <c r="P101" s="54"/>
      <c r="Q101" s="54"/>
      <c r="R101" s="54"/>
      <c r="S101" s="54"/>
      <c r="T101" s="54"/>
      <c r="U101" s="54"/>
      <c r="V101" s="54"/>
      <c r="W101" s="54"/>
      <c r="X101" s="54"/>
      <c r="Y101" s="54"/>
      <c r="Z101" s="54"/>
    </row>
    <row r="102" ht="26.25" customHeight="1">
      <c r="A102" s="54"/>
      <c r="B102" s="59">
        <v>45995.0</v>
      </c>
      <c r="C102" s="61" t="s">
        <v>248</v>
      </c>
      <c r="D102" s="53" t="s">
        <v>249</v>
      </c>
      <c r="E102" s="54"/>
      <c r="F102" s="54"/>
      <c r="G102" s="54"/>
      <c r="H102" s="54"/>
      <c r="I102" s="54"/>
      <c r="J102" s="54"/>
      <c r="K102" s="54"/>
      <c r="L102" s="54"/>
      <c r="M102" s="54"/>
      <c r="N102" s="54"/>
      <c r="O102" s="54"/>
      <c r="P102" s="54"/>
      <c r="Q102" s="54"/>
      <c r="R102" s="54"/>
      <c r="S102" s="54"/>
      <c r="T102" s="54"/>
      <c r="U102" s="54"/>
      <c r="V102" s="54"/>
      <c r="W102" s="54"/>
      <c r="X102" s="54"/>
      <c r="Y102" s="54"/>
      <c r="Z102" s="54"/>
    </row>
    <row r="103" ht="26.25" customHeight="1">
      <c r="A103" s="54"/>
      <c r="B103" s="55"/>
      <c r="C103" s="52" t="s">
        <v>250</v>
      </c>
      <c r="D103" s="43" t="s">
        <v>251</v>
      </c>
      <c r="E103" s="54"/>
      <c r="F103" s="54"/>
      <c r="G103" s="54"/>
      <c r="H103" s="54"/>
      <c r="I103" s="54"/>
      <c r="J103" s="54"/>
      <c r="K103" s="54"/>
      <c r="L103" s="54"/>
      <c r="M103" s="54"/>
      <c r="N103" s="54"/>
      <c r="O103" s="54"/>
      <c r="P103" s="54"/>
      <c r="Q103" s="54"/>
      <c r="R103" s="54"/>
      <c r="S103" s="54"/>
      <c r="T103" s="54"/>
      <c r="U103" s="54"/>
      <c r="V103" s="54"/>
      <c r="W103" s="54"/>
      <c r="X103" s="54"/>
      <c r="Y103" s="54"/>
      <c r="Z103" s="54"/>
    </row>
    <row r="104" ht="26.25" customHeight="1">
      <c r="A104" s="54"/>
      <c r="B104" s="55"/>
      <c r="C104" s="61" t="s">
        <v>252</v>
      </c>
      <c r="D104" s="53" t="s">
        <v>253</v>
      </c>
      <c r="E104" s="54"/>
      <c r="F104" s="54"/>
      <c r="G104" s="54"/>
      <c r="H104" s="54"/>
      <c r="I104" s="54"/>
      <c r="J104" s="54"/>
      <c r="K104" s="54"/>
      <c r="L104" s="54"/>
      <c r="M104" s="54"/>
      <c r="N104" s="54"/>
      <c r="O104" s="54"/>
      <c r="P104" s="54"/>
      <c r="Q104" s="54"/>
      <c r="R104" s="54"/>
      <c r="S104" s="54"/>
      <c r="T104" s="54"/>
      <c r="U104" s="54"/>
      <c r="V104" s="54"/>
      <c r="W104" s="54"/>
      <c r="X104" s="54"/>
      <c r="Y104" s="54"/>
      <c r="Z104" s="54"/>
    </row>
    <row r="105" ht="26.25" customHeight="1">
      <c r="A105" s="54"/>
      <c r="B105" s="55"/>
      <c r="C105" s="52" t="s">
        <v>254</v>
      </c>
      <c r="D105" s="53" t="s">
        <v>255</v>
      </c>
      <c r="E105" s="50" t="s">
        <v>256</v>
      </c>
      <c r="F105" s="43" t="s">
        <v>257</v>
      </c>
      <c r="G105" s="54"/>
      <c r="H105" s="54"/>
      <c r="I105" s="54"/>
      <c r="J105" s="54"/>
      <c r="K105" s="54"/>
      <c r="L105" s="54"/>
      <c r="M105" s="54"/>
      <c r="N105" s="54"/>
      <c r="O105" s="54"/>
      <c r="P105" s="54"/>
      <c r="Q105" s="54"/>
      <c r="R105" s="54"/>
      <c r="S105" s="54"/>
      <c r="T105" s="54"/>
      <c r="U105" s="54"/>
      <c r="V105" s="54"/>
      <c r="W105" s="54"/>
      <c r="X105" s="54"/>
      <c r="Y105" s="54"/>
      <c r="Z105" s="54"/>
    </row>
    <row r="106" ht="26.25" customHeight="1">
      <c r="A106" s="54"/>
      <c r="B106" s="55"/>
      <c r="C106" s="52" t="s">
        <v>258</v>
      </c>
      <c r="D106" s="53" t="s">
        <v>259</v>
      </c>
      <c r="E106" s="54"/>
      <c r="F106" s="54"/>
      <c r="G106" s="54"/>
      <c r="H106" s="54"/>
      <c r="I106" s="54"/>
      <c r="J106" s="54"/>
      <c r="K106" s="54"/>
      <c r="L106" s="54"/>
      <c r="M106" s="54"/>
      <c r="N106" s="54"/>
      <c r="O106" s="54"/>
      <c r="P106" s="54"/>
      <c r="Q106" s="54"/>
      <c r="R106" s="54"/>
      <c r="S106" s="54"/>
      <c r="T106" s="54"/>
      <c r="U106" s="54"/>
      <c r="V106" s="54"/>
      <c r="W106" s="54"/>
      <c r="X106" s="54"/>
      <c r="Y106" s="54"/>
      <c r="Z106" s="54"/>
    </row>
    <row r="107" ht="26.25" customHeight="1">
      <c r="A107" s="54"/>
      <c r="B107" s="55"/>
      <c r="C107" s="52" t="s">
        <v>260</v>
      </c>
      <c r="D107" s="53" t="s">
        <v>261</v>
      </c>
      <c r="E107" s="50" t="s">
        <v>262</v>
      </c>
      <c r="F107" s="50" t="s">
        <v>263</v>
      </c>
      <c r="G107" s="50" t="s">
        <v>264</v>
      </c>
      <c r="H107" s="50" t="s">
        <v>265</v>
      </c>
      <c r="I107" s="54"/>
      <c r="J107" s="54"/>
      <c r="K107" s="54"/>
      <c r="L107" s="54"/>
      <c r="M107" s="54"/>
      <c r="N107" s="54"/>
      <c r="O107" s="54"/>
      <c r="P107" s="54"/>
      <c r="Q107" s="54"/>
      <c r="R107" s="54"/>
      <c r="S107" s="54"/>
      <c r="T107" s="54"/>
      <c r="U107" s="54"/>
      <c r="V107" s="54"/>
      <c r="W107" s="54"/>
      <c r="X107" s="54"/>
      <c r="Y107" s="54"/>
      <c r="Z107" s="54"/>
    </row>
    <row r="108" ht="26.25" customHeight="1">
      <c r="A108" s="54"/>
      <c r="B108" s="55"/>
      <c r="C108" s="52" t="s">
        <v>266</v>
      </c>
      <c r="D108" s="53" t="s">
        <v>267</v>
      </c>
      <c r="E108" s="54"/>
      <c r="F108" s="54"/>
      <c r="G108" s="54"/>
      <c r="H108" s="54"/>
      <c r="I108" s="54"/>
      <c r="J108" s="54"/>
      <c r="K108" s="54"/>
      <c r="L108" s="54"/>
      <c r="M108" s="54"/>
      <c r="N108" s="54"/>
      <c r="O108" s="54"/>
      <c r="P108" s="54"/>
      <c r="Q108" s="54"/>
      <c r="R108" s="54"/>
      <c r="S108" s="54"/>
      <c r="T108" s="54"/>
      <c r="U108" s="54"/>
      <c r="V108" s="54"/>
      <c r="W108" s="54"/>
      <c r="X108" s="54"/>
      <c r="Y108" s="54"/>
      <c r="Z108" s="54"/>
    </row>
    <row r="109" ht="26.25" customHeight="1">
      <c r="A109" s="54"/>
      <c r="B109" s="59">
        <v>45996.0</v>
      </c>
      <c r="C109" s="61" t="s">
        <v>268</v>
      </c>
      <c r="D109" s="53" t="s">
        <v>269</v>
      </c>
      <c r="E109" s="54"/>
      <c r="F109" s="54"/>
      <c r="G109" s="54"/>
      <c r="H109" s="54"/>
      <c r="I109" s="54"/>
      <c r="J109" s="54"/>
      <c r="K109" s="54"/>
      <c r="L109" s="54"/>
      <c r="M109" s="54"/>
      <c r="N109" s="54"/>
      <c r="O109" s="54"/>
      <c r="P109" s="54"/>
      <c r="Q109" s="54"/>
      <c r="R109" s="54"/>
      <c r="S109" s="54"/>
      <c r="T109" s="54"/>
      <c r="U109" s="54"/>
      <c r="V109" s="54"/>
      <c r="W109" s="54"/>
      <c r="X109" s="54"/>
      <c r="Y109" s="54"/>
      <c r="Z109" s="54"/>
    </row>
    <row r="110" ht="26.25" customHeight="1">
      <c r="A110" s="54"/>
      <c r="B110" s="55"/>
      <c r="C110" s="52" t="s">
        <v>270</v>
      </c>
      <c r="D110" s="66" t="s">
        <v>271</v>
      </c>
      <c r="E110" s="54"/>
      <c r="F110" s="54"/>
      <c r="G110" s="54"/>
      <c r="H110" s="54"/>
      <c r="I110" s="54"/>
      <c r="J110" s="54"/>
      <c r="K110" s="54"/>
      <c r="L110" s="54"/>
      <c r="M110" s="54"/>
      <c r="N110" s="54"/>
      <c r="O110" s="54"/>
      <c r="P110" s="54"/>
      <c r="Q110" s="54"/>
      <c r="R110" s="54"/>
      <c r="S110" s="54"/>
      <c r="T110" s="54"/>
      <c r="U110" s="54"/>
      <c r="V110" s="54"/>
      <c r="W110" s="54"/>
      <c r="X110" s="54"/>
      <c r="Y110" s="54"/>
      <c r="Z110" s="54"/>
    </row>
    <row r="111" ht="26.25" customHeight="1">
      <c r="A111" s="54"/>
      <c r="B111" s="55"/>
      <c r="C111" s="52" t="s">
        <v>272</v>
      </c>
      <c r="D111" s="53" t="s">
        <v>273</v>
      </c>
      <c r="E111" s="54"/>
      <c r="F111" s="54"/>
      <c r="G111" s="54"/>
      <c r="H111" s="54"/>
      <c r="I111" s="54"/>
      <c r="J111" s="54"/>
      <c r="K111" s="54"/>
      <c r="L111" s="54"/>
      <c r="M111" s="54"/>
      <c r="N111" s="54"/>
      <c r="O111" s="54"/>
      <c r="P111" s="54"/>
      <c r="Q111" s="54"/>
      <c r="R111" s="54"/>
      <c r="S111" s="54"/>
      <c r="T111" s="54"/>
      <c r="U111" s="54"/>
      <c r="V111" s="54"/>
      <c r="W111" s="54"/>
      <c r="X111" s="54"/>
      <c r="Y111" s="54"/>
      <c r="Z111" s="54"/>
    </row>
    <row r="112" ht="26.25" customHeight="1">
      <c r="A112" s="54"/>
      <c r="B112" s="55"/>
      <c r="C112" s="52" t="s">
        <v>274</v>
      </c>
      <c r="D112" s="53" t="s">
        <v>275</v>
      </c>
      <c r="E112" s="54"/>
      <c r="F112" s="54"/>
      <c r="G112" s="54"/>
      <c r="H112" s="54"/>
      <c r="I112" s="54"/>
      <c r="J112" s="54"/>
      <c r="K112" s="54"/>
      <c r="L112" s="54"/>
      <c r="M112" s="54"/>
      <c r="N112" s="54"/>
      <c r="O112" s="54"/>
      <c r="P112" s="54"/>
      <c r="Q112" s="54"/>
      <c r="R112" s="54"/>
      <c r="S112" s="54"/>
      <c r="T112" s="54"/>
      <c r="U112" s="54"/>
      <c r="V112" s="54"/>
      <c r="W112" s="54"/>
      <c r="X112" s="54"/>
      <c r="Y112" s="54"/>
      <c r="Z112" s="54"/>
    </row>
    <row r="113" ht="26.25" customHeight="1">
      <c r="A113" s="54"/>
      <c r="B113" s="55"/>
      <c r="C113" s="52" t="s">
        <v>276</v>
      </c>
      <c r="D113" s="53" t="s">
        <v>277</v>
      </c>
      <c r="E113" s="54"/>
      <c r="F113" s="54"/>
      <c r="G113" s="54"/>
      <c r="H113" s="54"/>
      <c r="I113" s="54"/>
      <c r="J113" s="54"/>
      <c r="K113" s="54"/>
      <c r="L113" s="54"/>
      <c r="M113" s="54"/>
      <c r="N113" s="54"/>
      <c r="O113" s="54"/>
      <c r="P113" s="54"/>
      <c r="Q113" s="54"/>
      <c r="R113" s="54"/>
      <c r="S113" s="54"/>
      <c r="T113" s="54"/>
      <c r="U113" s="54"/>
      <c r="V113" s="54"/>
      <c r="W113" s="54"/>
      <c r="X113" s="54"/>
      <c r="Y113" s="54"/>
      <c r="Z113" s="54"/>
    </row>
    <row r="114" ht="26.25" customHeight="1">
      <c r="A114" s="54"/>
      <c r="B114" s="55"/>
      <c r="C114" s="52" t="s">
        <v>278</v>
      </c>
      <c r="D114" s="53" t="s">
        <v>279</v>
      </c>
      <c r="E114" s="54"/>
      <c r="F114" s="54"/>
      <c r="G114" s="54"/>
      <c r="H114" s="54"/>
      <c r="I114" s="54"/>
      <c r="J114" s="54"/>
      <c r="K114" s="54"/>
      <c r="L114" s="54"/>
      <c r="M114" s="54"/>
      <c r="N114" s="54"/>
      <c r="O114" s="54"/>
      <c r="P114" s="54"/>
      <c r="Q114" s="54"/>
      <c r="R114" s="54"/>
      <c r="S114" s="54"/>
      <c r="T114" s="54"/>
      <c r="U114" s="54"/>
      <c r="V114" s="54"/>
      <c r="W114" s="54"/>
      <c r="X114" s="54"/>
      <c r="Y114" s="54"/>
      <c r="Z114" s="54"/>
    </row>
    <row r="115" ht="26.25" customHeight="1">
      <c r="A115" s="54"/>
      <c r="B115" s="55"/>
      <c r="C115" s="52" t="s">
        <v>280</v>
      </c>
      <c r="D115" s="53" t="s">
        <v>281</v>
      </c>
      <c r="E115" s="54"/>
      <c r="F115" s="54"/>
      <c r="G115" s="54"/>
      <c r="H115" s="54"/>
      <c r="I115" s="54"/>
      <c r="J115" s="54"/>
      <c r="K115" s="54"/>
      <c r="L115" s="54"/>
      <c r="M115" s="54"/>
      <c r="N115" s="54"/>
      <c r="O115" s="54"/>
      <c r="P115" s="54"/>
      <c r="Q115" s="54"/>
      <c r="R115" s="54"/>
      <c r="S115" s="54"/>
      <c r="T115" s="54"/>
      <c r="U115" s="54"/>
      <c r="V115" s="54"/>
      <c r="W115" s="54"/>
      <c r="X115" s="54"/>
      <c r="Y115" s="54"/>
      <c r="Z115" s="54"/>
    </row>
    <row r="116" ht="26.25" customHeight="1">
      <c r="A116" s="54"/>
      <c r="B116" s="55"/>
      <c r="C116" s="52" t="s">
        <v>282</v>
      </c>
      <c r="D116" s="53" t="s">
        <v>283</v>
      </c>
      <c r="E116" s="54"/>
      <c r="F116" s="54"/>
      <c r="G116" s="54"/>
      <c r="H116" s="54"/>
      <c r="I116" s="54"/>
      <c r="J116" s="54"/>
      <c r="K116" s="54"/>
      <c r="L116" s="54"/>
      <c r="M116" s="54"/>
      <c r="N116" s="54"/>
      <c r="O116" s="54"/>
      <c r="P116" s="54"/>
      <c r="Q116" s="54"/>
      <c r="R116" s="54"/>
      <c r="S116" s="54"/>
      <c r="T116" s="54"/>
      <c r="U116" s="54"/>
      <c r="V116" s="54"/>
      <c r="W116" s="54"/>
      <c r="X116" s="54"/>
      <c r="Y116" s="54"/>
      <c r="Z116" s="54"/>
    </row>
    <row r="117" ht="26.25" customHeight="1">
      <c r="A117" s="54"/>
      <c r="B117" s="55"/>
      <c r="C117" s="52" t="s">
        <v>284</v>
      </c>
      <c r="D117" s="53" t="s">
        <v>285</v>
      </c>
      <c r="E117" s="54"/>
      <c r="F117" s="54"/>
      <c r="G117" s="54"/>
      <c r="H117" s="54"/>
      <c r="I117" s="54"/>
      <c r="J117" s="54"/>
      <c r="K117" s="54"/>
      <c r="L117" s="54"/>
      <c r="M117" s="54"/>
      <c r="N117" s="54"/>
      <c r="O117" s="54"/>
      <c r="P117" s="54"/>
      <c r="Q117" s="54"/>
      <c r="R117" s="54"/>
      <c r="S117" s="54"/>
      <c r="T117" s="54"/>
      <c r="U117" s="54"/>
      <c r="V117" s="54"/>
      <c r="W117" s="54"/>
      <c r="X117" s="54"/>
      <c r="Y117" s="54"/>
      <c r="Z117" s="54"/>
    </row>
    <row r="118" ht="26.25" customHeight="1">
      <c r="A118" s="54"/>
      <c r="B118" s="59">
        <v>45999.0</v>
      </c>
      <c r="C118" s="52" t="s">
        <v>286</v>
      </c>
      <c r="D118" s="53" t="s">
        <v>287</v>
      </c>
      <c r="E118" s="50" t="s">
        <v>288</v>
      </c>
      <c r="F118" s="61" t="s">
        <v>289</v>
      </c>
      <c r="G118" s="54"/>
      <c r="H118" s="54"/>
      <c r="I118" s="54"/>
      <c r="J118" s="54"/>
      <c r="K118" s="54"/>
      <c r="L118" s="54"/>
      <c r="M118" s="54"/>
      <c r="N118" s="54"/>
      <c r="O118" s="54"/>
      <c r="P118" s="54"/>
      <c r="Q118" s="54"/>
      <c r="R118" s="54"/>
      <c r="S118" s="54"/>
      <c r="T118" s="54"/>
      <c r="U118" s="54"/>
      <c r="V118" s="54"/>
      <c r="W118" s="54"/>
      <c r="X118" s="54"/>
      <c r="Y118" s="54"/>
      <c r="Z118" s="54"/>
    </row>
    <row r="119" ht="26.25" customHeight="1">
      <c r="A119" s="54"/>
      <c r="B119" s="55"/>
      <c r="C119" s="52" t="s">
        <v>290</v>
      </c>
      <c r="D119" s="53" t="s">
        <v>291</v>
      </c>
      <c r="E119" s="54"/>
      <c r="F119" s="54"/>
      <c r="G119" s="54"/>
      <c r="H119" s="54"/>
      <c r="I119" s="54"/>
      <c r="J119" s="54"/>
      <c r="K119" s="54"/>
      <c r="L119" s="54"/>
      <c r="M119" s="54"/>
      <c r="N119" s="54"/>
      <c r="O119" s="54"/>
      <c r="P119" s="54"/>
      <c r="Q119" s="54"/>
      <c r="R119" s="54"/>
      <c r="S119" s="54"/>
      <c r="T119" s="54"/>
      <c r="U119" s="54"/>
      <c r="V119" s="54"/>
      <c r="W119" s="54"/>
      <c r="X119" s="54"/>
      <c r="Y119" s="54"/>
      <c r="Z119" s="54"/>
    </row>
    <row r="120" ht="26.25" customHeight="1">
      <c r="A120" s="54"/>
      <c r="B120" s="55"/>
      <c r="C120" s="52" t="s">
        <v>292</v>
      </c>
      <c r="D120" s="53" t="s">
        <v>293</v>
      </c>
      <c r="E120" s="54"/>
      <c r="F120" s="54"/>
      <c r="G120" s="54"/>
      <c r="H120" s="54"/>
      <c r="I120" s="54"/>
      <c r="J120" s="54"/>
      <c r="K120" s="54"/>
      <c r="L120" s="54"/>
      <c r="M120" s="54"/>
      <c r="N120" s="54"/>
      <c r="O120" s="54"/>
      <c r="P120" s="54"/>
      <c r="Q120" s="54"/>
      <c r="R120" s="54"/>
      <c r="S120" s="54"/>
      <c r="T120" s="54"/>
      <c r="U120" s="54"/>
      <c r="V120" s="54"/>
      <c r="W120" s="54"/>
      <c r="X120" s="54"/>
      <c r="Y120" s="54"/>
      <c r="Z120" s="54"/>
    </row>
    <row r="121" ht="26.25" customHeight="1">
      <c r="A121" s="54"/>
      <c r="B121" s="55"/>
      <c r="C121" s="52" t="s">
        <v>294</v>
      </c>
      <c r="D121" s="53" t="s">
        <v>295</v>
      </c>
      <c r="E121" s="50" t="s">
        <v>296</v>
      </c>
      <c r="F121" s="50" t="s">
        <v>297</v>
      </c>
      <c r="G121" s="50" t="s">
        <v>298</v>
      </c>
      <c r="H121" s="54"/>
      <c r="I121" s="54"/>
      <c r="J121" s="54"/>
      <c r="K121" s="54"/>
      <c r="L121" s="54"/>
      <c r="M121" s="54"/>
      <c r="N121" s="54"/>
      <c r="O121" s="54"/>
      <c r="P121" s="54"/>
      <c r="Q121" s="54"/>
      <c r="R121" s="54"/>
      <c r="S121" s="54"/>
      <c r="T121" s="54"/>
      <c r="U121" s="54"/>
      <c r="V121" s="54"/>
      <c r="W121" s="54"/>
      <c r="X121" s="54"/>
      <c r="Y121" s="54"/>
      <c r="Z121" s="54"/>
    </row>
    <row r="122" ht="26.25" customHeight="1">
      <c r="A122" s="54"/>
      <c r="B122" s="55"/>
      <c r="C122" s="52" t="s">
        <v>299</v>
      </c>
      <c r="D122" s="53" t="s">
        <v>300</v>
      </c>
      <c r="E122" s="54"/>
      <c r="F122" s="54"/>
      <c r="G122" s="54"/>
      <c r="H122" s="54"/>
      <c r="I122" s="54"/>
      <c r="J122" s="54"/>
      <c r="K122" s="54"/>
      <c r="L122" s="54"/>
      <c r="M122" s="54"/>
      <c r="N122" s="54"/>
      <c r="O122" s="54"/>
      <c r="P122" s="54"/>
      <c r="Q122" s="54"/>
      <c r="R122" s="54"/>
      <c r="S122" s="54"/>
      <c r="T122" s="54"/>
      <c r="U122" s="54"/>
      <c r="V122" s="54"/>
      <c r="W122" s="54"/>
      <c r="X122" s="54"/>
      <c r="Y122" s="54"/>
      <c r="Z122" s="54"/>
    </row>
    <row r="123" ht="26.25" customHeight="1">
      <c r="A123" s="54"/>
      <c r="B123" s="55"/>
      <c r="C123" s="52" t="s">
        <v>301</v>
      </c>
      <c r="D123" s="53" t="s">
        <v>302</v>
      </c>
      <c r="E123" s="54"/>
      <c r="F123" s="54"/>
      <c r="G123" s="54"/>
      <c r="H123" s="54"/>
      <c r="I123" s="54"/>
      <c r="J123" s="54"/>
      <c r="K123" s="54"/>
      <c r="L123" s="54"/>
      <c r="M123" s="54"/>
      <c r="N123" s="54"/>
      <c r="O123" s="54"/>
      <c r="P123" s="54"/>
      <c r="Q123" s="54"/>
      <c r="R123" s="54"/>
      <c r="S123" s="54"/>
      <c r="T123" s="54"/>
      <c r="U123" s="54"/>
      <c r="V123" s="54"/>
      <c r="W123" s="54"/>
      <c r="X123" s="54"/>
      <c r="Y123" s="54"/>
      <c r="Z123" s="54"/>
    </row>
    <row r="124" ht="26.25" customHeight="1">
      <c r="A124" s="54"/>
      <c r="B124" s="55"/>
      <c r="C124" s="52" t="s">
        <v>303</v>
      </c>
      <c r="D124" s="53" t="s">
        <v>304</v>
      </c>
      <c r="E124" s="54"/>
      <c r="F124" s="54"/>
      <c r="G124" s="54"/>
      <c r="H124" s="54"/>
      <c r="I124" s="54"/>
      <c r="J124" s="54"/>
      <c r="K124" s="54"/>
      <c r="L124" s="54"/>
      <c r="M124" s="54"/>
      <c r="N124" s="54"/>
      <c r="O124" s="54"/>
      <c r="P124" s="54"/>
      <c r="Q124" s="54"/>
      <c r="R124" s="54"/>
      <c r="S124" s="54"/>
      <c r="T124" s="54"/>
      <c r="U124" s="54"/>
      <c r="V124" s="54"/>
      <c r="W124" s="54"/>
      <c r="X124" s="54"/>
      <c r="Y124" s="54"/>
      <c r="Z124" s="54"/>
    </row>
    <row r="125" ht="26.25" customHeight="1">
      <c r="A125" s="54"/>
      <c r="B125" s="59">
        <v>46000.0</v>
      </c>
      <c r="C125" s="52" t="s">
        <v>305</v>
      </c>
      <c r="D125" s="53" t="s">
        <v>306</v>
      </c>
      <c r="E125" s="54"/>
      <c r="F125" s="54"/>
      <c r="G125" s="54"/>
      <c r="H125" s="54"/>
      <c r="I125" s="54"/>
      <c r="J125" s="54"/>
      <c r="K125" s="54"/>
      <c r="L125" s="54"/>
      <c r="M125" s="54"/>
      <c r="N125" s="54"/>
      <c r="O125" s="54"/>
      <c r="P125" s="54"/>
      <c r="Q125" s="54"/>
      <c r="R125" s="54"/>
      <c r="S125" s="54"/>
      <c r="T125" s="54"/>
      <c r="U125" s="54"/>
      <c r="V125" s="54"/>
      <c r="W125" s="54"/>
      <c r="X125" s="54"/>
      <c r="Y125" s="54"/>
      <c r="Z125" s="54"/>
    </row>
    <row r="126" ht="26.25" customHeight="1">
      <c r="A126" s="54"/>
      <c r="B126" s="55"/>
      <c r="C126" s="52" t="s">
        <v>307</v>
      </c>
      <c r="D126" s="53" t="s">
        <v>308</v>
      </c>
      <c r="E126" s="54"/>
      <c r="F126" s="54"/>
      <c r="G126" s="54"/>
      <c r="H126" s="54"/>
      <c r="I126" s="54"/>
      <c r="J126" s="54"/>
      <c r="K126" s="54"/>
      <c r="L126" s="54"/>
      <c r="M126" s="54"/>
      <c r="N126" s="54"/>
      <c r="O126" s="54"/>
      <c r="P126" s="54"/>
      <c r="Q126" s="54"/>
      <c r="R126" s="54"/>
      <c r="S126" s="54"/>
      <c r="T126" s="54"/>
      <c r="U126" s="54"/>
      <c r="V126" s="54"/>
      <c r="W126" s="54"/>
      <c r="X126" s="54"/>
      <c r="Y126" s="54"/>
      <c r="Z126" s="54"/>
    </row>
    <row r="127" ht="26.25" customHeight="1">
      <c r="A127" s="54"/>
      <c r="B127" s="55"/>
      <c r="C127" s="52" t="s">
        <v>309</v>
      </c>
      <c r="D127" s="53" t="s">
        <v>310</v>
      </c>
      <c r="E127" s="50" t="s">
        <v>311</v>
      </c>
      <c r="F127" s="54"/>
      <c r="G127" s="54"/>
      <c r="H127" s="54"/>
      <c r="I127" s="54"/>
      <c r="J127" s="54"/>
      <c r="K127" s="54"/>
      <c r="L127" s="54"/>
      <c r="M127" s="54"/>
      <c r="N127" s="54"/>
      <c r="O127" s="54"/>
      <c r="P127" s="54"/>
      <c r="Q127" s="54"/>
      <c r="R127" s="54"/>
      <c r="S127" s="54"/>
      <c r="T127" s="54"/>
      <c r="U127" s="54"/>
      <c r="V127" s="54"/>
      <c r="W127" s="54"/>
      <c r="X127" s="54"/>
      <c r="Y127" s="54"/>
      <c r="Z127" s="54"/>
    </row>
    <row r="128" ht="26.25" customHeight="1">
      <c r="A128" s="54"/>
      <c r="B128" s="55"/>
      <c r="C128" s="52" t="s">
        <v>312</v>
      </c>
      <c r="D128" s="53" t="s">
        <v>313</v>
      </c>
      <c r="E128" s="54"/>
      <c r="F128" s="54"/>
      <c r="G128" s="54"/>
      <c r="H128" s="54"/>
      <c r="I128" s="54"/>
      <c r="J128" s="54"/>
      <c r="K128" s="54"/>
      <c r="L128" s="54"/>
      <c r="M128" s="54"/>
      <c r="N128" s="54"/>
      <c r="O128" s="54"/>
      <c r="P128" s="54"/>
      <c r="Q128" s="54"/>
      <c r="R128" s="54"/>
      <c r="S128" s="54"/>
      <c r="T128" s="54"/>
      <c r="U128" s="54"/>
      <c r="V128" s="54"/>
      <c r="W128" s="54"/>
      <c r="X128" s="54"/>
      <c r="Y128" s="54"/>
      <c r="Z128" s="54"/>
    </row>
    <row r="129" ht="26.25" customHeight="1">
      <c r="A129" s="54"/>
      <c r="B129" s="55"/>
      <c r="C129" s="52" t="s">
        <v>314</v>
      </c>
      <c r="D129" s="53" t="s">
        <v>315</v>
      </c>
      <c r="E129" s="54"/>
      <c r="F129" s="54"/>
      <c r="G129" s="54"/>
      <c r="H129" s="54"/>
      <c r="I129" s="54"/>
      <c r="J129" s="54"/>
      <c r="K129" s="54"/>
      <c r="L129" s="54"/>
      <c r="M129" s="54"/>
      <c r="N129" s="54"/>
      <c r="O129" s="54"/>
      <c r="P129" s="54"/>
      <c r="Q129" s="54"/>
      <c r="R129" s="54"/>
      <c r="S129" s="54"/>
      <c r="T129" s="54"/>
      <c r="U129" s="54"/>
      <c r="V129" s="54"/>
      <c r="W129" s="54"/>
      <c r="X129" s="54"/>
      <c r="Y129" s="54"/>
      <c r="Z129" s="54"/>
    </row>
    <row r="130" ht="26.25" customHeight="1">
      <c r="A130" s="54"/>
      <c r="B130" s="55"/>
      <c r="C130" s="52" t="s">
        <v>316</v>
      </c>
      <c r="D130" s="53" t="s">
        <v>317</v>
      </c>
      <c r="E130" s="54"/>
      <c r="F130" s="54"/>
      <c r="G130" s="54"/>
      <c r="H130" s="54"/>
      <c r="I130" s="54"/>
      <c r="J130" s="54"/>
      <c r="K130" s="54"/>
      <c r="L130" s="54"/>
      <c r="M130" s="54"/>
      <c r="N130" s="54"/>
      <c r="O130" s="54"/>
      <c r="P130" s="54"/>
      <c r="Q130" s="54"/>
      <c r="R130" s="54"/>
      <c r="S130" s="54"/>
      <c r="T130" s="54"/>
      <c r="U130" s="54"/>
      <c r="V130" s="54"/>
      <c r="W130" s="54"/>
      <c r="X130" s="54"/>
      <c r="Y130" s="54"/>
      <c r="Z130" s="54"/>
    </row>
    <row r="131" ht="26.25" customHeight="1">
      <c r="A131" s="54"/>
      <c r="B131" s="55"/>
      <c r="C131" s="52" t="s">
        <v>318</v>
      </c>
      <c r="D131" s="53" t="s">
        <v>319</v>
      </c>
      <c r="E131" s="54"/>
      <c r="F131" s="54"/>
      <c r="G131" s="54"/>
      <c r="H131" s="54"/>
      <c r="I131" s="54"/>
      <c r="J131" s="54"/>
      <c r="K131" s="54"/>
      <c r="L131" s="54"/>
      <c r="M131" s="54"/>
      <c r="N131" s="54"/>
      <c r="O131" s="54"/>
      <c r="P131" s="54"/>
      <c r="Q131" s="54"/>
      <c r="R131" s="54"/>
      <c r="S131" s="54"/>
      <c r="T131" s="54"/>
      <c r="U131" s="54"/>
      <c r="V131" s="54"/>
      <c r="W131" s="54"/>
      <c r="X131" s="54"/>
      <c r="Y131" s="54"/>
      <c r="Z131" s="54"/>
    </row>
    <row r="132" ht="26.25" customHeight="1">
      <c r="A132" s="54"/>
      <c r="B132" s="59">
        <v>46001.0</v>
      </c>
      <c r="C132" s="52" t="s">
        <v>320</v>
      </c>
      <c r="D132" s="53" t="s">
        <v>321</v>
      </c>
      <c r="E132" s="54"/>
      <c r="F132" s="54"/>
      <c r="G132" s="54"/>
      <c r="H132" s="54"/>
      <c r="I132" s="54"/>
      <c r="J132" s="54"/>
      <c r="K132" s="54"/>
      <c r="L132" s="54"/>
      <c r="M132" s="54"/>
      <c r="N132" s="54"/>
      <c r="O132" s="54"/>
      <c r="P132" s="54"/>
      <c r="Q132" s="54"/>
      <c r="R132" s="54"/>
      <c r="S132" s="54"/>
      <c r="T132" s="54"/>
      <c r="U132" s="54"/>
      <c r="V132" s="54"/>
      <c r="W132" s="54"/>
      <c r="X132" s="54"/>
      <c r="Y132" s="54"/>
      <c r="Z132" s="54"/>
    </row>
    <row r="133" ht="26.25" customHeight="1">
      <c r="A133" s="54"/>
      <c r="B133" s="55"/>
      <c r="C133" s="52" t="s">
        <v>322</v>
      </c>
      <c r="D133" s="53" t="s">
        <v>323</v>
      </c>
      <c r="E133" s="54"/>
      <c r="F133" s="54"/>
      <c r="G133" s="54"/>
      <c r="H133" s="54"/>
      <c r="I133" s="54"/>
      <c r="J133" s="54"/>
      <c r="K133" s="54"/>
      <c r="L133" s="54"/>
      <c r="M133" s="54"/>
      <c r="N133" s="54"/>
      <c r="O133" s="54"/>
      <c r="P133" s="54"/>
      <c r="Q133" s="54"/>
      <c r="R133" s="54"/>
      <c r="S133" s="54"/>
      <c r="T133" s="54"/>
      <c r="U133" s="54"/>
      <c r="V133" s="54"/>
      <c r="W133" s="54"/>
      <c r="X133" s="54"/>
      <c r="Y133" s="54"/>
      <c r="Z133" s="54"/>
    </row>
    <row r="134" ht="26.25" customHeight="1">
      <c r="A134" s="54"/>
      <c r="B134" s="55"/>
      <c r="C134" s="52" t="s">
        <v>324</v>
      </c>
      <c r="D134" s="53" t="s">
        <v>325</v>
      </c>
      <c r="E134" s="54"/>
      <c r="F134" s="54"/>
      <c r="G134" s="54"/>
      <c r="H134" s="54"/>
      <c r="I134" s="54"/>
      <c r="J134" s="54"/>
      <c r="K134" s="54"/>
      <c r="L134" s="54"/>
      <c r="M134" s="54"/>
      <c r="N134" s="54"/>
      <c r="O134" s="54"/>
      <c r="P134" s="54"/>
      <c r="Q134" s="54"/>
      <c r="R134" s="54"/>
      <c r="S134" s="54"/>
      <c r="T134" s="54"/>
      <c r="U134" s="54"/>
      <c r="V134" s="54"/>
      <c r="W134" s="54"/>
      <c r="X134" s="54"/>
      <c r="Y134" s="54"/>
      <c r="Z134" s="54"/>
    </row>
    <row r="135" ht="26.25" customHeight="1">
      <c r="A135" s="54"/>
      <c r="B135" s="55"/>
      <c r="C135" s="52" t="s">
        <v>326</v>
      </c>
      <c r="D135" s="53" t="s">
        <v>327</v>
      </c>
      <c r="E135" s="54"/>
      <c r="F135" s="54"/>
      <c r="G135" s="54"/>
      <c r="H135" s="54"/>
      <c r="I135" s="54"/>
      <c r="J135" s="54"/>
      <c r="K135" s="54"/>
      <c r="L135" s="54"/>
      <c r="M135" s="54"/>
      <c r="N135" s="54"/>
      <c r="O135" s="54"/>
      <c r="P135" s="54"/>
      <c r="Q135" s="54"/>
      <c r="R135" s="54"/>
      <c r="S135" s="54"/>
      <c r="T135" s="54"/>
      <c r="U135" s="54"/>
      <c r="V135" s="54"/>
      <c r="W135" s="54"/>
      <c r="X135" s="54"/>
      <c r="Y135" s="54"/>
      <c r="Z135" s="54"/>
    </row>
    <row r="136" ht="26.25" customHeight="1">
      <c r="A136" s="54"/>
      <c r="B136" s="55"/>
      <c r="C136" s="52" t="s">
        <v>328</v>
      </c>
      <c r="D136" s="53" t="s">
        <v>329</v>
      </c>
      <c r="E136" s="54"/>
      <c r="F136" s="54"/>
      <c r="G136" s="54"/>
      <c r="H136" s="54"/>
      <c r="I136" s="54"/>
      <c r="J136" s="54"/>
      <c r="K136" s="54"/>
      <c r="L136" s="54"/>
      <c r="M136" s="54"/>
      <c r="N136" s="54"/>
      <c r="O136" s="54"/>
      <c r="P136" s="54"/>
      <c r="Q136" s="54"/>
      <c r="R136" s="54"/>
      <c r="S136" s="54"/>
      <c r="T136" s="54"/>
      <c r="U136" s="54"/>
      <c r="V136" s="54"/>
      <c r="W136" s="54"/>
      <c r="X136" s="54"/>
      <c r="Y136" s="54"/>
      <c r="Z136" s="54"/>
    </row>
    <row r="137" ht="26.25" customHeight="1">
      <c r="A137" s="54"/>
      <c r="B137" s="55"/>
      <c r="C137" s="52" t="s">
        <v>330</v>
      </c>
      <c r="D137" s="53" t="s">
        <v>331</v>
      </c>
      <c r="E137" s="54"/>
      <c r="F137" s="54"/>
      <c r="G137" s="54"/>
      <c r="H137" s="54"/>
      <c r="I137" s="54"/>
      <c r="J137" s="54"/>
      <c r="K137" s="54"/>
      <c r="L137" s="54"/>
      <c r="M137" s="54"/>
      <c r="N137" s="54"/>
      <c r="O137" s="54"/>
      <c r="P137" s="54"/>
      <c r="Q137" s="54"/>
      <c r="R137" s="54"/>
      <c r="S137" s="54"/>
      <c r="T137" s="54"/>
      <c r="U137" s="54"/>
      <c r="V137" s="54"/>
      <c r="W137" s="54"/>
      <c r="X137" s="54"/>
      <c r="Y137" s="54"/>
      <c r="Z137" s="54"/>
    </row>
    <row r="138" ht="26.25" customHeight="1">
      <c r="A138" s="54"/>
      <c r="B138" s="59">
        <v>46002.0</v>
      </c>
      <c r="C138" s="52" t="s">
        <v>330</v>
      </c>
      <c r="D138" s="53" t="s">
        <v>332</v>
      </c>
      <c r="E138" s="54"/>
      <c r="F138" s="54"/>
      <c r="G138" s="54"/>
      <c r="H138" s="54"/>
      <c r="I138" s="54"/>
      <c r="J138" s="54"/>
      <c r="K138" s="54"/>
      <c r="L138" s="54"/>
      <c r="M138" s="54"/>
      <c r="N138" s="54"/>
      <c r="O138" s="54"/>
      <c r="P138" s="54"/>
      <c r="Q138" s="54"/>
      <c r="R138" s="54"/>
      <c r="S138" s="54"/>
      <c r="T138" s="54"/>
      <c r="U138" s="54"/>
      <c r="V138" s="54"/>
      <c r="W138" s="54"/>
      <c r="X138" s="54"/>
      <c r="Y138" s="54"/>
      <c r="Z138" s="54"/>
    </row>
    <row r="139" ht="26.25" customHeight="1">
      <c r="A139" s="54"/>
      <c r="B139" s="55"/>
      <c r="C139" s="52" t="s">
        <v>333</v>
      </c>
      <c r="D139" s="53" t="s">
        <v>334</v>
      </c>
      <c r="E139" s="54"/>
      <c r="F139" s="54"/>
      <c r="G139" s="54"/>
      <c r="H139" s="54"/>
      <c r="I139" s="54"/>
      <c r="J139" s="54"/>
      <c r="K139" s="54"/>
      <c r="L139" s="54"/>
      <c r="M139" s="54"/>
      <c r="N139" s="54"/>
      <c r="O139" s="54"/>
      <c r="P139" s="54"/>
      <c r="Q139" s="54"/>
      <c r="R139" s="54"/>
      <c r="S139" s="54"/>
      <c r="T139" s="54"/>
      <c r="U139" s="54"/>
      <c r="V139" s="54"/>
      <c r="W139" s="54"/>
      <c r="X139" s="54"/>
      <c r="Y139" s="54"/>
      <c r="Z139" s="54"/>
    </row>
    <row r="140" ht="26.25" customHeight="1">
      <c r="A140" s="54"/>
      <c r="B140" s="55"/>
      <c r="C140" s="52" t="s">
        <v>335</v>
      </c>
      <c r="D140" s="53" t="s">
        <v>336</v>
      </c>
      <c r="E140" s="54"/>
      <c r="F140" s="54"/>
      <c r="G140" s="54"/>
      <c r="H140" s="54"/>
      <c r="I140" s="54"/>
      <c r="J140" s="54"/>
      <c r="K140" s="54"/>
      <c r="L140" s="54"/>
      <c r="M140" s="54"/>
      <c r="N140" s="54"/>
      <c r="O140" s="54"/>
      <c r="P140" s="54"/>
      <c r="Q140" s="54"/>
      <c r="R140" s="54"/>
      <c r="S140" s="54"/>
      <c r="T140" s="54"/>
      <c r="U140" s="54"/>
      <c r="V140" s="54"/>
      <c r="W140" s="54"/>
      <c r="X140" s="54"/>
      <c r="Y140" s="54"/>
      <c r="Z140" s="54"/>
    </row>
    <row r="141" ht="26.25" customHeight="1">
      <c r="A141" s="54"/>
      <c r="B141" s="55"/>
      <c r="C141" s="52" t="s">
        <v>337</v>
      </c>
      <c r="D141" s="53" t="s">
        <v>338</v>
      </c>
      <c r="E141" s="54"/>
      <c r="F141" s="54"/>
      <c r="G141" s="54"/>
      <c r="H141" s="54"/>
      <c r="I141" s="54"/>
      <c r="J141" s="54"/>
      <c r="K141" s="54"/>
      <c r="L141" s="54"/>
      <c r="M141" s="54"/>
      <c r="N141" s="54"/>
      <c r="O141" s="54"/>
      <c r="P141" s="54"/>
      <c r="Q141" s="54"/>
      <c r="R141" s="54"/>
      <c r="S141" s="54"/>
      <c r="T141" s="54"/>
      <c r="U141" s="54"/>
      <c r="V141" s="54"/>
      <c r="W141" s="54"/>
      <c r="X141" s="54"/>
      <c r="Y141" s="54"/>
      <c r="Z141" s="54"/>
    </row>
    <row r="142" ht="26.25" customHeight="1">
      <c r="A142" s="54"/>
      <c r="B142" s="55"/>
      <c r="C142" s="52" t="s">
        <v>339</v>
      </c>
      <c r="D142" s="53" t="s">
        <v>340</v>
      </c>
      <c r="E142" s="54"/>
      <c r="F142" s="54"/>
      <c r="G142" s="54"/>
      <c r="H142" s="54"/>
      <c r="I142" s="54"/>
      <c r="J142" s="54"/>
      <c r="K142" s="54"/>
      <c r="L142" s="54"/>
      <c r="M142" s="54"/>
      <c r="N142" s="54"/>
      <c r="O142" s="54"/>
      <c r="P142" s="54"/>
      <c r="Q142" s="54"/>
      <c r="R142" s="54"/>
      <c r="S142" s="54"/>
      <c r="T142" s="54"/>
      <c r="U142" s="54"/>
      <c r="V142" s="54"/>
      <c r="W142" s="54"/>
      <c r="X142" s="54"/>
      <c r="Y142" s="54"/>
      <c r="Z142" s="54"/>
    </row>
    <row r="143" ht="26.25" customHeight="1">
      <c r="A143" s="54"/>
      <c r="B143" s="55"/>
      <c r="C143" s="52" t="s">
        <v>341</v>
      </c>
      <c r="D143" s="53" t="s">
        <v>342</v>
      </c>
      <c r="E143" s="50" t="s">
        <v>343</v>
      </c>
      <c r="F143" s="50" t="s">
        <v>344</v>
      </c>
      <c r="G143" s="50" t="s">
        <v>345</v>
      </c>
      <c r="H143" s="54"/>
      <c r="I143" s="54"/>
      <c r="J143" s="54"/>
      <c r="K143" s="54"/>
      <c r="L143" s="54"/>
      <c r="M143" s="54"/>
      <c r="N143" s="54"/>
      <c r="O143" s="54"/>
      <c r="P143" s="54"/>
      <c r="Q143" s="54"/>
      <c r="R143" s="54"/>
      <c r="S143" s="54"/>
      <c r="T143" s="54"/>
      <c r="U143" s="54"/>
      <c r="V143" s="54"/>
      <c r="W143" s="54"/>
      <c r="X143" s="54"/>
      <c r="Y143" s="54"/>
      <c r="Z143" s="54"/>
    </row>
    <row r="144" ht="26.25" customHeight="1">
      <c r="A144" s="54"/>
      <c r="B144" s="55"/>
      <c r="C144" s="52" t="s">
        <v>346</v>
      </c>
      <c r="D144" s="53" t="s">
        <v>347</v>
      </c>
      <c r="E144" s="54"/>
      <c r="F144" s="54"/>
      <c r="G144" s="54"/>
      <c r="H144" s="54"/>
      <c r="I144" s="54"/>
      <c r="J144" s="54"/>
      <c r="K144" s="54"/>
      <c r="L144" s="54"/>
      <c r="M144" s="54"/>
      <c r="N144" s="54"/>
      <c r="O144" s="54"/>
      <c r="P144" s="54"/>
      <c r="Q144" s="54"/>
      <c r="R144" s="54"/>
      <c r="S144" s="54"/>
      <c r="T144" s="54"/>
      <c r="U144" s="54"/>
      <c r="V144" s="54"/>
      <c r="W144" s="54"/>
      <c r="X144" s="54"/>
      <c r="Y144" s="54"/>
      <c r="Z144" s="54"/>
    </row>
    <row r="145" ht="26.25" customHeight="1">
      <c r="A145" s="54"/>
      <c r="B145" s="59">
        <v>46005.0</v>
      </c>
      <c r="C145" s="52" t="s">
        <v>348</v>
      </c>
      <c r="D145" s="50" t="s">
        <v>349</v>
      </c>
      <c r="E145" s="54"/>
      <c r="F145" s="54"/>
      <c r="G145" s="54"/>
      <c r="H145" s="54"/>
      <c r="I145" s="54"/>
      <c r="J145" s="54"/>
      <c r="K145" s="54"/>
      <c r="L145" s="54"/>
      <c r="M145" s="54"/>
      <c r="N145" s="54"/>
      <c r="O145" s="54"/>
      <c r="P145" s="54"/>
      <c r="Q145" s="54"/>
      <c r="R145" s="54"/>
      <c r="S145" s="54"/>
      <c r="T145" s="54"/>
      <c r="U145" s="54"/>
      <c r="V145" s="54"/>
      <c r="W145" s="54"/>
      <c r="X145" s="54"/>
      <c r="Y145" s="54"/>
      <c r="Z145" s="54"/>
    </row>
    <row r="146" ht="26.25" customHeight="1">
      <c r="A146" s="54"/>
      <c r="B146" s="59">
        <v>46006.0</v>
      </c>
      <c r="C146" s="50"/>
      <c r="D146" s="53" t="s">
        <v>350</v>
      </c>
      <c r="E146" s="54"/>
      <c r="F146" s="54"/>
      <c r="G146" s="54"/>
      <c r="H146" s="54"/>
      <c r="I146" s="54"/>
      <c r="J146" s="54"/>
      <c r="K146" s="54"/>
      <c r="L146" s="54"/>
      <c r="M146" s="54"/>
      <c r="N146" s="54"/>
      <c r="O146" s="54"/>
      <c r="P146" s="54"/>
      <c r="Q146" s="54"/>
      <c r="R146" s="54"/>
      <c r="S146" s="54"/>
      <c r="T146" s="54"/>
      <c r="U146" s="54"/>
      <c r="V146" s="54"/>
      <c r="W146" s="54"/>
      <c r="X146" s="54"/>
      <c r="Y146" s="54"/>
      <c r="Z146" s="54"/>
    </row>
    <row r="147" ht="26.25" customHeight="1">
      <c r="A147" s="54"/>
      <c r="B147" s="55"/>
      <c r="C147" s="50"/>
      <c r="D147" s="53" t="s">
        <v>351</v>
      </c>
      <c r="E147" s="54"/>
      <c r="F147" s="54"/>
      <c r="G147" s="54"/>
      <c r="H147" s="54"/>
      <c r="I147" s="54"/>
      <c r="J147" s="54"/>
      <c r="K147" s="54"/>
      <c r="L147" s="54"/>
      <c r="M147" s="54"/>
      <c r="N147" s="54"/>
      <c r="O147" s="54"/>
      <c r="P147" s="54"/>
      <c r="Q147" s="54"/>
      <c r="R147" s="54"/>
      <c r="S147" s="54"/>
      <c r="T147" s="54"/>
      <c r="U147" s="54"/>
      <c r="V147" s="54"/>
      <c r="W147" s="54"/>
      <c r="X147" s="54"/>
      <c r="Y147" s="54"/>
      <c r="Z147" s="54"/>
    </row>
    <row r="148" ht="26.25" customHeight="1">
      <c r="A148" s="54"/>
      <c r="B148" s="55"/>
      <c r="C148" s="52" t="s">
        <v>352</v>
      </c>
      <c r="D148" s="53" t="s">
        <v>353</v>
      </c>
      <c r="E148" s="54"/>
      <c r="F148" s="54"/>
      <c r="G148" s="54"/>
      <c r="H148" s="54"/>
      <c r="I148" s="54"/>
      <c r="J148" s="54"/>
      <c r="K148" s="54"/>
      <c r="L148" s="54"/>
      <c r="M148" s="54"/>
      <c r="N148" s="54"/>
      <c r="O148" s="54"/>
      <c r="P148" s="54"/>
      <c r="Q148" s="54"/>
      <c r="R148" s="54"/>
      <c r="S148" s="54"/>
      <c r="T148" s="54"/>
      <c r="U148" s="54"/>
      <c r="V148" s="54"/>
      <c r="W148" s="54"/>
      <c r="X148" s="54"/>
      <c r="Y148" s="54"/>
      <c r="Z148" s="54"/>
    </row>
    <row r="149" ht="26.25" customHeight="1">
      <c r="A149" s="54"/>
      <c r="B149" s="55"/>
      <c r="C149" s="52" t="s">
        <v>354</v>
      </c>
      <c r="D149" s="53" t="s">
        <v>355</v>
      </c>
      <c r="E149" s="54"/>
      <c r="F149" s="54"/>
      <c r="G149" s="54"/>
      <c r="H149" s="54"/>
      <c r="I149" s="54"/>
      <c r="J149" s="54"/>
      <c r="K149" s="54"/>
      <c r="L149" s="54"/>
      <c r="M149" s="54"/>
      <c r="N149" s="54"/>
      <c r="O149" s="54"/>
      <c r="P149" s="54"/>
      <c r="Q149" s="54"/>
      <c r="R149" s="54"/>
      <c r="S149" s="54"/>
      <c r="T149" s="54"/>
      <c r="U149" s="54"/>
      <c r="V149" s="54"/>
      <c r="W149" s="54"/>
      <c r="X149" s="54"/>
      <c r="Y149" s="54"/>
      <c r="Z149" s="54"/>
    </row>
    <row r="150" ht="26.25" customHeight="1">
      <c r="A150" s="54"/>
      <c r="B150" s="55"/>
      <c r="C150" s="52" t="s">
        <v>356</v>
      </c>
      <c r="D150" s="53" t="s">
        <v>357</v>
      </c>
      <c r="E150" s="54"/>
      <c r="F150" s="54"/>
      <c r="G150" s="54"/>
      <c r="H150" s="54"/>
      <c r="I150" s="54"/>
      <c r="J150" s="54"/>
      <c r="K150" s="54"/>
      <c r="L150" s="54"/>
      <c r="M150" s="54"/>
      <c r="N150" s="54"/>
      <c r="O150" s="54"/>
      <c r="P150" s="54"/>
      <c r="Q150" s="54"/>
      <c r="R150" s="54"/>
      <c r="S150" s="54"/>
      <c r="T150" s="54"/>
      <c r="U150" s="54"/>
      <c r="V150" s="54"/>
      <c r="W150" s="54"/>
      <c r="X150" s="54"/>
      <c r="Y150" s="54"/>
      <c r="Z150" s="54"/>
    </row>
    <row r="151" ht="26.25" customHeight="1">
      <c r="A151" s="54"/>
      <c r="B151" s="55"/>
      <c r="C151" s="52" t="s">
        <v>358</v>
      </c>
      <c r="D151" s="53" t="s">
        <v>359</v>
      </c>
      <c r="E151" s="54"/>
      <c r="F151" s="54"/>
      <c r="G151" s="54"/>
      <c r="H151" s="54"/>
      <c r="I151" s="54"/>
      <c r="J151" s="54"/>
      <c r="K151" s="54"/>
      <c r="L151" s="54"/>
      <c r="M151" s="54"/>
      <c r="N151" s="54"/>
      <c r="O151" s="54"/>
      <c r="P151" s="54"/>
      <c r="Q151" s="54"/>
      <c r="R151" s="54"/>
      <c r="S151" s="54"/>
      <c r="T151" s="54"/>
      <c r="U151" s="54"/>
      <c r="V151" s="54"/>
      <c r="W151" s="54"/>
      <c r="X151" s="54"/>
      <c r="Y151" s="54"/>
      <c r="Z151" s="54"/>
    </row>
    <row r="152" ht="26.25" customHeight="1">
      <c r="A152" s="54"/>
      <c r="B152" s="55"/>
      <c r="C152" s="52" t="s">
        <v>360</v>
      </c>
      <c r="D152" s="53" t="s">
        <v>361</v>
      </c>
      <c r="E152" s="50" t="s">
        <v>362</v>
      </c>
      <c r="F152" s="50" t="s">
        <v>363</v>
      </c>
      <c r="G152" s="54"/>
      <c r="H152" s="54"/>
      <c r="I152" s="54"/>
      <c r="J152" s="54"/>
      <c r="K152" s="54"/>
      <c r="L152" s="54"/>
      <c r="M152" s="54"/>
      <c r="N152" s="54"/>
      <c r="O152" s="54"/>
      <c r="P152" s="54"/>
      <c r="Q152" s="54"/>
      <c r="R152" s="54"/>
      <c r="S152" s="54"/>
      <c r="T152" s="54"/>
      <c r="U152" s="54"/>
      <c r="V152" s="54"/>
      <c r="W152" s="54"/>
      <c r="X152" s="54"/>
      <c r="Y152" s="54"/>
      <c r="Z152" s="54"/>
    </row>
    <row r="153" ht="26.25" customHeight="1">
      <c r="A153" s="54"/>
      <c r="B153" s="59">
        <v>46007.0</v>
      </c>
      <c r="C153" s="61" t="s">
        <v>364</v>
      </c>
      <c r="E153" s="54"/>
      <c r="F153" s="54"/>
      <c r="G153" s="54"/>
      <c r="H153" s="54"/>
      <c r="I153" s="54"/>
      <c r="J153" s="54"/>
      <c r="K153" s="54"/>
      <c r="L153" s="54"/>
      <c r="M153" s="54"/>
      <c r="N153" s="54"/>
      <c r="O153" s="54"/>
      <c r="P153" s="54"/>
      <c r="Q153" s="54"/>
      <c r="R153" s="54"/>
      <c r="S153" s="54"/>
      <c r="T153" s="54"/>
      <c r="U153" s="54"/>
      <c r="V153" s="54"/>
      <c r="W153" s="54"/>
      <c r="X153" s="54"/>
      <c r="Y153" s="54"/>
      <c r="Z153" s="54"/>
    </row>
    <row r="154" ht="26.25" customHeight="1">
      <c r="A154" s="54"/>
      <c r="B154" s="55"/>
      <c r="C154" s="52" t="s">
        <v>365</v>
      </c>
      <c r="D154" s="53" t="s">
        <v>366</v>
      </c>
      <c r="E154" s="54"/>
      <c r="F154" s="54"/>
      <c r="G154" s="54"/>
      <c r="H154" s="54"/>
      <c r="I154" s="54"/>
      <c r="J154" s="54"/>
      <c r="K154" s="54"/>
      <c r="L154" s="54"/>
      <c r="M154" s="54"/>
      <c r="N154" s="54"/>
      <c r="O154" s="54"/>
      <c r="P154" s="54"/>
      <c r="Q154" s="54"/>
      <c r="R154" s="54"/>
      <c r="S154" s="54"/>
      <c r="T154" s="54"/>
      <c r="U154" s="54"/>
      <c r="V154" s="54"/>
      <c r="W154" s="54"/>
      <c r="X154" s="54"/>
      <c r="Y154" s="54"/>
      <c r="Z154" s="54"/>
    </row>
    <row r="155" ht="26.25" customHeight="1">
      <c r="A155" s="54"/>
      <c r="B155" s="55"/>
      <c r="C155" s="54"/>
      <c r="D155" s="53" t="s">
        <v>367</v>
      </c>
      <c r="E155" s="54"/>
      <c r="F155" s="54"/>
      <c r="G155" s="54"/>
      <c r="H155" s="54"/>
      <c r="I155" s="54"/>
      <c r="J155" s="54"/>
      <c r="K155" s="54"/>
      <c r="L155" s="54"/>
      <c r="M155" s="54"/>
      <c r="N155" s="54"/>
      <c r="O155" s="54"/>
      <c r="P155" s="54"/>
      <c r="Q155" s="54"/>
      <c r="R155" s="54"/>
      <c r="S155" s="54"/>
      <c r="T155" s="54"/>
      <c r="U155" s="54"/>
      <c r="V155" s="54"/>
      <c r="W155" s="54"/>
      <c r="X155" s="54"/>
      <c r="Y155" s="54"/>
      <c r="Z155" s="54"/>
    </row>
    <row r="156" ht="26.25" customHeight="1">
      <c r="A156" s="54"/>
      <c r="B156" s="55"/>
      <c r="C156" s="54"/>
      <c r="D156" s="53" t="s">
        <v>368</v>
      </c>
      <c r="E156" s="54"/>
      <c r="F156" s="54"/>
      <c r="G156" s="54"/>
      <c r="H156" s="54"/>
      <c r="I156" s="54"/>
      <c r="J156" s="54"/>
      <c r="K156" s="54"/>
      <c r="L156" s="54"/>
      <c r="M156" s="54"/>
      <c r="N156" s="54"/>
      <c r="O156" s="54"/>
      <c r="P156" s="54"/>
      <c r="Q156" s="54"/>
      <c r="R156" s="54"/>
      <c r="S156" s="54"/>
      <c r="T156" s="54"/>
      <c r="U156" s="54"/>
      <c r="V156" s="54"/>
      <c r="W156" s="54"/>
      <c r="X156" s="54"/>
      <c r="Y156" s="54"/>
      <c r="Z156" s="54"/>
    </row>
    <row r="157" ht="26.25" customHeight="1">
      <c r="A157" s="54"/>
      <c r="B157" s="55"/>
      <c r="C157" s="54"/>
      <c r="D157" s="53" t="s">
        <v>369</v>
      </c>
      <c r="E157" s="54"/>
      <c r="F157" s="54"/>
      <c r="G157" s="54"/>
      <c r="H157" s="54"/>
      <c r="I157" s="54"/>
      <c r="J157" s="54"/>
      <c r="K157" s="54"/>
      <c r="L157" s="54"/>
      <c r="M157" s="54"/>
      <c r="N157" s="54"/>
      <c r="O157" s="54"/>
      <c r="P157" s="54"/>
      <c r="Q157" s="54"/>
      <c r="R157" s="54"/>
      <c r="S157" s="54"/>
      <c r="T157" s="54"/>
      <c r="U157" s="54"/>
      <c r="V157" s="54"/>
      <c r="W157" s="54"/>
      <c r="X157" s="54"/>
      <c r="Y157" s="54"/>
      <c r="Z157" s="54"/>
    </row>
    <row r="158" ht="26.25" customHeight="1">
      <c r="A158" s="54"/>
      <c r="B158" s="59">
        <v>46008.0</v>
      </c>
      <c r="C158" s="52" t="s">
        <v>370</v>
      </c>
      <c r="D158" s="53" t="s">
        <v>371</v>
      </c>
      <c r="E158" s="54"/>
      <c r="F158" s="54"/>
      <c r="G158" s="54"/>
      <c r="H158" s="54"/>
      <c r="I158" s="54"/>
      <c r="J158" s="54"/>
      <c r="K158" s="54"/>
      <c r="L158" s="54"/>
      <c r="M158" s="54"/>
      <c r="N158" s="54"/>
      <c r="O158" s="54"/>
      <c r="P158" s="54"/>
      <c r="Q158" s="54"/>
      <c r="R158" s="54"/>
      <c r="S158" s="54"/>
      <c r="T158" s="54"/>
      <c r="U158" s="54"/>
      <c r="V158" s="54"/>
      <c r="W158" s="54"/>
      <c r="X158" s="54"/>
      <c r="Y158" s="54"/>
      <c r="Z158" s="54"/>
    </row>
    <row r="159" ht="26.25" customHeight="1">
      <c r="A159" s="54"/>
      <c r="B159" s="55"/>
      <c r="C159" s="52" t="s">
        <v>372</v>
      </c>
      <c r="D159" s="43" t="s">
        <v>373</v>
      </c>
      <c r="E159" s="50" t="s">
        <v>374</v>
      </c>
      <c r="F159" s="50" t="s">
        <v>375</v>
      </c>
      <c r="G159" s="50" t="s">
        <v>376</v>
      </c>
      <c r="H159" s="54"/>
      <c r="I159" s="54"/>
      <c r="J159" s="54"/>
      <c r="K159" s="54"/>
      <c r="L159" s="54"/>
      <c r="M159" s="54"/>
      <c r="N159" s="54"/>
      <c r="O159" s="54"/>
      <c r="P159" s="54"/>
      <c r="Q159" s="54"/>
      <c r="R159" s="54"/>
      <c r="S159" s="54"/>
      <c r="T159" s="54"/>
      <c r="U159" s="54"/>
      <c r="V159" s="54"/>
      <c r="W159" s="54"/>
      <c r="X159" s="54"/>
      <c r="Y159" s="54"/>
      <c r="Z159" s="54"/>
    </row>
    <row r="160" ht="26.25" customHeight="1">
      <c r="A160" s="54"/>
      <c r="B160" s="55"/>
      <c r="C160" s="52" t="s">
        <v>377</v>
      </c>
      <c r="D160" s="53" t="s">
        <v>378</v>
      </c>
      <c r="E160" s="54"/>
      <c r="F160" s="54"/>
      <c r="G160" s="54"/>
      <c r="H160" s="54"/>
      <c r="I160" s="54"/>
      <c r="J160" s="54"/>
      <c r="K160" s="54"/>
      <c r="L160" s="54"/>
      <c r="M160" s="54"/>
      <c r="N160" s="54"/>
      <c r="O160" s="54"/>
      <c r="P160" s="54"/>
      <c r="Q160" s="54"/>
      <c r="R160" s="54"/>
      <c r="S160" s="54"/>
      <c r="T160" s="54"/>
      <c r="U160" s="54"/>
      <c r="V160" s="54"/>
      <c r="W160" s="54"/>
      <c r="X160" s="54"/>
      <c r="Y160" s="54"/>
      <c r="Z160" s="54"/>
    </row>
    <row r="161" ht="26.25" customHeight="1">
      <c r="A161" s="54"/>
      <c r="B161" s="55"/>
      <c r="C161" s="52" t="s">
        <v>379</v>
      </c>
      <c r="D161" s="53" t="s">
        <v>380</v>
      </c>
      <c r="E161" s="54"/>
      <c r="F161" s="54"/>
      <c r="G161" s="54"/>
      <c r="H161" s="54"/>
      <c r="I161" s="54"/>
      <c r="J161" s="54"/>
      <c r="K161" s="54"/>
      <c r="L161" s="54"/>
      <c r="M161" s="54"/>
      <c r="N161" s="54"/>
      <c r="O161" s="54"/>
      <c r="P161" s="54"/>
      <c r="Q161" s="54"/>
      <c r="R161" s="54"/>
      <c r="S161" s="54"/>
      <c r="T161" s="54"/>
      <c r="U161" s="54"/>
      <c r="V161" s="54"/>
      <c r="W161" s="54"/>
      <c r="X161" s="54"/>
      <c r="Y161" s="54"/>
      <c r="Z161" s="54"/>
    </row>
    <row r="162" ht="26.25" customHeight="1">
      <c r="A162" s="54"/>
      <c r="B162" s="55"/>
      <c r="C162" s="52" t="s">
        <v>381</v>
      </c>
      <c r="D162" s="53" t="s">
        <v>382</v>
      </c>
      <c r="E162" s="54"/>
      <c r="F162" s="54"/>
      <c r="G162" s="54"/>
      <c r="H162" s="54"/>
      <c r="I162" s="54"/>
      <c r="J162" s="54"/>
      <c r="K162" s="54"/>
      <c r="L162" s="54"/>
      <c r="M162" s="54"/>
      <c r="N162" s="54"/>
      <c r="O162" s="54"/>
      <c r="P162" s="54"/>
      <c r="Q162" s="54"/>
      <c r="R162" s="54"/>
      <c r="S162" s="54"/>
      <c r="T162" s="54"/>
      <c r="U162" s="54"/>
      <c r="V162" s="54"/>
      <c r="W162" s="54"/>
      <c r="X162" s="54"/>
      <c r="Y162" s="54"/>
      <c r="Z162" s="54"/>
    </row>
    <row r="163" ht="26.25" customHeight="1">
      <c r="A163" s="54"/>
      <c r="B163" s="55"/>
      <c r="C163" s="50"/>
      <c r="D163" s="53" t="s">
        <v>383</v>
      </c>
      <c r="E163" s="54"/>
      <c r="F163" s="54"/>
      <c r="G163" s="54"/>
      <c r="H163" s="54"/>
      <c r="I163" s="54"/>
      <c r="J163" s="54"/>
      <c r="K163" s="54"/>
      <c r="L163" s="54"/>
      <c r="M163" s="54"/>
      <c r="N163" s="54"/>
      <c r="O163" s="54"/>
      <c r="P163" s="54"/>
      <c r="Q163" s="54"/>
      <c r="R163" s="54"/>
      <c r="S163" s="54"/>
      <c r="T163" s="54"/>
      <c r="U163" s="54"/>
      <c r="V163" s="54"/>
      <c r="W163" s="54"/>
      <c r="X163" s="54"/>
      <c r="Y163" s="54"/>
      <c r="Z163" s="54"/>
    </row>
    <row r="164" ht="26.25" customHeight="1">
      <c r="A164" s="54"/>
      <c r="B164" s="55"/>
      <c r="C164" s="54"/>
      <c r="D164" s="53" t="s">
        <v>384</v>
      </c>
      <c r="E164" s="50" t="s">
        <v>385</v>
      </c>
      <c r="F164" s="54"/>
      <c r="G164" s="54"/>
      <c r="H164" s="54"/>
      <c r="I164" s="54"/>
      <c r="J164" s="54"/>
      <c r="K164" s="54"/>
      <c r="L164" s="54"/>
      <c r="M164" s="54"/>
      <c r="N164" s="54"/>
      <c r="O164" s="54"/>
      <c r="P164" s="54"/>
      <c r="Q164" s="54"/>
      <c r="R164" s="54"/>
      <c r="S164" s="54"/>
      <c r="T164" s="54"/>
      <c r="U164" s="54"/>
      <c r="V164" s="54"/>
      <c r="W164" s="54"/>
      <c r="X164" s="54"/>
      <c r="Y164" s="54"/>
      <c r="Z164" s="54"/>
    </row>
    <row r="165" ht="26.25" customHeight="1">
      <c r="A165" s="54"/>
      <c r="B165" s="59">
        <v>46009.0</v>
      </c>
      <c r="C165" s="52" t="s">
        <v>386</v>
      </c>
      <c r="D165" s="53" t="s">
        <v>387</v>
      </c>
      <c r="E165" s="54"/>
      <c r="F165" s="54"/>
      <c r="G165" s="54"/>
      <c r="H165" s="54"/>
      <c r="I165" s="54"/>
      <c r="J165" s="54"/>
      <c r="K165" s="54"/>
      <c r="L165" s="54"/>
      <c r="M165" s="54"/>
      <c r="N165" s="54"/>
      <c r="O165" s="54"/>
      <c r="P165" s="54"/>
      <c r="Q165" s="54"/>
      <c r="R165" s="54"/>
      <c r="S165" s="54"/>
      <c r="T165" s="54"/>
      <c r="U165" s="54"/>
      <c r="V165" s="54"/>
      <c r="W165" s="54"/>
      <c r="X165" s="54"/>
      <c r="Y165" s="54"/>
      <c r="Z165" s="54"/>
    </row>
    <row r="166" ht="26.25" customHeight="1">
      <c r="A166" s="54"/>
      <c r="B166" s="55"/>
      <c r="C166" s="52" t="s">
        <v>388</v>
      </c>
      <c r="D166" s="53" t="s">
        <v>389</v>
      </c>
      <c r="E166" s="54"/>
      <c r="F166" s="54"/>
      <c r="G166" s="54"/>
      <c r="H166" s="54"/>
      <c r="I166" s="54"/>
      <c r="J166" s="54"/>
      <c r="K166" s="54"/>
      <c r="L166" s="54"/>
      <c r="M166" s="54"/>
      <c r="N166" s="54"/>
      <c r="O166" s="54"/>
      <c r="P166" s="54"/>
      <c r="Q166" s="54"/>
      <c r="R166" s="54"/>
      <c r="S166" s="54"/>
      <c r="T166" s="54"/>
      <c r="U166" s="54"/>
      <c r="V166" s="54"/>
      <c r="W166" s="54"/>
      <c r="X166" s="54"/>
      <c r="Y166" s="54"/>
      <c r="Z166" s="54"/>
    </row>
    <row r="167" ht="26.25" customHeight="1">
      <c r="A167" s="54"/>
      <c r="B167" s="55"/>
      <c r="C167" s="52" t="s">
        <v>390</v>
      </c>
      <c r="D167" s="53" t="s">
        <v>391</v>
      </c>
      <c r="E167" s="54"/>
      <c r="F167" s="54"/>
      <c r="G167" s="54"/>
      <c r="H167" s="54"/>
      <c r="I167" s="54"/>
      <c r="J167" s="54"/>
      <c r="K167" s="54"/>
      <c r="L167" s="54"/>
      <c r="M167" s="54"/>
      <c r="N167" s="54"/>
      <c r="O167" s="54"/>
      <c r="P167" s="54"/>
      <c r="Q167" s="54"/>
      <c r="R167" s="54"/>
      <c r="S167" s="54"/>
      <c r="T167" s="54"/>
      <c r="U167" s="54"/>
      <c r="V167" s="54"/>
      <c r="W167" s="54"/>
      <c r="X167" s="54"/>
      <c r="Y167" s="54"/>
      <c r="Z167" s="54"/>
    </row>
    <row r="168" ht="26.25" customHeight="1">
      <c r="A168" s="54"/>
      <c r="B168" s="55"/>
      <c r="C168" s="52" t="s">
        <v>392</v>
      </c>
      <c r="D168" s="53" t="s">
        <v>393</v>
      </c>
      <c r="E168" s="54"/>
      <c r="F168" s="54"/>
      <c r="G168" s="54"/>
      <c r="H168" s="54"/>
      <c r="I168" s="54"/>
      <c r="J168" s="54"/>
      <c r="K168" s="54"/>
      <c r="L168" s="54"/>
      <c r="M168" s="54"/>
      <c r="N168" s="54"/>
      <c r="O168" s="54"/>
      <c r="P168" s="54"/>
      <c r="Q168" s="54"/>
      <c r="R168" s="54"/>
      <c r="S168" s="54"/>
      <c r="T168" s="54"/>
      <c r="U168" s="54"/>
      <c r="V168" s="54"/>
      <c r="W168" s="54"/>
      <c r="X168" s="54"/>
      <c r="Y168" s="54"/>
      <c r="Z168" s="54"/>
    </row>
    <row r="169" ht="26.25" customHeight="1">
      <c r="A169" s="54"/>
      <c r="B169" s="55"/>
      <c r="C169" s="52" t="s">
        <v>394</v>
      </c>
      <c r="D169" s="53" t="s">
        <v>395</v>
      </c>
      <c r="E169" s="54"/>
      <c r="F169" s="54"/>
      <c r="G169" s="54"/>
      <c r="H169" s="54"/>
      <c r="I169" s="54"/>
      <c r="J169" s="54"/>
      <c r="K169" s="54"/>
      <c r="L169" s="54"/>
      <c r="M169" s="54"/>
      <c r="N169" s="54"/>
      <c r="O169" s="54"/>
      <c r="P169" s="54"/>
      <c r="Q169" s="54"/>
      <c r="R169" s="54"/>
      <c r="S169" s="54"/>
      <c r="T169" s="54"/>
      <c r="U169" s="54"/>
      <c r="V169" s="54"/>
      <c r="W169" s="54"/>
      <c r="X169" s="54"/>
      <c r="Y169" s="54"/>
      <c r="Z169" s="54"/>
    </row>
    <row r="170" ht="26.25" customHeight="1">
      <c r="A170" s="54"/>
      <c r="B170" s="55"/>
      <c r="C170" s="52" t="s">
        <v>396</v>
      </c>
      <c r="D170" s="53" t="s">
        <v>397</v>
      </c>
      <c r="E170" s="54"/>
      <c r="F170" s="54"/>
      <c r="G170" s="54"/>
      <c r="H170" s="54"/>
      <c r="I170" s="54"/>
      <c r="J170" s="54"/>
      <c r="K170" s="54"/>
      <c r="L170" s="54"/>
      <c r="M170" s="54"/>
      <c r="N170" s="54"/>
      <c r="O170" s="54"/>
      <c r="P170" s="54"/>
      <c r="Q170" s="54"/>
      <c r="R170" s="54"/>
      <c r="S170" s="54"/>
      <c r="T170" s="54"/>
      <c r="U170" s="54"/>
      <c r="V170" s="54"/>
      <c r="W170" s="54"/>
      <c r="X170" s="54"/>
      <c r="Y170" s="54"/>
      <c r="Z170" s="54"/>
    </row>
    <row r="171" ht="26.25" customHeight="1">
      <c r="A171" s="54"/>
      <c r="B171" s="55"/>
      <c r="C171" s="54"/>
      <c r="D171" s="63"/>
      <c r="E171" s="54"/>
      <c r="F171" s="54"/>
      <c r="G171" s="54"/>
      <c r="H171" s="54"/>
      <c r="I171" s="54"/>
      <c r="J171" s="54"/>
      <c r="K171" s="54"/>
      <c r="L171" s="54"/>
      <c r="M171" s="54"/>
      <c r="N171" s="54"/>
      <c r="O171" s="54"/>
      <c r="P171" s="54"/>
      <c r="Q171" s="54"/>
      <c r="R171" s="54"/>
      <c r="S171" s="54"/>
      <c r="T171" s="54"/>
      <c r="U171" s="54"/>
      <c r="V171" s="54"/>
      <c r="W171" s="54"/>
      <c r="X171" s="54"/>
      <c r="Y171" s="54"/>
      <c r="Z171" s="54"/>
    </row>
    <row r="172" ht="26.25" customHeight="1">
      <c r="A172" s="54"/>
      <c r="B172" s="55"/>
      <c r="C172" s="54"/>
      <c r="D172" s="63"/>
      <c r="E172" s="54"/>
      <c r="F172" s="54"/>
      <c r="G172" s="54"/>
      <c r="H172" s="54"/>
      <c r="I172" s="54"/>
      <c r="J172" s="54"/>
      <c r="K172" s="54"/>
      <c r="L172" s="54"/>
      <c r="M172" s="54"/>
      <c r="N172" s="54"/>
      <c r="O172" s="54"/>
      <c r="P172" s="54"/>
      <c r="Q172" s="54"/>
      <c r="R172" s="54"/>
      <c r="S172" s="54"/>
      <c r="T172" s="54"/>
      <c r="U172" s="54"/>
      <c r="V172" s="54"/>
      <c r="W172" s="54"/>
      <c r="X172" s="54"/>
      <c r="Y172" s="54"/>
      <c r="Z172" s="54"/>
    </row>
    <row r="173" ht="26.25" customHeight="1">
      <c r="A173" s="54"/>
      <c r="B173" s="55"/>
      <c r="C173" s="54"/>
      <c r="D173" s="63"/>
      <c r="E173" s="54"/>
      <c r="F173" s="54"/>
      <c r="G173" s="54"/>
      <c r="H173" s="54"/>
      <c r="I173" s="54"/>
      <c r="J173" s="54"/>
      <c r="K173" s="54"/>
      <c r="L173" s="54"/>
      <c r="M173" s="54"/>
      <c r="N173" s="54"/>
      <c r="O173" s="54"/>
      <c r="P173" s="54"/>
      <c r="Q173" s="54"/>
      <c r="R173" s="54"/>
      <c r="S173" s="54"/>
      <c r="T173" s="54"/>
      <c r="U173" s="54"/>
      <c r="V173" s="54"/>
      <c r="W173" s="54"/>
      <c r="X173" s="54"/>
      <c r="Y173" s="54"/>
      <c r="Z173" s="54"/>
    </row>
    <row r="174" ht="26.25" customHeight="1">
      <c r="A174" s="54"/>
      <c r="B174" s="55"/>
      <c r="C174" s="54"/>
      <c r="D174" s="63"/>
      <c r="E174" s="54"/>
      <c r="F174" s="54"/>
      <c r="G174" s="54"/>
      <c r="H174" s="54"/>
      <c r="I174" s="54"/>
      <c r="J174" s="54"/>
      <c r="K174" s="54"/>
      <c r="L174" s="54"/>
      <c r="M174" s="54"/>
      <c r="N174" s="54"/>
      <c r="O174" s="54"/>
      <c r="P174" s="54"/>
      <c r="Q174" s="54"/>
      <c r="R174" s="54"/>
      <c r="S174" s="54"/>
      <c r="T174" s="54"/>
      <c r="U174" s="54"/>
      <c r="V174" s="54"/>
      <c r="W174" s="54"/>
      <c r="X174" s="54"/>
      <c r="Y174" s="54"/>
      <c r="Z174" s="54"/>
    </row>
    <row r="175" ht="26.25" customHeight="1">
      <c r="A175" s="54"/>
      <c r="B175" s="55"/>
      <c r="C175" s="54"/>
      <c r="D175" s="63"/>
      <c r="E175" s="54"/>
      <c r="F175" s="54"/>
      <c r="G175" s="54"/>
      <c r="H175" s="54"/>
      <c r="I175" s="54"/>
      <c r="J175" s="54"/>
      <c r="K175" s="54"/>
      <c r="L175" s="54"/>
      <c r="M175" s="54"/>
      <c r="N175" s="54"/>
      <c r="O175" s="54"/>
      <c r="P175" s="54"/>
      <c r="Q175" s="54"/>
      <c r="R175" s="54"/>
      <c r="S175" s="54"/>
      <c r="T175" s="54"/>
      <c r="U175" s="54"/>
      <c r="V175" s="54"/>
      <c r="W175" s="54"/>
      <c r="X175" s="54"/>
      <c r="Y175" s="54"/>
      <c r="Z175" s="54"/>
    </row>
    <row r="176" ht="26.25" customHeight="1">
      <c r="A176" s="54"/>
      <c r="B176" s="55"/>
      <c r="C176" s="54"/>
      <c r="D176" s="63"/>
      <c r="E176" s="54"/>
      <c r="F176" s="54"/>
      <c r="G176" s="54"/>
      <c r="H176" s="54"/>
      <c r="I176" s="54"/>
      <c r="J176" s="54"/>
      <c r="K176" s="54"/>
      <c r="L176" s="54"/>
      <c r="M176" s="54"/>
      <c r="N176" s="54"/>
      <c r="O176" s="54"/>
      <c r="P176" s="54"/>
      <c r="Q176" s="54"/>
      <c r="R176" s="54"/>
      <c r="S176" s="54"/>
      <c r="T176" s="54"/>
      <c r="U176" s="54"/>
      <c r="V176" s="54"/>
      <c r="W176" s="54"/>
      <c r="X176" s="54"/>
      <c r="Y176" s="54"/>
      <c r="Z176" s="54"/>
    </row>
    <row r="177" ht="26.25" customHeight="1">
      <c r="A177" s="54"/>
      <c r="B177" s="55"/>
      <c r="C177" s="54"/>
      <c r="D177" s="63"/>
      <c r="E177" s="54"/>
      <c r="F177" s="54"/>
      <c r="G177" s="54"/>
      <c r="H177" s="54"/>
      <c r="I177" s="54"/>
      <c r="J177" s="54"/>
      <c r="K177" s="54"/>
      <c r="L177" s="54"/>
      <c r="M177" s="54"/>
      <c r="N177" s="54"/>
      <c r="O177" s="54"/>
      <c r="P177" s="54"/>
      <c r="Q177" s="54"/>
      <c r="R177" s="54"/>
      <c r="S177" s="54"/>
      <c r="T177" s="54"/>
      <c r="U177" s="54"/>
      <c r="V177" s="54"/>
      <c r="W177" s="54"/>
      <c r="X177" s="54"/>
      <c r="Y177" s="54"/>
      <c r="Z177" s="54"/>
    </row>
    <row r="178" ht="26.25" customHeight="1">
      <c r="A178" s="54"/>
      <c r="B178" s="55"/>
      <c r="C178" s="54"/>
      <c r="D178" s="63"/>
      <c r="E178" s="54"/>
      <c r="F178" s="54"/>
      <c r="G178" s="54"/>
      <c r="H178" s="54"/>
      <c r="I178" s="54"/>
      <c r="J178" s="54"/>
      <c r="K178" s="54"/>
      <c r="L178" s="54"/>
      <c r="M178" s="54"/>
      <c r="N178" s="54"/>
      <c r="O178" s="54"/>
      <c r="P178" s="54"/>
      <c r="Q178" s="54"/>
      <c r="R178" s="54"/>
      <c r="S178" s="54"/>
      <c r="T178" s="54"/>
      <c r="U178" s="54"/>
      <c r="V178" s="54"/>
      <c r="W178" s="54"/>
      <c r="X178" s="54"/>
      <c r="Y178" s="54"/>
      <c r="Z178" s="54"/>
    </row>
    <row r="179" ht="26.25" customHeight="1">
      <c r="A179" s="54"/>
      <c r="B179" s="55"/>
      <c r="C179" s="54"/>
      <c r="D179" s="63"/>
      <c r="E179" s="54"/>
      <c r="F179" s="54"/>
      <c r="G179" s="54"/>
      <c r="H179" s="54"/>
      <c r="I179" s="54"/>
      <c r="J179" s="54"/>
      <c r="K179" s="54"/>
      <c r="L179" s="54"/>
      <c r="M179" s="54"/>
      <c r="N179" s="54"/>
      <c r="O179" s="54"/>
      <c r="P179" s="54"/>
      <c r="Q179" s="54"/>
      <c r="R179" s="54"/>
      <c r="S179" s="54"/>
      <c r="T179" s="54"/>
      <c r="U179" s="54"/>
      <c r="V179" s="54"/>
      <c r="W179" s="54"/>
      <c r="X179" s="54"/>
      <c r="Y179" s="54"/>
      <c r="Z179" s="54"/>
    </row>
    <row r="180" ht="26.25" customHeight="1">
      <c r="A180" s="54"/>
      <c r="B180" s="55"/>
      <c r="C180" s="54"/>
      <c r="D180" s="63"/>
      <c r="E180" s="54"/>
      <c r="F180" s="54"/>
      <c r="G180" s="54"/>
      <c r="H180" s="54"/>
      <c r="I180" s="54"/>
      <c r="J180" s="54"/>
      <c r="K180" s="54"/>
      <c r="L180" s="54"/>
      <c r="M180" s="54"/>
      <c r="N180" s="54"/>
      <c r="O180" s="54"/>
      <c r="P180" s="54"/>
      <c r="Q180" s="54"/>
      <c r="R180" s="54"/>
      <c r="S180" s="54"/>
      <c r="T180" s="54"/>
      <c r="U180" s="54"/>
      <c r="V180" s="54"/>
      <c r="W180" s="54"/>
      <c r="X180" s="54"/>
      <c r="Y180" s="54"/>
      <c r="Z180" s="54"/>
    </row>
    <row r="181" ht="26.25" customHeight="1">
      <c r="A181" s="54"/>
      <c r="B181" s="55"/>
      <c r="C181" s="54"/>
      <c r="D181" s="63"/>
      <c r="E181" s="54"/>
      <c r="F181" s="54"/>
      <c r="G181" s="54"/>
      <c r="H181" s="54"/>
      <c r="I181" s="54"/>
      <c r="J181" s="54"/>
      <c r="K181" s="54"/>
      <c r="L181" s="54"/>
      <c r="M181" s="54"/>
      <c r="N181" s="54"/>
      <c r="O181" s="54"/>
      <c r="P181" s="54"/>
      <c r="Q181" s="54"/>
      <c r="R181" s="54"/>
      <c r="S181" s="54"/>
      <c r="T181" s="54"/>
      <c r="U181" s="54"/>
      <c r="V181" s="54"/>
      <c r="W181" s="54"/>
      <c r="X181" s="54"/>
      <c r="Y181" s="54"/>
      <c r="Z181" s="54"/>
    </row>
    <row r="182" ht="26.25" customHeight="1">
      <c r="A182" s="54"/>
      <c r="B182" s="55"/>
      <c r="C182" s="54"/>
      <c r="D182" s="63"/>
      <c r="E182" s="54"/>
      <c r="F182" s="54"/>
      <c r="G182" s="54"/>
      <c r="H182" s="54"/>
      <c r="I182" s="54"/>
      <c r="J182" s="54"/>
      <c r="K182" s="54"/>
      <c r="L182" s="54"/>
      <c r="M182" s="54"/>
      <c r="N182" s="54"/>
      <c r="O182" s="54"/>
      <c r="P182" s="54"/>
      <c r="Q182" s="54"/>
      <c r="R182" s="54"/>
      <c r="S182" s="54"/>
      <c r="T182" s="54"/>
      <c r="U182" s="54"/>
      <c r="V182" s="54"/>
      <c r="W182" s="54"/>
      <c r="X182" s="54"/>
      <c r="Y182" s="54"/>
      <c r="Z182" s="54"/>
    </row>
    <row r="183" ht="26.25" customHeight="1">
      <c r="A183" s="54"/>
      <c r="B183" s="55"/>
      <c r="C183" s="54"/>
      <c r="D183" s="63"/>
      <c r="E183" s="54"/>
      <c r="F183" s="54"/>
      <c r="G183" s="54"/>
      <c r="H183" s="54"/>
      <c r="I183" s="54"/>
      <c r="J183" s="54"/>
      <c r="K183" s="54"/>
      <c r="L183" s="54"/>
      <c r="M183" s="54"/>
      <c r="N183" s="54"/>
      <c r="O183" s="54"/>
      <c r="P183" s="54"/>
      <c r="Q183" s="54"/>
      <c r="R183" s="54"/>
      <c r="S183" s="54"/>
      <c r="T183" s="54"/>
      <c r="U183" s="54"/>
      <c r="V183" s="54"/>
      <c r="W183" s="54"/>
      <c r="X183" s="54"/>
      <c r="Y183" s="54"/>
      <c r="Z183" s="54"/>
    </row>
    <row r="184" ht="26.25" customHeight="1">
      <c r="A184" s="54"/>
      <c r="B184" s="55"/>
      <c r="C184" s="54"/>
      <c r="D184" s="63"/>
      <c r="E184" s="54"/>
      <c r="F184" s="54"/>
      <c r="G184" s="54"/>
      <c r="H184" s="54"/>
      <c r="I184" s="54"/>
      <c r="J184" s="54"/>
      <c r="K184" s="54"/>
      <c r="L184" s="54"/>
      <c r="M184" s="54"/>
      <c r="N184" s="54"/>
      <c r="O184" s="54"/>
      <c r="P184" s="54"/>
      <c r="Q184" s="54"/>
      <c r="R184" s="54"/>
      <c r="S184" s="54"/>
      <c r="T184" s="54"/>
      <c r="U184" s="54"/>
      <c r="V184" s="54"/>
      <c r="W184" s="54"/>
      <c r="X184" s="54"/>
      <c r="Y184" s="54"/>
      <c r="Z184" s="54"/>
    </row>
    <row r="185" ht="26.25" customHeight="1">
      <c r="A185" s="54"/>
      <c r="B185" s="55"/>
      <c r="C185" s="54"/>
      <c r="D185" s="63"/>
      <c r="E185" s="54"/>
      <c r="F185" s="54"/>
      <c r="G185" s="54"/>
      <c r="H185" s="54"/>
      <c r="I185" s="54"/>
      <c r="J185" s="54"/>
      <c r="K185" s="54"/>
      <c r="L185" s="54"/>
      <c r="M185" s="54"/>
      <c r="N185" s="54"/>
      <c r="O185" s="54"/>
      <c r="P185" s="54"/>
      <c r="Q185" s="54"/>
      <c r="R185" s="54"/>
      <c r="S185" s="54"/>
      <c r="T185" s="54"/>
      <c r="U185" s="54"/>
      <c r="V185" s="54"/>
      <c r="W185" s="54"/>
      <c r="X185" s="54"/>
      <c r="Y185" s="54"/>
      <c r="Z185" s="54"/>
    </row>
    <row r="186" ht="26.25" customHeight="1">
      <c r="A186" s="54"/>
      <c r="B186" s="55"/>
      <c r="C186" s="54"/>
      <c r="D186" s="63"/>
      <c r="E186" s="54"/>
      <c r="F186" s="54"/>
      <c r="G186" s="54"/>
      <c r="H186" s="54"/>
      <c r="I186" s="54"/>
      <c r="J186" s="54"/>
      <c r="K186" s="54"/>
      <c r="L186" s="54"/>
      <c r="M186" s="54"/>
      <c r="N186" s="54"/>
      <c r="O186" s="54"/>
      <c r="P186" s="54"/>
      <c r="Q186" s="54"/>
      <c r="R186" s="54"/>
      <c r="S186" s="54"/>
      <c r="T186" s="54"/>
      <c r="U186" s="54"/>
      <c r="V186" s="54"/>
      <c r="W186" s="54"/>
      <c r="X186" s="54"/>
      <c r="Y186" s="54"/>
      <c r="Z186" s="54"/>
    </row>
    <row r="187" ht="26.25" customHeight="1">
      <c r="A187" s="54"/>
      <c r="B187" s="55"/>
      <c r="C187" s="54"/>
      <c r="D187" s="63"/>
      <c r="E187" s="54"/>
      <c r="F187" s="54"/>
      <c r="G187" s="54"/>
      <c r="H187" s="54"/>
      <c r="I187" s="54"/>
      <c r="J187" s="54"/>
      <c r="K187" s="54"/>
      <c r="L187" s="54"/>
      <c r="M187" s="54"/>
      <c r="N187" s="54"/>
      <c r="O187" s="54"/>
      <c r="P187" s="54"/>
      <c r="Q187" s="54"/>
      <c r="R187" s="54"/>
      <c r="S187" s="54"/>
      <c r="T187" s="54"/>
      <c r="U187" s="54"/>
      <c r="V187" s="54"/>
      <c r="W187" s="54"/>
      <c r="X187" s="54"/>
      <c r="Y187" s="54"/>
      <c r="Z187" s="54"/>
    </row>
    <row r="188" ht="26.25" customHeight="1">
      <c r="A188" s="54"/>
      <c r="B188" s="55"/>
      <c r="C188" s="54"/>
      <c r="D188" s="63"/>
      <c r="E188" s="54"/>
      <c r="F188" s="54"/>
      <c r="G188" s="54"/>
      <c r="H188" s="54"/>
      <c r="I188" s="54"/>
      <c r="J188" s="54"/>
      <c r="K188" s="54"/>
      <c r="L188" s="54"/>
      <c r="M188" s="54"/>
      <c r="N188" s="54"/>
      <c r="O188" s="54"/>
      <c r="P188" s="54"/>
      <c r="Q188" s="54"/>
      <c r="R188" s="54"/>
      <c r="S188" s="54"/>
      <c r="T188" s="54"/>
      <c r="U188" s="54"/>
      <c r="V188" s="54"/>
      <c r="W188" s="54"/>
      <c r="X188" s="54"/>
      <c r="Y188" s="54"/>
      <c r="Z188" s="54"/>
    </row>
    <row r="189" ht="26.25" customHeight="1">
      <c r="A189" s="54"/>
      <c r="B189" s="55"/>
      <c r="C189" s="54"/>
      <c r="D189" s="63"/>
      <c r="E189" s="54"/>
      <c r="F189" s="54"/>
      <c r="G189" s="54"/>
      <c r="H189" s="54"/>
      <c r="I189" s="54"/>
      <c r="J189" s="54"/>
      <c r="K189" s="54"/>
      <c r="L189" s="54"/>
      <c r="M189" s="54"/>
      <c r="N189" s="54"/>
      <c r="O189" s="54"/>
      <c r="P189" s="54"/>
      <c r="Q189" s="54"/>
      <c r="R189" s="54"/>
      <c r="S189" s="54"/>
      <c r="T189" s="54"/>
      <c r="U189" s="54"/>
      <c r="V189" s="54"/>
      <c r="W189" s="54"/>
      <c r="X189" s="54"/>
      <c r="Y189" s="54"/>
      <c r="Z189" s="54"/>
    </row>
    <row r="190" ht="26.25" customHeight="1">
      <c r="A190" s="54"/>
      <c r="B190" s="55"/>
      <c r="C190" s="54"/>
      <c r="D190" s="63"/>
      <c r="E190" s="54"/>
      <c r="F190" s="54"/>
      <c r="G190" s="54"/>
      <c r="H190" s="54"/>
      <c r="I190" s="54"/>
      <c r="J190" s="54"/>
      <c r="K190" s="54"/>
      <c r="L190" s="54"/>
      <c r="M190" s="54"/>
      <c r="N190" s="54"/>
      <c r="O190" s="54"/>
      <c r="P190" s="54"/>
      <c r="Q190" s="54"/>
      <c r="R190" s="54"/>
      <c r="S190" s="54"/>
      <c r="T190" s="54"/>
      <c r="U190" s="54"/>
      <c r="V190" s="54"/>
      <c r="W190" s="54"/>
      <c r="X190" s="54"/>
      <c r="Y190" s="54"/>
      <c r="Z190" s="54"/>
    </row>
    <row r="191" ht="26.25" customHeight="1">
      <c r="A191" s="54"/>
      <c r="B191" s="55"/>
      <c r="C191" s="54"/>
      <c r="D191" s="63"/>
      <c r="E191" s="54"/>
      <c r="F191" s="54"/>
      <c r="G191" s="54"/>
      <c r="H191" s="54"/>
      <c r="I191" s="54"/>
      <c r="J191" s="54"/>
      <c r="K191" s="54"/>
      <c r="L191" s="54"/>
      <c r="M191" s="54"/>
      <c r="N191" s="54"/>
      <c r="O191" s="54"/>
      <c r="P191" s="54"/>
      <c r="Q191" s="54"/>
      <c r="R191" s="54"/>
      <c r="S191" s="54"/>
      <c r="T191" s="54"/>
      <c r="U191" s="54"/>
      <c r="V191" s="54"/>
      <c r="W191" s="54"/>
      <c r="X191" s="54"/>
      <c r="Y191" s="54"/>
      <c r="Z191" s="54"/>
    </row>
    <row r="192" ht="26.25" customHeight="1">
      <c r="A192" s="54"/>
      <c r="B192" s="55"/>
      <c r="C192" s="54"/>
      <c r="D192" s="63"/>
      <c r="E192" s="54"/>
      <c r="F192" s="54"/>
      <c r="G192" s="54"/>
      <c r="H192" s="54"/>
      <c r="I192" s="54"/>
      <c r="J192" s="54"/>
      <c r="K192" s="54"/>
      <c r="L192" s="54"/>
      <c r="M192" s="54"/>
      <c r="N192" s="54"/>
      <c r="O192" s="54"/>
      <c r="P192" s="54"/>
      <c r="Q192" s="54"/>
      <c r="R192" s="54"/>
      <c r="S192" s="54"/>
      <c r="T192" s="54"/>
      <c r="U192" s="54"/>
      <c r="V192" s="54"/>
      <c r="W192" s="54"/>
      <c r="X192" s="54"/>
      <c r="Y192" s="54"/>
      <c r="Z192" s="54"/>
    </row>
    <row r="193" ht="26.25" customHeight="1">
      <c r="A193" s="54"/>
      <c r="B193" s="55"/>
      <c r="C193" s="54"/>
      <c r="D193" s="63"/>
      <c r="E193" s="54"/>
      <c r="F193" s="54"/>
      <c r="G193" s="54"/>
      <c r="H193" s="54"/>
      <c r="I193" s="54"/>
      <c r="J193" s="54"/>
      <c r="K193" s="54"/>
      <c r="L193" s="54"/>
      <c r="M193" s="54"/>
      <c r="N193" s="54"/>
      <c r="O193" s="54"/>
      <c r="P193" s="54"/>
      <c r="Q193" s="54"/>
      <c r="R193" s="54"/>
      <c r="S193" s="54"/>
      <c r="T193" s="54"/>
      <c r="U193" s="54"/>
      <c r="V193" s="54"/>
      <c r="W193" s="54"/>
      <c r="X193" s="54"/>
      <c r="Y193" s="54"/>
      <c r="Z193" s="54"/>
    </row>
    <row r="194" ht="26.25" customHeight="1">
      <c r="A194" s="54"/>
      <c r="B194" s="55"/>
      <c r="C194" s="54"/>
      <c r="D194" s="63"/>
      <c r="E194" s="54"/>
      <c r="F194" s="54"/>
      <c r="G194" s="54"/>
      <c r="H194" s="54"/>
      <c r="I194" s="54"/>
      <c r="J194" s="54"/>
      <c r="K194" s="54"/>
      <c r="L194" s="54"/>
      <c r="M194" s="54"/>
      <c r="N194" s="54"/>
      <c r="O194" s="54"/>
      <c r="P194" s="54"/>
      <c r="Q194" s="54"/>
      <c r="R194" s="54"/>
      <c r="S194" s="54"/>
      <c r="T194" s="54"/>
      <c r="U194" s="54"/>
      <c r="V194" s="54"/>
      <c r="W194" s="54"/>
      <c r="X194" s="54"/>
      <c r="Y194" s="54"/>
      <c r="Z194" s="54"/>
    </row>
    <row r="195" ht="26.25" customHeight="1">
      <c r="A195" s="54"/>
      <c r="B195" s="55"/>
      <c r="C195" s="54"/>
      <c r="D195" s="63"/>
      <c r="E195" s="54"/>
      <c r="F195" s="54"/>
      <c r="G195" s="54"/>
      <c r="H195" s="54"/>
      <c r="I195" s="54"/>
      <c r="J195" s="54"/>
      <c r="K195" s="54"/>
      <c r="L195" s="54"/>
      <c r="M195" s="54"/>
      <c r="N195" s="54"/>
      <c r="O195" s="54"/>
      <c r="P195" s="54"/>
      <c r="Q195" s="54"/>
      <c r="R195" s="54"/>
      <c r="S195" s="54"/>
      <c r="T195" s="54"/>
      <c r="U195" s="54"/>
      <c r="V195" s="54"/>
      <c r="W195" s="54"/>
      <c r="X195" s="54"/>
      <c r="Y195" s="54"/>
      <c r="Z195" s="54"/>
    </row>
    <row r="196" ht="26.25" customHeight="1">
      <c r="A196" s="54"/>
      <c r="B196" s="55"/>
      <c r="C196" s="54"/>
      <c r="D196" s="63"/>
      <c r="E196" s="54"/>
      <c r="F196" s="54"/>
      <c r="G196" s="54"/>
      <c r="H196" s="54"/>
      <c r="I196" s="54"/>
      <c r="J196" s="54"/>
      <c r="K196" s="54"/>
      <c r="L196" s="54"/>
      <c r="M196" s="54"/>
      <c r="N196" s="54"/>
      <c r="O196" s="54"/>
      <c r="P196" s="54"/>
      <c r="Q196" s="54"/>
      <c r="R196" s="54"/>
      <c r="S196" s="54"/>
      <c r="T196" s="54"/>
      <c r="U196" s="54"/>
      <c r="V196" s="54"/>
      <c r="W196" s="54"/>
      <c r="X196" s="54"/>
      <c r="Y196" s="54"/>
      <c r="Z196" s="54"/>
    </row>
    <row r="197" ht="26.25" customHeight="1">
      <c r="A197" s="54"/>
      <c r="B197" s="55"/>
      <c r="C197" s="54"/>
      <c r="D197" s="63"/>
      <c r="E197" s="54"/>
      <c r="F197" s="54"/>
      <c r="G197" s="54"/>
      <c r="H197" s="54"/>
      <c r="I197" s="54"/>
      <c r="J197" s="54"/>
      <c r="K197" s="54"/>
      <c r="L197" s="54"/>
      <c r="M197" s="54"/>
      <c r="N197" s="54"/>
      <c r="O197" s="54"/>
      <c r="P197" s="54"/>
      <c r="Q197" s="54"/>
      <c r="R197" s="54"/>
      <c r="S197" s="54"/>
      <c r="T197" s="54"/>
      <c r="U197" s="54"/>
      <c r="V197" s="54"/>
      <c r="W197" s="54"/>
      <c r="X197" s="54"/>
      <c r="Y197" s="54"/>
      <c r="Z197" s="54"/>
    </row>
    <row r="198" ht="26.25" customHeight="1">
      <c r="A198" s="54"/>
      <c r="B198" s="55"/>
      <c r="C198" s="54"/>
      <c r="D198" s="63"/>
      <c r="E198" s="54"/>
      <c r="F198" s="54"/>
      <c r="G198" s="54"/>
      <c r="H198" s="54"/>
      <c r="I198" s="54"/>
      <c r="J198" s="54"/>
      <c r="K198" s="54"/>
      <c r="L198" s="54"/>
      <c r="M198" s="54"/>
      <c r="N198" s="54"/>
      <c r="O198" s="54"/>
      <c r="P198" s="54"/>
      <c r="Q198" s="54"/>
      <c r="R198" s="54"/>
      <c r="S198" s="54"/>
      <c r="T198" s="54"/>
      <c r="U198" s="54"/>
      <c r="V198" s="54"/>
      <c r="W198" s="54"/>
      <c r="X198" s="54"/>
      <c r="Y198" s="54"/>
      <c r="Z198" s="54"/>
    </row>
    <row r="199" ht="26.25" customHeight="1">
      <c r="A199" s="54"/>
      <c r="B199" s="55"/>
      <c r="C199" s="54"/>
      <c r="D199" s="63"/>
      <c r="E199" s="54"/>
      <c r="F199" s="54"/>
      <c r="G199" s="54"/>
      <c r="H199" s="54"/>
      <c r="I199" s="54"/>
      <c r="J199" s="54"/>
      <c r="K199" s="54"/>
      <c r="L199" s="54"/>
      <c r="M199" s="54"/>
      <c r="N199" s="54"/>
      <c r="O199" s="54"/>
      <c r="P199" s="54"/>
      <c r="Q199" s="54"/>
      <c r="R199" s="54"/>
      <c r="S199" s="54"/>
      <c r="T199" s="54"/>
      <c r="U199" s="54"/>
      <c r="V199" s="54"/>
      <c r="W199" s="54"/>
      <c r="X199" s="54"/>
      <c r="Y199" s="54"/>
      <c r="Z199" s="54"/>
    </row>
    <row r="200" ht="26.25" customHeight="1">
      <c r="A200" s="54"/>
      <c r="B200" s="55"/>
      <c r="C200" s="54"/>
      <c r="D200" s="63"/>
      <c r="E200" s="54"/>
      <c r="F200" s="54"/>
      <c r="G200" s="54"/>
      <c r="H200" s="54"/>
      <c r="I200" s="54"/>
      <c r="J200" s="54"/>
      <c r="K200" s="54"/>
      <c r="L200" s="54"/>
      <c r="M200" s="54"/>
      <c r="N200" s="54"/>
      <c r="O200" s="54"/>
      <c r="P200" s="54"/>
      <c r="Q200" s="54"/>
      <c r="R200" s="54"/>
      <c r="S200" s="54"/>
      <c r="T200" s="54"/>
      <c r="U200" s="54"/>
      <c r="V200" s="54"/>
      <c r="W200" s="54"/>
      <c r="X200" s="54"/>
      <c r="Y200" s="54"/>
      <c r="Z200" s="54"/>
    </row>
    <row r="201" ht="26.25" customHeight="1">
      <c r="A201" s="54"/>
      <c r="B201" s="55"/>
      <c r="C201" s="54"/>
      <c r="D201" s="63"/>
      <c r="E201" s="54"/>
      <c r="F201" s="54"/>
      <c r="G201" s="54"/>
      <c r="H201" s="54"/>
      <c r="I201" s="54"/>
      <c r="J201" s="54"/>
      <c r="K201" s="54"/>
      <c r="L201" s="54"/>
      <c r="M201" s="54"/>
      <c r="N201" s="54"/>
      <c r="O201" s="54"/>
      <c r="P201" s="54"/>
      <c r="Q201" s="54"/>
      <c r="R201" s="54"/>
      <c r="S201" s="54"/>
      <c r="T201" s="54"/>
      <c r="U201" s="54"/>
      <c r="V201" s="54"/>
      <c r="W201" s="54"/>
      <c r="X201" s="54"/>
      <c r="Y201" s="54"/>
      <c r="Z201" s="54"/>
    </row>
    <row r="202" ht="26.25" customHeight="1">
      <c r="A202" s="54"/>
      <c r="B202" s="55"/>
      <c r="C202" s="54"/>
      <c r="D202" s="63"/>
      <c r="E202" s="54"/>
      <c r="F202" s="54"/>
      <c r="G202" s="54"/>
      <c r="H202" s="54"/>
      <c r="I202" s="54"/>
      <c r="J202" s="54"/>
      <c r="K202" s="54"/>
      <c r="L202" s="54"/>
      <c r="M202" s="54"/>
      <c r="N202" s="54"/>
      <c r="O202" s="54"/>
      <c r="P202" s="54"/>
      <c r="Q202" s="54"/>
      <c r="R202" s="54"/>
      <c r="S202" s="54"/>
      <c r="T202" s="54"/>
      <c r="U202" s="54"/>
      <c r="V202" s="54"/>
      <c r="W202" s="54"/>
      <c r="X202" s="54"/>
      <c r="Y202" s="54"/>
      <c r="Z202" s="54"/>
    </row>
    <row r="203" ht="26.25" customHeight="1">
      <c r="A203" s="54"/>
      <c r="B203" s="55"/>
      <c r="C203" s="54"/>
      <c r="D203" s="63"/>
      <c r="E203" s="54"/>
      <c r="F203" s="54"/>
      <c r="G203" s="54"/>
      <c r="H203" s="54"/>
      <c r="I203" s="54"/>
      <c r="J203" s="54"/>
      <c r="K203" s="54"/>
      <c r="L203" s="54"/>
      <c r="M203" s="54"/>
      <c r="N203" s="54"/>
      <c r="O203" s="54"/>
      <c r="P203" s="54"/>
      <c r="Q203" s="54"/>
      <c r="R203" s="54"/>
      <c r="S203" s="54"/>
      <c r="T203" s="54"/>
      <c r="U203" s="54"/>
      <c r="V203" s="54"/>
      <c r="W203" s="54"/>
      <c r="X203" s="54"/>
      <c r="Y203" s="54"/>
      <c r="Z203" s="54"/>
    </row>
    <row r="204" ht="26.25" customHeight="1">
      <c r="A204" s="54"/>
      <c r="B204" s="55"/>
      <c r="C204" s="54"/>
      <c r="D204" s="63"/>
      <c r="E204" s="54"/>
      <c r="F204" s="54"/>
      <c r="G204" s="54"/>
      <c r="H204" s="54"/>
      <c r="I204" s="54"/>
      <c r="J204" s="54"/>
      <c r="K204" s="54"/>
      <c r="L204" s="54"/>
      <c r="M204" s="54"/>
      <c r="N204" s="54"/>
      <c r="O204" s="54"/>
      <c r="P204" s="54"/>
      <c r="Q204" s="54"/>
      <c r="R204" s="54"/>
      <c r="S204" s="54"/>
      <c r="T204" s="54"/>
      <c r="U204" s="54"/>
      <c r="V204" s="54"/>
      <c r="W204" s="54"/>
      <c r="X204" s="54"/>
      <c r="Y204" s="54"/>
      <c r="Z204" s="54"/>
    </row>
    <row r="205" ht="26.25" customHeight="1">
      <c r="A205" s="54"/>
      <c r="B205" s="55"/>
      <c r="C205" s="54"/>
      <c r="D205" s="63"/>
      <c r="E205" s="54"/>
      <c r="F205" s="54"/>
      <c r="G205" s="54"/>
      <c r="H205" s="54"/>
      <c r="I205" s="54"/>
      <c r="J205" s="54"/>
      <c r="K205" s="54"/>
      <c r="L205" s="54"/>
      <c r="M205" s="54"/>
      <c r="N205" s="54"/>
      <c r="O205" s="54"/>
      <c r="P205" s="54"/>
      <c r="Q205" s="54"/>
      <c r="R205" s="54"/>
      <c r="S205" s="54"/>
      <c r="T205" s="54"/>
      <c r="U205" s="54"/>
      <c r="V205" s="54"/>
      <c r="W205" s="54"/>
      <c r="X205" s="54"/>
      <c r="Y205" s="54"/>
      <c r="Z205" s="54"/>
    </row>
    <row r="206" ht="26.25" customHeight="1">
      <c r="A206" s="54"/>
      <c r="B206" s="55"/>
      <c r="C206" s="54"/>
      <c r="D206" s="63"/>
      <c r="E206" s="54"/>
      <c r="F206" s="54"/>
      <c r="G206" s="54"/>
      <c r="H206" s="54"/>
      <c r="I206" s="54"/>
      <c r="J206" s="54"/>
      <c r="K206" s="54"/>
      <c r="L206" s="54"/>
      <c r="M206" s="54"/>
      <c r="N206" s="54"/>
      <c r="O206" s="54"/>
      <c r="P206" s="54"/>
      <c r="Q206" s="54"/>
      <c r="R206" s="54"/>
      <c r="S206" s="54"/>
      <c r="T206" s="54"/>
      <c r="U206" s="54"/>
      <c r="V206" s="54"/>
      <c r="W206" s="54"/>
      <c r="X206" s="54"/>
      <c r="Y206" s="54"/>
      <c r="Z206" s="54"/>
    </row>
    <row r="207" ht="26.25" customHeight="1">
      <c r="A207" s="54"/>
      <c r="B207" s="55"/>
      <c r="C207" s="54"/>
      <c r="D207" s="63"/>
      <c r="E207" s="54"/>
      <c r="F207" s="54"/>
      <c r="G207" s="54"/>
      <c r="H207" s="54"/>
      <c r="I207" s="54"/>
      <c r="J207" s="54"/>
      <c r="K207" s="54"/>
      <c r="L207" s="54"/>
      <c r="M207" s="54"/>
      <c r="N207" s="54"/>
      <c r="O207" s="54"/>
      <c r="P207" s="54"/>
      <c r="Q207" s="54"/>
      <c r="R207" s="54"/>
      <c r="S207" s="54"/>
      <c r="T207" s="54"/>
      <c r="U207" s="54"/>
      <c r="V207" s="54"/>
      <c r="W207" s="54"/>
      <c r="X207" s="54"/>
      <c r="Y207" s="54"/>
      <c r="Z207" s="54"/>
    </row>
    <row r="208" ht="26.25" customHeight="1">
      <c r="A208" s="54"/>
      <c r="B208" s="55"/>
      <c r="C208" s="54"/>
      <c r="D208" s="63"/>
      <c r="E208" s="54"/>
      <c r="F208" s="54"/>
      <c r="G208" s="54"/>
      <c r="H208" s="54"/>
      <c r="I208" s="54"/>
      <c r="J208" s="54"/>
      <c r="K208" s="54"/>
      <c r="L208" s="54"/>
      <c r="M208" s="54"/>
      <c r="N208" s="54"/>
      <c r="O208" s="54"/>
      <c r="P208" s="54"/>
      <c r="Q208" s="54"/>
      <c r="R208" s="54"/>
      <c r="S208" s="54"/>
      <c r="T208" s="54"/>
      <c r="U208" s="54"/>
      <c r="V208" s="54"/>
      <c r="W208" s="54"/>
      <c r="X208" s="54"/>
      <c r="Y208" s="54"/>
      <c r="Z208" s="54"/>
    </row>
    <row r="209" ht="26.25" customHeight="1">
      <c r="A209" s="54"/>
      <c r="B209" s="55"/>
      <c r="C209" s="54"/>
      <c r="D209" s="63"/>
      <c r="E209" s="54"/>
      <c r="F209" s="54"/>
      <c r="G209" s="54"/>
      <c r="H209" s="54"/>
      <c r="I209" s="54"/>
      <c r="J209" s="54"/>
      <c r="K209" s="54"/>
      <c r="L209" s="54"/>
      <c r="M209" s="54"/>
      <c r="N209" s="54"/>
      <c r="O209" s="54"/>
      <c r="P209" s="54"/>
      <c r="Q209" s="54"/>
      <c r="R209" s="54"/>
      <c r="S209" s="54"/>
      <c r="T209" s="54"/>
      <c r="U209" s="54"/>
      <c r="V209" s="54"/>
      <c r="W209" s="54"/>
      <c r="X209" s="54"/>
      <c r="Y209" s="54"/>
      <c r="Z209" s="54"/>
    </row>
    <row r="210" ht="26.25" customHeight="1">
      <c r="A210" s="54"/>
      <c r="B210" s="55"/>
      <c r="C210" s="54"/>
      <c r="D210" s="63"/>
      <c r="E210" s="54"/>
      <c r="F210" s="54"/>
      <c r="G210" s="54"/>
      <c r="H210" s="54"/>
      <c r="I210" s="54"/>
      <c r="J210" s="54"/>
      <c r="K210" s="54"/>
      <c r="L210" s="54"/>
      <c r="M210" s="54"/>
      <c r="N210" s="54"/>
      <c r="O210" s="54"/>
      <c r="P210" s="54"/>
      <c r="Q210" s="54"/>
      <c r="R210" s="54"/>
      <c r="S210" s="54"/>
      <c r="T210" s="54"/>
      <c r="U210" s="54"/>
      <c r="V210" s="54"/>
      <c r="W210" s="54"/>
      <c r="X210" s="54"/>
      <c r="Y210" s="54"/>
      <c r="Z210" s="54"/>
    </row>
    <row r="211" ht="26.25" customHeight="1">
      <c r="A211" s="54"/>
      <c r="B211" s="55"/>
      <c r="C211" s="54"/>
      <c r="D211" s="63"/>
      <c r="E211" s="54"/>
      <c r="F211" s="54"/>
      <c r="G211" s="54"/>
      <c r="H211" s="54"/>
      <c r="I211" s="54"/>
      <c r="J211" s="54"/>
      <c r="K211" s="54"/>
      <c r="L211" s="54"/>
      <c r="M211" s="54"/>
      <c r="N211" s="54"/>
      <c r="O211" s="54"/>
      <c r="P211" s="54"/>
      <c r="Q211" s="54"/>
      <c r="R211" s="54"/>
      <c r="S211" s="54"/>
      <c r="T211" s="54"/>
      <c r="U211" s="54"/>
      <c r="V211" s="54"/>
      <c r="W211" s="54"/>
      <c r="X211" s="54"/>
      <c r="Y211" s="54"/>
      <c r="Z211" s="54"/>
    </row>
    <row r="212" ht="26.25" customHeight="1">
      <c r="A212" s="54"/>
      <c r="B212" s="55"/>
      <c r="C212" s="54"/>
      <c r="D212" s="63"/>
      <c r="E212" s="54"/>
      <c r="F212" s="54"/>
      <c r="G212" s="54"/>
      <c r="H212" s="54"/>
      <c r="I212" s="54"/>
      <c r="J212" s="54"/>
      <c r="K212" s="54"/>
      <c r="L212" s="54"/>
      <c r="M212" s="54"/>
      <c r="N212" s="54"/>
      <c r="O212" s="54"/>
      <c r="P212" s="54"/>
      <c r="Q212" s="54"/>
      <c r="R212" s="54"/>
      <c r="S212" s="54"/>
      <c r="T212" s="54"/>
      <c r="U212" s="54"/>
      <c r="V212" s="54"/>
      <c r="W212" s="54"/>
      <c r="X212" s="54"/>
      <c r="Y212" s="54"/>
      <c r="Z212" s="54"/>
    </row>
    <row r="213" ht="26.25" customHeight="1">
      <c r="A213" s="54"/>
      <c r="B213" s="55"/>
      <c r="C213" s="54"/>
      <c r="D213" s="63"/>
      <c r="E213" s="54"/>
      <c r="F213" s="54"/>
      <c r="G213" s="54"/>
      <c r="H213" s="54"/>
      <c r="I213" s="54"/>
      <c r="J213" s="54"/>
      <c r="K213" s="54"/>
      <c r="L213" s="54"/>
      <c r="M213" s="54"/>
      <c r="N213" s="54"/>
      <c r="O213" s="54"/>
      <c r="P213" s="54"/>
      <c r="Q213" s="54"/>
      <c r="R213" s="54"/>
      <c r="S213" s="54"/>
      <c r="T213" s="54"/>
      <c r="U213" s="54"/>
      <c r="V213" s="54"/>
      <c r="W213" s="54"/>
      <c r="X213" s="54"/>
      <c r="Y213" s="54"/>
      <c r="Z213" s="54"/>
    </row>
    <row r="214" ht="26.25" customHeight="1">
      <c r="A214" s="54"/>
      <c r="B214" s="55"/>
      <c r="C214" s="54"/>
      <c r="D214" s="63"/>
      <c r="E214" s="54"/>
      <c r="F214" s="54"/>
      <c r="G214" s="54"/>
      <c r="H214" s="54"/>
      <c r="I214" s="54"/>
      <c r="J214" s="54"/>
      <c r="K214" s="54"/>
      <c r="L214" s="54"/>
      <c r="M214" s="54"/>
      <c r="N214" s="54"/>
      <c r="O214" s="54"/>
      <c r="P214" s="54"/>
      <c r="Q214" s="54"/>
      <c r="R214" s="54"/>
      <c r="S214" s="54"/>
      <c r="T214" s="54"/>
      <c r="U214" s="54"/>
      <c r="V214" s="54"/>
      <c r="W214" s="54"/>
      <c r="X214" s="54"/>
      <c r="Y214" s="54"/>
      <c r="Z214" s="54"/>
    </row>
    <row r="215" ht="26.25" customHeight="1">
      <c r="A215" s="54"/>
      <c r="B215" s="55"/>
      <c r="C215" s="54"/>
      <c r="D215" s="63"/>
      <c r="E215" s="54"/>
      <c r="F215" s="54"/>
      <c r="G215" s="54"/>
      <c r="H215" s="54"/>
      <c r="I215" s="54"/>
      <c r="J215" s="54"/>
      <c r="K215" s="54"/>
      <c r="L215" s="54"/>
      <c r="M215" s="54"/>
      <c r="N215" s="54"/>
      <c r="O215" s="54"/>
      <c r="P215" s="54"/>
      <c r="Q215" s="54"/>
      <c r="R215" s="54"/>
      <c r="S215" s="54"/>
      <c r="T215" s="54"/>
      <c r="U215" s="54"/>
      <c r="V215" s="54"/>
      <c r="W215" s="54"/>
      <c r="X215" s="54"/>
      <c r="Y215" s="54"/>
      <c r="Z215" s="54"/>
    </row>
    <row r="216" ht="26.25" customHeight="1">
      <c r="A216" s="54"/>
      <c r="B216" s="55"/>
      <c r="C216" s="54"/>
      <c r="D216" s="63"/>
      <c r="E216" s="54"/>
      <c r="F216" s="54"/>
      <c r="G216" s="54"/>
      <c r="H216" s="54"/>
      <c r="I216" s="54"/>
      <c r="J216" s="54"/>
      <c r="K216" s="54"/>
      <c r="L216" s="54"/>
      <c r="M216" s="54"/>
      <c r="N216" s="54"/>
      <c r="O216" s="54"/>
      <c r="P216" s="54"/>
      <c r="Q216" s="54"/>
      <c r="R216" s="54"/>
      <c r="S216" s="54"/>
      <c r="T216" s="54"/>
      <c r="U216" s="54"/>
      <c r="V216" s="54"/>
      <c r="W216" s="54"/>
      <c r="X216" s="54"/>
      <c r="Y216" s="54"/>
      <c r="Z216" s="54"/>
    </row>
    <row r="217" ht="26.25" customHeight="1">
      <c r="A217" s="54"/>
      <c r="B217" s="55"/>
      <c r="C217" s="54"/>
      <c r="D217" s="63"/>
      <c r="E217" s="54"/>
      <c r="F217" s="54"/>
      <c r="G217" s="54"/>
      <c r="H217" s="54"/>
      <c r="I217" s="54"/>
      <c r="J217" s="54"/>
      <c r="K217" s="54"/>
      <c r="L217" s="54"/>
      <c r="M217" s="54"/>
      <c r="N217" s="54"/>
      <c r="O217" s="54"/>
      <c r="P217" s="54"/>
      <c r="Q217" s="54"/>
      <c r="R217" s="54"/>
      <c r="S217" s="54"/>
      <c r="T217" s="54"/>
      <c r="U217" s="54"/>
      <c r="V217" s="54"/>
      <c r="W217" s="54"/>
      <c r="X217" s="54"/>
      <c r="Y217" s="54"/>
      <c r="Z217" s="54"/>
    </row>
    <row r="218" ht="26.25" customHeight="1">
      <c r="A218" s="54"/>
      <c r="B218" s="55"/>
      <c r="C218" s="54"/>
      <c r="D218" s="63"/>
      <c r="E218" s="54"/>
      <c r="F218" s="54"/>
      <c r="G218" s="54"/>
      <c r="H218" s="54"/>
      <c r="I218" s="54"/>
      <c r="J218" s="54"/>
      <c r="K218" s="54"/>
      <c r="L218" s="54"/>
      <c r="M218" s="54"/>
      <c r="N218" s="54"/>
      <c r="O218" s="54"/>
      <c r="P218" s="54"/>
      <c r="Q218" s="54"/>
      <c r="R218" s="54"/>
      <c r="S218" s="54"/>
      <c r="T218" s="54"/>
      <c r="U218" s="54"/>
      <c r="V218" s="54"/>
      <c r="W218" s="54"/>
      <c r="X218" s="54"/>
      <c r="Y218" s="54"/>
      <c r="Z218" s="54"/>
    </row>
    <row r="219" ht="26.25" customHeight="1">
      <c r="A219" s="54"/>
      <c r="B219" s="55"/>
      <c r="C219" s="54"/>
      <c r="D219" s="63"/>
      <c r="E219" s="54"/>
      <c r="F219" s="54"/>
      <c r="G219" s="54"/>
      <c r="H219" s="54"/>
      <c r="I219" s="54"/>
      <c r="J219" s="54"/>
      <c r="K219" s="54"/>
      <c r="L219" s="54"/>
      <c r="M219" s="54"/>
      <c r="N219" s="54"/>
      <c r="O219" s="54"/>
      <c r="P219" s="54"/>
      <c r="Q219" s="54"/>
      <c r="R219" s="54"/>
      <c r="S219" s="54"/>
      <c r="T219" s="54"/>
      <c r="U219" s="54"/>
      <c r="V219" s="54"/>
      <c r="W219" s="54"/>
      <c r="X219" s="54"/>
      <c r="Y219" s="54"/>
      <c r="Z219" s="54"/>
    </row>
    <row r="220" ht="26.25" customHeight="1">
      <c r="A220" s="54"/>
      <c r="B220" s="55"/>
      <c r="C220" s="54"/>
      <c r="D220" s="63"/>
      <c r="E220" s="54"/>
      <c r="F220" s="54"/>
      <c r="G220" s="54"/>
      <c r="H220" s="54"/>
      <c r="I220" s="54"/>
      <c r="J220" s="54"/>
      <c r="K220" s="54"/>
      <c r="L220" s="54"/>
      <c r="M220" s="54"/>
      <c r="N220" s="54"/>
      <c r="O220" s="54"/>
      <c r="P220" s="54"/>
      <c r="Q220" s="54"/>
      <c r="R220" s="54"/>
      <c r="S220" s="54"/>
      <c r="T220" s="54"/>
      <c r="U220" s="54"/>
      <c r="V220" s="54"/>
      <c r="W220" s="54"/>
      <c r="X220" s="54"/>
      <c r="Y220" s="54"/>
      <c r="Z220" s="54"/>
    </row>
    <row r="221" ht="26.25" customHeight="1">
      <c r="A221" s="54"/>
      <c r="B221" s="55"/>
      <c r="C221" s="54"/>
      <c r="D221" s="63"/>
      <c r="E221" s="54"/>
      <c r="F221" s="54"/>
      <c r="G221" s="54"/>
      <c r="H221" s="54"/>
      <c r="I221" s="54"/>
      <c r="J221" s="54"/>
      <c r="K221" s="54"/>
      <c r="L221" s="54"/>
      <c r="M221" s="54"/>
      <c r="N221" s="54"/>
      <c r="O221" s="54"/>
      <c r="P221" s="54"/>
      <c r="Q221" s="54"/>
      <c r="R221" s="54"/>
      <c r="S221" s="54"/>
      <c r="T221" s="54"/>
      <c r="U221" s="54"/>
      <c r="V221" s="54"/>
      <c r="W221" s="54"/>
      <c r="X221" s="54"/>
      <c r="Y221" s="54"/>
      <c r="Z221" s="54"/>
    </row>
    <row r="222" ht="26.25" customHeight="1">
      <c r="A222" s="54"/>
      <c r="B222" s="55"/>
      <c r="C222" s="54"/>
      <c r="D222" s="63"/>
      <c r="E222" s="54"/>
      <c r="F222" s="54"/>
      <c r="G222" s="54"/>
      <c r="H222" s="54"/>
      <c r="I222" s="54"/>
      <c r="J222" s="54"/>
      <c r="K222" s="54"/>
      <c r="L222" s="54"/>
      <c r="M222" s="54"/>
      <c r="N222" s="54"/>
      <c r="O222" s="54"/>
      <c r="P222" s="54"/>
      <c r="Q222" s="54"/>
      <c r="R222" s="54"/>
      <c r="S222" s="54"/>
      <c r="T222" s="54"/>
      <c r="U222" s="54"/>
      <c r="V222" s="54"/>
      <c r="W222" s="54"/>
      <c r="X222" s="54"/>
      <c r="Y222" s="54"/>
      <c r="Z222" s="54"/>
    </row>
    <row r="223" ht="26.25" customHeight="1">
      <c r="A223" s="54"/>
      <c r="B223" s="55"/>
      <c r="C223" s="54"/>
      <c r="D223" s="63"/>
      <c r="E223" s="54"/>
      <c r="F223" s="54"/>
      <c r="G223" s="54"/>
      <c r="H223" s="54"/>
      <c r="I223" s="54"/>
      <c r="J223" s="54"/>
      <c r="K223" s="54"/>
      <c r="L223" s="54"/>
      <c r="M223" s="54"/>
      <c r="N223" s="54"/>
      <c r="O223" s="54"/>
      <c r="P223" s="54"/>
      <c r="Q223" s="54"/>
      <c r="R223" s="54"/>
      <c r="S223" s="54"/>
      <c r="T223" s="54"/>
      <c r="U223" s="54"/>
      <c r="V223" s="54"/>
      <c r="W223" s="54"/>
      <c r="X223" s="54"/>
      <c r="Y223" s="54"/>
      <c r="Z223" s="54"/>
    </row>
    <row r="224" ht="26.25" customHeight="1">
      <c r="A224" s="54"/>
      <c r="B224" s="55"/>
      <c r="C224" s="54"/>
      <c r="D224" s="63"/>
      <c r="E224" s="54"/>
      <c r="F224" s="54"/>
      <c r="G224" s="54"/>
      <c r="H224" s="54"/>
      <c r="I224" s="54"/>
      <c r="J224" s="54"/>
      <c r="K224" s="54"/>
      <c r="L224" s="54"/>
      <c r="M224" s="54"/>
      <c r="N224" s="54"/>
      <c r="O224" s="54"/>
      <c r="P224" s="54"/>
      <c r="Q224" s="54"/>
      <c r="R224" s="54"/>
      <c r="S224" s="54"/>
      <c r="T224" s="54"/>
      <c r="U224" s="54"/>
      <c r="V224" s="54"/>
      <c r="W224" s="54"/>
      <c r="X224" s="54"/>
      <c r="Y224" s="54"/>
      <c r="Z224" s="54"/>
    </row>
    <row r="225" ht="26.25" customHeight="1">
      <c r="A225" s="54"/>
      <c r="B225" s="55"/>
      <c r="C225" s="54"/>
      <c r="D225" s="63"/>
      <c r="E225" s="54"/>
      <c r="F225" s="54"/>
      <c r="G225" s="54"/>
      <c r="H225" s="54"/>
      <c r="I225" s="54"/>
      <c r="J225" s="54"/>
      <c r="K225" s="54"/>
      <c r="L225" s="54"/>
      <c r="M225" s="54"/>
      <c r="N225" s="54"/>
      <c r="O225" s="54"/>
      <c r="P225" s="54"/>
      <c r="Q225" s="54"/>
      <c r="R225" s="54"/>
      <c r="S225" s="54"/>
      <c r="T225" s="54"/>
      <c r="U225" s="54"/>
      <c r="V225" s="54"/>
      <c r="W225" s="54"/>
      <c r="X225" s="54"/>
      <c r="Y225" s="54"/>
      <c r="Z225" s="54"/>
    </row>
    <row r="226" ht="26.25" customHeight="1">
      <c r="A226" s="54"/>
      <c r="B226" s="55"/>
      <c r="C226" s="54"/>
      <c r="D226" s="63"/>
      <c r="E226" s="54"/>
      <c r="F226" s="54"/>
      <c r="G226" s="54"/>
      <c r="H226" s="54"/>
      <c r="I226" s="54"/>
      <c r="J226" s="54"/>
      <c r="K226" s="54"/>
      <c r="L226" s="54"/>
      <c r="M226" s="54"/>
      <c r="N226" s="54"/>
      <c r="O226" s="54"/>
      <c r="P226" s="54"/>
      <c r="Q226" s="54"/>
      <c r="R226" s="54"/>
      <c r="S226" s="54"/>
      <c r="T226" s="54"/>
      <c r="U226" s="54"/>
      <c r="V226" s="54"/>
      <c r="W226" s="54"/>
      <c r="X226" s="54"/>
      <c r="Y226" s="54"/>
      <c r="Z226" s="54"/>
    </row>
    <row r="227" ht="26.25" customHeight="1">
      <c r="A227" s="54"/>
      <c r="B227" s="55"/>
      <c r="C227" s="54"/>
      <c r="D227" s="63"/>
      <c r="E227" s="54"/>
      <c r="F227" s="54"/>
      <c r="G227" s="54"/>
      <c r="H227" s="54"/>
      <c r="I227" s="54"/>
      <c r="J227" s="54"/>
      <c r="K227" s="54"/>
      <c r="L227" s="54"/>
      <c r="M227" s="54"/>
      <c r="N227" s="54"/>
      <c r="O227" s="54"/>
      <c r="P227" s="54"/>
      <c r="Q227" s="54"/>
      <c r="R227" s="54"/>
      <c r="S227" s="54"/>
      <c r="T227" s="54"/>
      <c r="U227" s="54"/>
      <c r="V227" s="54"/>
      <c r="W227" s="54"/>
      <c r="X227" s="54"/>
      <c r="Y227" s="54"/>
      <c r="Z227" s="54"/>
    </row>
    <row r="228" ht="26.25" customHeight="1">
      <c r="A228" s="54"/>
      <c r="B228" s="55"/>
      <c r="C228" s="54"/>
      <c r="D228" s="63"/>
      <c r="E228" s="54"/>
      <c r="F228" s="54"/>
      <c r="G228" s="54"/>
      <c r="H228" s="54"/>
      <c r="I228" s="54"/>
      <c r="J228" s="54"/>
      <c r="K228" s="54"/>
      <c r="L228" s="54"/>
      <c r="M228" s="54"/>
      <c r="N228" s="54"/>
      <c r="O228" s="54"/>
      <c r="P228" s="54"/>
      <c r="Q228" s="54"/>
      <c r="R228" s="54"/>
      <c r="S228" s="54"/>
      <c r="T228" s="54"/>
      <c r="U228" s="54"/>
      <c r="V228" s="54"/>
      <c r="W228" s="54"/>
      <c r="X228" s="54"/>
      <c r="Y228" s="54"/>
      <c r="Z228" s="54"/>
    </row>
    <row r="229" ht="26.25" customHeight="1">
      <c r="A229" s="54"/>
      <c r="B229" s="55"/>
      <c r="C229" s="54"/>
      <c r="D229" s="63"/>
      <c r="E229" s="54"/>
      <c r="F229" s="54"/>
      <c r="G229" s="54"/>
      <c r="H229" s="54"/>
      <c r="I229" s="54"/>
      <c r="J229" s="54"/>
      <c r="K229" s="54"/>
      <c r="L229" s="54"/>
      <c r="M229" s="54"/>
      <c r="N229" s="54"/>
      <c r="O229" s="54"/>
      <c r="P229" s="54"/>
      <c r="Q229" s="54"/>
      <c r="R229" s="54"/>
      <c r="S229" s="54"/>
      <c r="T229" s="54"/>
      <c r="U229" s="54"/>
      <c r="V229" s="54"/>
      <c r="W229" s="54"/>
      <c r="X229" s="54"/>
      <c r="Y229" s="54"/>
      <c r="Z229" s="54"/>
    </row>
    <row r="230" ht="26.25" customHeight="1">
      <c r="A230" s="54"/>
      <c r="B230" s="55"/>
      <c r="C230" s="54"/>
      <c r="D230" s="63"/>
      <c r="E230" s="54"/>
      <c r="F230" s="54"/>
      <c r="G230" s="54"/>
      <c r="H230" s="54"/>
      <c r="I230" s="54"/>
      <c r="J230" s="54"/>
      <c r="K230" s="54"/>
      <c r="L230" s="54"/>
      <c r="M230" s="54"/>
      <c r="N230" s="54"/>
      <c r="O230" s="54"/>
      <c r="P230" s="54"/>
      <c r="Q230" s="54"/>
      <c r="R230" s="54"/>
      <c r="S230" s="54"/>
      <c r="T230" s="54"/>
      <c r="U230" s="54"/>
      <c r="V230" s="54"/>
      <c r="W230" s="54"/>
      <c r="X230" s="54"/>
      <c r="Y230" s="54"/>
      <c r="Z230" s="54"/>
    </row>
    <row r="231" ht="26.25" customHeight="1">
      <c r="A231" s="54"/>
      <c r="B231" s="55"/>
      <c r="C231" s="54"/>
      <c r="D231" s="63"/>
      <c r="E231" s="54"/>
      <c r="F231" s="54"/>
      <c r="G231" s="54"/>
      <c r="H231" s="54"/>
      <c r="I231" s="54"/>
      <c r="J231" s="54"/>
      <c r="K231" s="54"/>
      <c r="L231" s="54"/>
      <c r="M231" s="54"/>
      <c r="N231" s="54"/>
      <c r="O231" s="54"/>
      <c r="P231" s="54"/>
      <c r="Q231" s="54"/>
      <c r="R231" s="54"/>
      <c r="S231" s="54"/>
      <c r="T231" s="54"/>
      <c r="U231" s="54"/>
      <c r="V231" s="54"/>
      <c r="W231" s="54"/>
      <c r="X231" s="54"/>
      <c r="Y231" s="54"/>
      <c r="Z231" s="54"/>
    </row>
    <row r="232" ht="26.25" customHeight="1">
      <c r="A232" s="54"/>
      <c r="B232" s="55"/>
      <c r="C232" s="54"/>
      <c r="D232" s="63"/>
      <c r="E232" s="54"/>
      <c r="F232" s="54"/>
      <c r="G232" s="54"/>
      <c r="H232" s="54"/>
      <c r="I232" s="54"/>
      <c r="J232" s="54"/>
      <c r="K232" s="54"/>
      <c r="L232" s="54"/>
      <c r="M232" s="54"/>
      <c r="N232" s="54"/>
      <c r="O232" s="54"/>
      <c r="P232" s="54"/>
      <c r="Q232" s="54"/>
      <c r="R232" s="54"/>
      <c r="S232" s="54"/>
      <c r="T232" s="54"/>
      <c r="U232" s="54"/>
      <c r="V232" s="54"/>
      <c r="W232" s="54"/>
      <c r="X232" s="54"/>
      <c r="Y232" s="54"/>
      <c r="Z232" s="54"/>
    </row>
    <row r="233" ht="26.25" customHeight="1">
      <c r="A233" s="54"/>
      <c r="B233" s="55"/>
      <c r="C233" s="54"/>
      <c r="D233" s="63"/>
      <c r="E233" s="54"/>
      <c r="F233" s="54"/>
      <c r="G233" s="54"/>
      <c r="H233" s="54"/>
      <c r="I233" s="54"/>
      <c r="J233" s="54"/>
      <c r="K233" s="54"/>
      <c r="L233" s="54"/>
      <c r="M233" s="54"/>
      <c r="N233" s="54"/>
      <c r="O233" s="54"/>
      <c r="P233" s="54"/>
      <c r="Q233" s="54"/>
      <c r="R233" s="54"/>
      <c r="S233" s="54"/>
      <c r="T233" s="54"/>
      <c r="U233" s="54"/>
      <c r="V233" s="54"/>
      <c r="W233" s="54"/>
      <c r="X233" s="54"/>
      <c r="Y233" s="54"/>
      <c r="Z233" s="54"/>
    </row>
    <row r="234" ht="26.25" customHeight="1">
      <c r="A234" s="54"/>
      <c r="B234" s="55"/>
      <c r="C234" s="54"/>
      <c r="D234" s="63"/>
      <c r="E234" s="54"/>
      <c r="F234" s="54"/>
      <c r="G234" s="54"/>
      <c r="H234" s="54"/>
      <c r="I234" s="54"/>
      <c r="J234" s="54"/>
      <c r="K234" s="54"/>
      <c r="L234" s="54"/>
      <c r="M234" s="54"/>
      <c r="N234" s="54"/>
      <c r="O234" s="54"/>
      <c r="P234" s="54"/>
      <c r="Q234" s="54"/>
      <c r="R234" s="54"/>
      <c r="S234" s="54"/>
      <c r="T234" s="54"/>
      <c r="U234" s="54"/>
      <c r="V234" s="54"/>
      <c r="W234" s="54"/>
      <c r="X234" s="54"/>
      <c r="Y234" s="54"/>
      <c r="Z234" s="54"/>
    </row>
    <row r="235" ht="26.25" customHeight="1">
      <c r="A235" s="54"/>
      <c r="B235" s="55"/>
      <c r="C235" s="54"/>
      <c r="D235" s="63"/>
      <c r="E235" s="54"/>
      <c r="F235" s="54"/>
      <c r="G235" s="54"/>
      <c r="H235" s="54"/>
      <c r="I235" s="54"/>
      <c r="J235" s="54"/>
      <c r="K235" s="54"/>
      <c r="L235" s="54"/>
      <c r="M235" s="54"/>
      <c r="N235" s="54"/>
      <c r="O235" s="54"/>
      <c r="P235" s="54"/>
      <c r="Q235" s="54"/>
      <c r="R235" s="54"/>
      <c r="S235" s="54"/>
      <c r="T235" s="54"/>
      <c r="U235" s="54"/>
      <c r="V235" s="54"/>
      <c r="W235" s="54"/>
      <c r="X235" s="54"/>
      <c r="Y235" s="54"/>
      <c r="Z235" s="54"/>
    </row>
    <row r="236" ht="26.25" customHeight="1">
      <c r="A236" s="54"/>
      <c r="B236" s="55"/>
      <c r="C236" s="54"/>
      <c r="D236" s="63"/>
      <c r="E236" s="54"/>
      <c r="F236" s="54"/>
      <c r="G236" s="54"/>
      <c r="H236" s="54"/>
      <c r="I236" s="54"/>
      <c r="J236" s="54"/>
      <c r="K236" s="54"/>
      <c r="L236" s="54"/>
      <c r="M236" s="54"/>
      <c r="N236" s="54"/>
      <c r="O236" s="54"/>
      <c r="P236" s="54"/>
      <c r="Q236" s="54"/>
      <c r="R236" s="54"/>
      <c r="S236" s="54"/>
      <c r="T236" s="54"/>
      <c r="U236" s="54"/>
      <c r="V236" s="54"/>
      <c r="W236" s="54"/>
      <c r="X236" s="54"/>
      <c r="Y236" s="54"/>
      <c r="Z236" s="54"/>
    </row>
    <row r="237" ht="26.25" customHeight="1">
      <c r="A237" s="54"/>
      <c r="B237" s="55"/>
      <c r="C237" s="54"/>
      <c r="D237" s="63"/>
      <c r="E237" s="54"/>
      <c r="F237" s="54"/>
      <c r="G237" s="54"/>
      <c r="H237" s="54"/>
      <c r="I237" s="54"/>
      <c r="J237" s="54"/>
      <c r="K237" s="54"/>
      <c r="L237" s="54"/>
      <c r="M237" s="54"/>
      <c r="N237" s="54"/>
      <c r="O237" s="54"/>
      <c r="P237" s="54"/>
      <c r="Q237" s="54"/>
      <c r="R237" s="54"/>
      <c r="S237" s="54"/>
      <c r="T237" s="54"/>
      <c r="U237" s="54"/>
      <c r="V237" s="54"/>
      <c r="W237" s="54"/>
      <c r="X237" s="54"/>
      <c r="Y237" s="54"/>
      <c r="Z237" s="54"/>
    </row>
    <row r="238" ht="26.25" customHeight="1">
      <c r="A238" s="54"/>
      <c r="B238" s="55"/>
      <c r="C238" s="54"/>
      <c r="D238" s="63"/>
      <c r="E238" s="54"/>
      <c r="F238" s="54"/>
      <c r="G238" s="54"/>
      <c r="H238" s="54"/>
      <c r="I238" s="54"/>
      <c r="J238" s="54"/>
      <c r="K238" s="54"/>
      <c r="L238" s="54"/>
      <c r="M238" s="54"/>
      <c r="N238" s="54"/>
      <c r="O238" s="54"/>
      <c r="P238" s="54"/>
      <c r="Q238" s="54"/>
      <c r="R238" s="54"/>
      <c r="S238" s="54"/>
      <c r="T238" s="54"/>
      <c r="U238" s="54"/>
      <c r="V238" s="54"/>
      <c r="W238" s="54"/>
      <c r="X238" s="54"/>
      <c r="Y238" s="54"/>
      <c r="Z238" s="54"/>
    </row>
    <row r="239" ht="26.25" customHeight="1">
      <c r="A239" s="54"/>
      <c r="B239" s="55"/>
      <c r="C239" s="54"/>
      <c r="D239" s="63"/>
      <c r="E239" s="54"/>
      <c r="F239" s="54"/>
      <c r="G239" s="54"/>
      <c r="H239" s="54"/>
      <c r="I239" s="54"/>
      <c r="J239" s="54"/>
      <c r="K239" s="54"/>
      <c r="L239" s="54"/>
      <c r="M239" s="54"/>
      <c r="N239" s="54"/>
      <c r="O239" s="54"/>
      <c r="P239" s="54"/>
      <c r="Q239" s="54"/>
      <c r="R239" s="54"/>
      <c r="S239" s="54"/>
      <c r="T239" s="54"/>
      <c r="U239" s="54"/>
      <c r="V239" s="54"/>
      <c r="W239" s="54"/>
      <c r="X239" s="54"/>
      <c r="Y239" s="54"/>
      <c r="Z239" s="54"/>
    </row>
    <row r="240" ht="26.25" customHeight="1">
      <c r="A240" s="54"/>
      <c r="B240" s="55"/>
      <c r="C240" s="54"/>
      <c r="D240" s="63"/>
      <c r="E240" s="54"/>
      <c r="F240" s="54"/>
      <c r="G240" s="54"/>
      <c r="H240" s="54"/>
      <c r="I240" s="54"/>
      <c r="J240" s="54"/>
      <c r="K240" s="54"/>
      <c r="L240" s="54"/>
      <c r="M240" s="54"/>
      <c r="N240" s="54"/>
      <c r="O240" s="54"/>
      <c r="P240" s="54"/>
      <c r="Q240" s="54"/>
      <c r="R240" s="54"/>
      <c r="S240" s="54"/>
      <c r="T240" s="54"/>
      <c r="U240" s="54"/>
      <c r="V240" s="54"/>
      <c r="W240" s="54"/>
      <c r="X240" s="54"/>
      <c r="Y240" s="54"/>
      <c r="Z240" s="54"/>
    </row>
    <row r="241" ht="26.25" customHeight="1">
      <c r="A241" s="54"/>
      <c r="B241" s="55"/>
      <c r="C241" s="54"/>
      <c r="D241" s="63"/>
      <c r="E241" s="54"/>
      <c r="F241" s="54"/>
      <c r="G241" s="54"/>
      <c r="H241" s="54"/>
      <c r="I241" s="54"/>
      <c r="J241" s="54"/>
      <c r="K241" s="54"/>
      <c r="L241" s="54"/>
      <c r="M241" s="54"/>
      <c r="N241" s="54"/>
      <c r="O241" s="54"/>
      <c r="P241" s="54"/>
      <c r="Q241" s="54"/>
      <c r="R241" s="54"/>
      <c r="S241" s="54"/>
      <c r="T241" s="54"/>
      <c r="U241" s="54"/>
      <c r="V241" s="54"/>
      <c r="W241" s="54"/>
      <c r="X241" s="54"/>
      <c r="Y241" s="54"/>
      <c r="Z241" s="54"/>
    </row>
    <row r="242" ht="26.25" customHeight="1">
      <c r="A242" s="54"/>
      <c r="B242" s="55"/>
      <c r="C242" s="54"/>
      <c r="D242" s="63"/>
      <c r="E242" s="54"/>
      <c r="F242" s="54"/>
      <c r="G242" s="54"/>
      <c r="H242" s="54"/>
      <c r="I242" s="54"/>
      <c r="J242" s="54"/>
      <c r="K242" s="54"/>
      <c r="L242" s="54"/>
      <c r="M242" s="54"/>
      <c r="N242" s="54"/>
      <c r="O242" s="54"/>
      <c r="P242" s="54"/>
      <c r="Q242" s="54"/>
      <c r="R242" s="54"/>
      <c r="S242" s="54"/>
      <c r="T242" s="54"/>
      <c r="U242" s="54"/>
      <c r="V242" s="54"/>
      <c r="W242" s="54"/>
      <c r="X242" s="54"/>
      <c r="Y242" s="54"/>
      <c r="Z242" s="54"/>
    </row>
    <row r="243" ht="26.25" customHeight="1">
      <c r="A243" s="54"/>
      <c r="B243" s="55"/>
      <c r="C243" s="54"/>
      <c r="D243" s="63"/>
      <c r="E243" s="54"/>
      <c r="F243" s="54"/>
      <c r="G243" s="54"/>
      <c r="H243" s="54"/>
      <c r="I243" s="54"/>
      <c r="J243" s="54"/>
      <c r="K243" s="54"/>
      <c r="L243" s="54"/>
      <c r="M243" s="54"/>
      <c r="N243" s="54"/>
      <c r="O243" s="54"/>
      <c r="P243" s="54"/>
      <c r="Q243" s="54"/>
      <c r="R243" s="54"/>
      <c r="S243" s="54"/>
      <c r="T243" s="54"/>
      <c r="U243" s="54"/>
      <c r="V243" s="54"/>
      <c r="W243" s="54"/>
      <c r="X243" s="54"/>
      <c r="Y243" s="54"/>
      <c r="Z243" s="54"/>
    </row>
    <row r="244" ht="26.25" customHeight="1">
      <c r="A244" s="54"/>
      <c r="B244" s="55"/>
      <c r="C244" s="54"/>
      <c r="D244" s="63"/>
      <c r="E244" s="54"/>
      <c r="F244" s="54"/>
      <c r="G244" s="54"/>
      <c r="H244" s="54"/>
      <c r="I244" s="54"/>
      <c r="J244" s="54"/>
      <c r="K244" s="54"/>
      <c r="L244" s="54"/>
      <c r="M244" s="54"/>
      <c r="N244" s="54"/>
      <c r="O244" s="54"/>
      <c r="P244" s="54"/>
      <c r="Q244" s="54"/>
      <c r="R244" s="54"/>
      <c r="S244" s="54"/>
      <c r="T244" s="54"/>
      <c r="U244" s="54"/>
      <c r="V244" s="54"/>
      <c r="W244" s="54"/>
      <c r="X244" s="54"/>
      <c r="Y244" s="54"/>
      <c r="Z244" s="54"/>
    </row>
    <row r="245" ht="26.25" customHeight="1">
      <c r="A245" s="54"/>
      <c r="B245" s="55"/>
      <c r="C245" s="54"/>
      <c r="D245" s="63"/>
      <c r="E245" s="54"/>
      <c r="F245" s="54"/>
      <c r="G245" s="54"/>
      <c r="H245" s="54"/>
      <c r="I245" s="54"/>
      <c r="J245" s="54"/>
      <c r="K245" s="54"/>
      <c r="L245" s="54"/>
      <c r="M245" s="54"/>
      <c r="N245" s="54"/>
      <c r="O245" s="54"/>
      <c r="P245" s="54"/>
      <c r="Q245" s="54"/>
      <c r="R245" s="54"/>
      <c r="S245" s="54"/>
      <c r="T245" s="54"/>
      <c r="U245" s="54"/>
      <c r="V245" s="54"/>
      <c r="W245" s="54"/>
      <c r="X245" s="54"/>
      <c r="Y245" s="54"/>
      <c r="Z245" s="54"/>
    </row>
    <row r="246" ht="26.25" customHeight="1">
      <c r="A246" s="54"/>
      <c r="B246" s="55"/>
      <c r="C246" s="54"/>
      <c r="D246" s="63"/>
      <c r="E246" s="54"/>
      <c r="F246" s="54"/>
      <c r="G246" s="54"/>
      <c r="H246" s="54"/>
      <c r="I246" s="54"/>
      <c r="J246" s="54"/>
      <c r="K246" s="54"/>
      <c r="L246" s="54"/>
      <c r="M246" s="54"/>
      <c r="N246" s="54"/>
      <c r="O246" s="54"/>
      <c r="P246" s="54"/>
      <c r="Q246" s="54"/>
      <c r="R246" s="54"/>
      <c r="S246" s="54"/>
      <c r="T246" s="54"/>
      <c r="U246" s="54"/>
      <c r="V246" s="54"/>
      <c r="W246" s="54"/>
      <c r="X246" s="54"/>
      <c r="Y246" s="54"/>
      <c r="Z246" s="54"/>
    </row>
    <row r="247" ht="26.25" customHeight="1">
      <c r="A247" s="54"/>
      <c r="B247" s="55"/>
      <c r="C247" s="54"/>
      <c r="D247" s="63"/>
      <c r="E247" s="54"/>
      <c r="F247" s="54"/>
      <c r="G247" s="54"/>
      <c r="H247" s="54"/>
      <c r="I247" s="54"/>
      <c r="J247" s="54"/>
      <c r="K247" s="54"/>
      <c r="L247" s="54"/>
      <c r="M247" s="54"/>
      <c r="N247" s="54"/>
      <c r="O247" s="54"/>
      <c r="P247" s="54"/>
      <c r="Q247" s="54"/>
      <c r="R247" s="54"/>
      <c r="S247" s="54"/>
      <c r="T247" s="54"/>
      <c r="U247" s="54"/>
      <c r="V247" s="54"/>
      <c r="W247" s="54"/>
      <c r="X247" s="54"/>
      <c r="Y247" s="54"/>
      <c r="Z247" s="54"/>
    </row>
    <row r="248" ht="26.25" customHeight="1">
      <c r="A248" s="54"/>
      <c r="B248" s="55"/>
      <c r="C248" s="54"/>
      <c r="D248" s="63"/>
      <c r="E248" s="54"/>
      <c r="F248" s="54"/>
      <c r="G248" s="54"/>
      <c r="H248" s="54"/>
      <c r="I248" s="54"/>
      <c r="J248" s="54"/>
      <c r="K248" s="54"/>
      <c r="L248" s="54"/>
      <c r="M248" s="54"/>
      <c r="N248" s="54"/>
      <c r="O248" s="54"/>
      <c r="P248" s="54"/>
      <c r="Q248" s="54"/>
      <c r="R248" s="54"/>
      <c r="S248" s="54"/>
      <c r="T248" s="54"/>
      <c r="U248" s="54"/>
      <c r="V248" s="54"/>
      <c r="W248" s="54"/>
      <c r="X248" s="54"/>
      <c r="Y248" s="54"/>
      <c r="Z248" s="54"/>
    </row>
    <row r="249" ht="26.25" customHeight="1">
      <c r="A249" s="54"/>
      <c r="B249" s="55"/>
      <c r="C249" s="54"/>
      <c r="D249" s="63"/>
      <c r="E249" s="54"/>
      <c r="F249" s="54"/>
      <c r="G249" s="54"/>
      <c r="H249" s="54"/>
      <c r="I249" s="54"/>
      <c r="J249" s="54"/>
      <c r="K249" s="54"/>
      <c r="L249" s="54"/>
      <c r="M249" s="54"/>
      <c r="N249" s="54"/>
      <c r="O249" s="54"/>
      <c r="P249" s="54"/>
      <c r="Q249" s="54"/>
      <c r="R249" s="54"/>
      <c r="S249" s="54"/>
      <c r="T249" s="54"/>
      <c r="U249" s="54"/>
      <c r="V249" s="54"/>
      <c r="W249" s="54"/>
      <c r="X249" s="54"/>
      <c r="Y249" s="54"/>
      <c r="Z249" s="54"/>
    </row>
    <row r="250" ht="26.25" customHeight="1">
      <c r="A250" s="54"/>
      <c r="B250" s="55"/>
      <c r="C250" s="54"/>
      <c r="D250" s="63"/>
      <c r="E250" s="54"/>
      <c r="F250" s="54"/>
      <c r="G250" s="54"/>
      <c r="H250" s="54"/>
      <c r="I250" s="54"/>
      <c r="J250" s="54"/>
      <c r="K250" s="54"/>
      <c r="L250" s="54"/>
      <c r="M250" s="54"/>
      <c r="N250" s="54"/>
      <c r="O250" s="54"/>
      <c r="P250" s="54"/>
      <c r="Q250" s="54"/>
      <c r="R250" s="54"/>
      <c r="S250" s="54"/>
      <c r="T250" s="54"/>
      <c r="U250" s="54"/>
      <c r="V250" s="54"/>
      <c r="W250" s="54"/>
      <c r="X250" s="54"/>
      <c r="Y250" s="54"/>
      <c r="Z250" s="54"/>
    </row>
    <row r="251" ht="26.25" customHeight="1">
      <c r="A251" s="54"/>
      <c r="B251" s="55"/>
      <c r="C251" s="54"/>
      <c r="D251" s="63"/>
      <c r="E251" s="54"/>
      <c r="F251" s="54"/>
      <c r="G251" s="54"/>
      <c r="H251" s="54"/>
      <c r="I251" s="54"/>
      <c r="J251" s="54"/>
      <c r="K251" s="54"/>
      <c r="L251" s="54"/>
      <c r="M251" s="54"/>
      <c r="N251" s="54"/>
      <c r="O251" s="54"/>
      <c r="P251" s="54"/>
      <c r="Q251" s="54"/>
      <c r="R251" s="54"/>
      <c r="S251" s="54"/>
      <c r="T251" s="54"/>
      <c r="U251" s="54"/>
      <c r="V251" s="54"/>
      <c r="W251" s="54"/>
      <c r="X251" s="54"/>
      <c r="Y251" s="54"/>
      <c r="Z251" s="54"/>
    </row>
    <row r="252" ht="26.25" customHeight="1">
      <c r="A252" s="54"/>
      <c r="B252" s="55"/>
      <c r="C252" s="54"/>
      <c r="D252" s="63"/>
      <c r="E252" s="54"/>
      <c r="F252" s="54"/>
      <c r="G252" s="54"/>
      <c r="H252" s="54"/>
      <c r="I252" s="54"/>
      <c r="J252" s="54"/>
      <c r="K252" s="54"/>
      <c r="L252" s="54"/>
      <c r="M252" s="54"/>
      <c r="N252" s="54"/>
      <c r="O252" s="54"/>
      <c r="P252" s="54"/>
      <c r="Q252" s="54"/>
      <c r="R252" s="54"/>
      <c r="S252" s="54"/>
      <c r="T252" s="54"/>
      <c r="U252" s="54"/>
      <c r="V252" s="54"/>
      <c r="W252" s="54"/>
      <c r="X252" s="54"/>
      <c r="Y252" s="54"/>
      <c r="Z252" s="54"/>
    </row>
    <row r="253" ht="26.25" customHeight="1">
      <c r="A253" s="54"/>
      <c r="B253" s="55"/>
      <c r="C253" s="54"/>
      <c r="D253" s="63"/>
      <c r="E253" s="54"/>
      <c r="F253" s="54"/>
      <c r="G253" s="54"/>
      <c r="H253" s="54"/>
      <c r="I253" s="54"/>
      <c r="J253" s="54"/>
      <c r="K253" s="54"/>
      <c r="L253" s="54"/>
      <c r="M253" s="54"/>
      <c r="N253" s="54"/>
      <c r="O253" s="54"/>
      <c r="P253" s="54"/>
      <c r="Q253" s="54"/>
      <c r="R253" s="54"/>
      <c r="S253" s="54"/>
      <c r="T253" s="54"/>
      <c r="U253" s="54"/>
      <c r="V253" s="54"/>
      <c r="W253" s="54"/>
      <c r="X253" s="54"/>
      <c r="Y253" s="54"/>
      <c r="Z253" s="54"/>
    </row>
    <row r="254" ht="26.25" customHeight="1">
      <c r="A254" s="54"/>
      <c r="B254" s="55"/>
      <c r="C254" s="54"/>
      <c r="D254" s="63"/>
      <c r="E254" s="54"/>
      <c r="F254" s="54"/>
      <c r="G254" s="54"/>
      <c r="H254" s="54"/>
      <c r="I254" s="54"/>
      <c r="J254" s="54"/>
      <c r="K254" s="54"/>
      <c r="L254" s="54"/>
      <c r="M254" s="54"/>
      <c r="N254" s="54"/>
      <c r="O254" s="54"/>
      <c r="P254" s="54"/>
      <c r="Q254" s="54"/>
      <c r="R254" s="54"/>
      <c r="S254" s="54"/>
      <c r="T254" s="54"/>
      <c r="U254" s="54"/>
      <c r="V254" s="54"/>
      <c r="W254" s="54"/>
      <c r="X254" s="54"/>
      <c r="Y254" s="54"/>
      <c r="Z254" s="54"/>
    </row>
    <row r="255" ht="26.25" customHeight="1">
      <c r="A255" s="54"/>
      <c r="B255" s="55"/>
      <c r="C255" s="54"/>
      <c r="D255" s="63"/>
      <c r="E255" s="54"/>
      <c r="F255" s="54"/>
      <c r="G255" s="54"/>
      <c r="H255" s="54"/>
      <c r="I255" s="54"/>
      <c r="J255" s="54"/>
      <c r="K255" s="54"/>
      <c r="L255" s="54"/>
      <c r="M255" s="54"/>
      <c r="N255" s="54"/>
      <c r="O255" s="54"/>
      <c r="P255" s="54"/>
      <c r="Q255" s="54"/>
      <c r="R255" s="54"/>
      <c r="S255" s="54"/>
      <c r="T255" s="54"/>
      <c r="U255" s="54"/>
      <c r="V255" s="54"/>
      <c r="W255" s="54"/>
      <c r="X255" s="54"/>
      <c r="Y255" s="54"/>
      <c r="Z255" s="54"/>
    </row>
    <row r="256" ht="26.25" customHeight="1">
      <c r="A256" s="54"/>
      <c r="B256" s="55"/>
      <c r="C256" s="54"/>
      <c r="D256" s="63"/>
      <c r="E256" s="54"/>
      <c r="F256" s="54"/>
      <c r="G256" s="54"/>
      <c r="H256" s="54"/>
      <c r="I256" s="54"/>
      <c r="J256" s="54"/>
      <c r="K256" s="54"/>
      <c r="L256" s="54"/>
      <c r="M256" s="54"/>
      <c r="N256" s="54"/>
      <c r="O256" s="54"/>
      <c r="P256" s="54"/>
      <c r="Q256" s="54"/>
      <c r="R256" s="54"/>
      <c r="S256" s="54"/>
      <c r="T256" s="54"/>
      <c r="U256" s="54"/>
      <c r="V256" s="54"/>
      <c r="W256" s="54"/>
      <c r="X256" s="54"/>
      <c r="Y256" s="54"/>
      <c r="Z256" s="54"/>
    </row>
    <row r="257" ht="26.25" customHeight="1">
      <c r="A257" s="54"/>
      <c r="B257" s="55"/>
      <c r="C257" s="54"/>
      <c r="D257" s="63"/>
      <c r="E257" s="54"/>
      <c r="F257" s="54"/>
      <c r="G257" s="54"/>
      <c r="H257" s="54"/>
      <c r="I257" s="54"/>
      <c r="J257" s="54"/>
      <c r="K257" s="54"/>
      <c r="L257" s="54"/>
      <c r="M257" s="54"/>
      <c r="N257" s="54"/>
      <c r="O257" s="54"/>
      <c r="P257" s="54"/>
      <c r="Q257" s="54"/>
      <c r="R257" s="54"/>
      <c r="S257" s="54"/>
      <c r="T257" s="54"/>
      <c r="U257" s="54"/>
      <c r="V257" s="54"/>
      <c r="W257" s="54"/>
      <c r="X257" s="54"/>
      <c r="Y257" s="54"/>
      <c r="Z257" s="54"/>
    </row>
    <row r="258" ht="26.25" customHeight="1">
      <c r="A258" s="54"/>
      <c r="B258" s="55"/>
      <c r="C258" s="54"/>
      <c r="D258" s="63"/>
      <c r="E258" s="54"/>
      <c r="F258" s="54"/>
      <c r="G258" s="54"/>
      <c r="H258" s="54"/>
      <c r="I258" s="54"/>
      <c r="J258" s="54"/>
      <c r="K258" s="54"/>
      <c r="L258" s="54"/>
      <c r="M258" s="54"/>
      <c r="N258" s="54"/>
      <c r="O258" s="54"/>
      <c r="P258" s="54"/>
      <c r="Q258" s="54"/>
      <c r="R258" s="54"/>
      <c r="S258" s="54"/>
      <c r="T258" s="54"/>
      <c r="U258" s="54"/>
      <c r="V258" s="54"/>
      <c r="W258" s="54"/>
      <c r="X258" s="54"/>
      <c r="Y258" s="54"/>
      <c r="Z258" s="54"/>
    </row>
    <row r="259" ht="26.25" customHeight="1">
      <c r="A259" s="54"/>
      <c r="B259" s="55"/>
      <c r="C259" s="54"/>
      <c r="D259" s="63"/>
      <c r="E259" s="54"/>
      <c r="F259" s="54"/>
      <c r="G259" s="54"/>
      <c r="H259" s="54"/>
      <c r="I259" s="54"/>
      <c r="J259" s="54"/>
      <c r="K259" s="54"/>
      <c r="L259" s="54"/>
      <c r="M259" s="54"/>
      <c r="N259" s="54"/>
      <c r="O259" s="54"/>
      <c r="P259" s="54"/>
      <c r="Q259" s="54"/>
      <c r="R259" s="54"/>
      <c r="S259" s="54"/>
      <c r="T259" s="54"/>
      <c r="U259" s="54"/>
      <c r="V259" s="54"/>
      <c r="W259" s="54"/>
      <c r="X259" s="54"/>
      <c r="Y259" s="54"/>
      <c r="Z259" s="54"/>
    </row>
    <row r="260" ht="26.25" customHeight="1">
      <c r="A260" s="54"/>
      <c r="B260" s="55"/>
      <c r="C260" s="54"/>
      <c r="D260" s="63"/>
      <c r="E260" s="54"/>
      <c r="F260" s="54"/>
      <c r="G260" s="54"/>
      <c r="H260" s="54"/>
      <c r="I260" s="54"/>
      <c r="J260" s="54"/>
      <c r="K260" s="54"/>
      <c r="L260" s="54"/>
      <c r="M260" s="54"/>
      <c r="N260" s="54"/>
      <c r="O260" s="54"/>
      <c r="P260" s="54"/>
      <c r="Q260" s="54"/>
      <c r="R260" s="54"/>
      <c r="S260" s="54"/>
      <c r="T260" s="54"/>
      <c r="U260" s="54"/>
      <c r="V260" s="54"/>
      <c r="W260" s="54"/>
      <c r="X260" s="54"/>
      <c r="Y260" s="54"/>
      <c r="Z260" s="54"/>
    </row>
    <row r="261" ht="26.25" customHeight="1">
      <c r="A261" s="54"/>
      <c r="B261" s="55"/>
      <c r="C261" s="54"/>
      <c r="D261" s="63"/>
      <c r="E261" s="54"/>
      <c r="F261" s="54"/>
      <c r="G261" s="54"/>
      <c r="H261" s="54"/>
      <c r="I261" s="54"/>
      <c r="J261" s="54"/>
      <c r="K261" s="54"/>
      <c r="L261" s="54"/>
      <c r="M261" s="54"/>
      <c r="N261" s="54"/>
      <c r="O261" s="54"/>
      <c r="P261" s="54"/>
      <c r="Q261" s="54"/>
      <c r="R261" s="54"/>
      <c r="S261" s="54"/>
      <c r="T261" s="54"/>
      <c r="U261" s="54"/>
      <c r="V261" s="54"/>
      <c r="W261" s="54"/>
      <c r="X261" s="54"/>
      <c r="Y261" s="54"/>
      <c r="Z261" s="54"/>
    </row>
    <row r="262" ht="26.25" customHeight="1">
      <c r="A262" s="54"/>
      <c r="B262" s="55"/>
      <c r="C262" s="54"/>
      <c r="D262" s="63"/>
      <c r="E262" s="54"/>
      <c r="F262" s="54"/>
      <c r="G262" s="54"/>
      <c r="H262" s="54"/>
      <c r="I262" s="54"/>
      <c r="J262" s="54"/>
      <c r="K262" s="54"/>
      <c r="L262" s="54"/>
      <c r="M262" s="54"/>
      <c r="N262" s="54"/>
      <c r="O262" s="54"/>
      <c r="P262" s="54"/>
      <c r="Q262" s="54"/>
      <c r="R262" s="54"/>
      <c r="S262" s="54"/>
      <c r="T262" s="54"/>
      <c r="U262" s="54"/>
      <c r="V262" s="54"/>
      <c r="W262" s="54"/>
      <c r="X262" s="54"/>
      <c r="Y262" s="54"/>
      <c r="Z262" s="54"/>
    </row>
    <row r="263" ht="26.25" customHeight="1">
      <c r="A263" s="54"/>
      <c r="B263" s="55"/>
      <c r="C263" s="54"/>
      <c r="D263" s="63"/>
      <c r="E263" s="54"/>
      <c r="F263" s="54"/>
      <c r="G263" s="54"/>
      <c r="H263" s="54"/>
      <c r="I263" s="54"/>
      <c r="J263" s="54"/>
      <c r="K263" s="54"/>
      <c r="L263" s="54"/>
      <c r="M263" s="54"/>
      <c r="N263" s="54"/>
      <c r="O263" s="54"/>
      <c r="P263" s="54"/>
      <c r="Q263" s="54"/>
      <c r="R263" s="54"/>
      <c r="S263" s="54"/>
      <c r="T263" s="54"/>
      <c r="U263" s="54"/>
      <c r="V263" s="54"/>
      <c r="W263" s="54"/>
      <c r="X263" s="54"/>
      <c r="Y263" s="54"/>
      <c r="Z263" s="54"/>
    </row>
    <row r="264" ht="26.25" customHeight="1">
      <c r="A264" s="54"/>
      <c r="B264" s="55"/>
      <c r="C264" s="54"/>
      <c r="D264" s="63"/>
      <c r="E264" s="54"/>
      <c r="F264" s="54"/>
      <c r="G264" s="54"/>
      <c r="H264" s="54"/>
      <c r="I264" s="54"/>
      <c r="J264" s="54"/>
      <c r="K264" s="54"/>
      <c r="L264" s="54"/>
      <c r="M264" s="54"/>
      <c r="N264" s="54"/>
      <c r="O264" s="54"/>
      <c r="P264" s="54"/>
      <c r="Q264" s="54"/>
      <c r="R264" s="54"/>
      <c r="S264" s="54"/>
      <c r="T264" s="54"/>
      <c r="U264" s="54"/>
      <c r="V264" s="54"/>
      <c r="W264" s="54"/>
      <c r="X264" s="54"/>
      <c r="Y264" s="54"/>
      <c r="Z264" s="54"/>
    </row>
    <row r="265" ht="26.25" customHeight="1">
      <c r="A265" s="54"/>
      <c r="B265" s="55"/>
      <c r="C265" s="54"/>
      <c r="D265" s="63"/>
      <c r="E265" s="54"/>
      <c r="F265" s="54"/>
      <c r="G265" s="54"/>
      <c r="H265" s="54"/>
      <c r="I265" s="54"/>
      <c r="J265" s="54"/>
      <c r="K265" s="54"/>
      <c r="L265" s="54"/>
      <c r="M265" s="54"/>
      <c r="N265" s="54"/>
      <c r="O265" s="54"/>
      <c r="P265" s="54"/>
      <c r="Q265" s="54"/>
      <c r="R265" s="54"/>
      <c r="S265" s="54"/>
      <c r="T265" s="54"/>
      <c r="U265" s="54"/>
      <c r="V265" s="54"/>
      <c r="W265" s="54"/>
      <c r="X265" s="54"/>
      <c r="Y265" s="54"/>
      <c r="Z265" s="54"/>
    </row>
    <row r="266" ht="26.25" customHeight="1">
      <c r="A266" s="54"/>
      <c r="B266" s="55"/>
      <c r="C266" s="54"/>
      <c r="D266" s="63"/>
      <c r="E266" s="54"/>
      <c r="F266" s="54"/>
      <c r="G266" s="54"/>
      <c r="H266" s="54"/>
      <c r="I266" s="54"/>
      <c r="J266" s="54"/>
      <c r="K266" s="54"/>
      <c r="L266" s="54"/>
      <c r="M266" s="54"/>
      <c r="N266" s="54"/>
      <c r="O266" s="54"/>
      <c r="P266" s="54"/>
      <c r="Q266" s="54"/>
      <c r="R266" s="54"/>
      <c r="S266" s="54"/>
      <c r="T266" s="54"/>
      <c r="U266" s="54"/>
      <c r="V266" s="54"/>
      <c r="W266" s="54"/>
      <c r="X266" s="54"/>
      <c r="Y266" s="54"/>
      <c r="Z266" s="54"/>
    </row>
    <row r="267" ht="26.25" customHeight="1">
      <c r="A267" s="54"/>
      <c r="B267" s="55"/>
      <c r="C267" s="54"/>
      <c r="D267" s="63"/>
      <c r="E267" s="54"/>
      <c r="F267" s="54"/>
      <c r="G267" s="54"/>
      <c r="H267" s="54"/>
      <c r="I267" s="54"/>
      <c r="J267" s="54"/>
      <c r="K267" s="54"/>
      <c r="L267" s="54"/>
      <c r="M267" s="54"/>
      <c r="N267" s="54"/>
      <c r="O267" s="54"/>
      <c r="P267" s="54"/>
      <c r="Q267" s="54"/>
      <c r="R267" s="54"/>
      <c r="S267" s="54"/>
      <c r="T267" s="54"/>
      <c r="U267" s="54"/>
      <c r="V267" s="54"/>
      <c r="W267" s="54"/>
      <c r="X267" s="54"/>
      <c r="Y267" s="54"/>
      <c r="Z267" s="54"/>
    </row>
    <row r="268" ht="26.25" customHeight="1">
      <c r="A268" s="54"/>
      <c r="B268" s="55"/>
      <c r="C268" s="54"/>
      <c r="D268" s="63"/>
      <c r="E268" s="54"/>
      <c r="F268" s="54"/>
      <c r="G268" s="54"/>
      <c r="H268" s="54"/>
      <c r="I268" s="54"/>
      <c r="J268" s="54"/>
      <c r="K268" s="54"/>
      <c r="L268" s="54"/>
      <c r="M268" s="54"/>
      <c r="N268" s="54"/>
      <c r="O268" s="54"/>
      <c r="P268" s="54"/>
      <c r="Q268" s="54"/>
      <c r="R268" s="54"/>
      <c r="S268" s="54"/>
      <c r="T268" s="54"/>
      <c r="U268" s="54"/>
      <c r="V268" s="54"/>
      <c r="W268" s="54"/>
      <c r="X268" s="54"/>
      <c r="Y268" s="54"/>
      <c r="Z268" s="54"/>
    </row>
    <row r="269" ht="26.25" customHeight="1">
      <c r="A269" s="54"/>
      <c r="B269" s="55"/>
      <c r="C269" s="54"/>
      <c r="D269" s="63"/>
      <c r="E269" s="54"/>
      <c r="F269" s="54"/>
      <c r="G269" s="54"/>
      <c r="H269" s="54"/>
      <c r="I269" s="54"/>
      <c r="J269" s="54"/>
      <c r="K269" s="54"/>
      <c r="L269" s="54"/>
      <c r="M269" s="54"/>
      <c r="N269" s="54"/>
      <c r="O269" s="54"/>
      <c r="P269" s="54"/>
      <c r="Q269" s="54"/>
      <c r="R269" s="54"/>
      <c r="S269" s="54"/>
      <c r="T269" s="54"/>
      <c r="U269" s="54"/>
      <c r="V269" s="54"/>
      <c r="W269" s="54"/>
      <c r="X269" s="54"/>
      <c r="Y269" s="54"/>
      <c r="Z269" s="54"/>
    </row>
    <row r="270" ht="26.25" customHeight="1">
      <c r="A270" s="54"/>
      <c r="B270" s="55"/>
      <c r="C270" s="54"/>
      <c r="D270" s="63"/>
      <c r="E270" s="54"/>
      <c r="F270" s="54"/>
      <c r="G270" s="54"/>
      <c r="H270" s="54"/>
      <c r="I270" s="54"/>
      <c r="J270" s="54"/>
      <c r="K270" s="54"/>
      <c r="L270" s="54"/>
      <c r="M270" s="54"/>
      <c r="N270" s="54"/>
      <c r="O270" s="54"/>
      <c r="P270" s="54"/>
      <c r="Q270" s="54"/>
      <c r="R270" s="54"/>
      <c r="S270" s="54"/>
      <c r="T270" s="54"/>
      <c r="U270" s="54"/>
      <c r="V270" s="54"/>
      <c r="W270" s="54"/>
      <c r="X270" s="54"/>
      <c r="Y270" s="54"/>
      <c r="Z270" s="54"/>
    </row>
    <row r="271" ht="26.25" customHeight="1">
      <c r="A271" s="54"/>
      <c r="B271" s="55"/>
      <c r="C271" s="54"/>
      <c r="D271" s="63"/>
      <c r="E271" s="54"/>
      <c r="F271" s="54"/>
      <c r="G271" s="54"/>
      <c r="H271" s="54"/>
      <c r="I271" s="54"/>
      <c r="J271" s="54"/>
      <c r="K271" s="54"/>
      <c r="L271" s="54"/>
      <c r="M271" s="54"/>
      <c r="N271" s="54"/>
      <c r="O271" s="54"/>
      <c r="P271" s="54"/>
      <c r="Q271" s="54"/>
      <c r="R271" s="54"/>
      <c r="S271" s="54"/>
      <c r="T271" s="54"/>
      <c r="U271" s="54"/>
      <c r="V271" s="54"/>
      <c r="W271" s="54"/>
      <c r="X271" s="54"/>
      <c r="Y271" s="54"/>
      <c r="Z271" s="54"/>
    </row>
    <row r="272" ht="26.25" customHeight="1">
      <c r="A272" s="54"/>
      <c r="B272" s="55"/>
      <c r="C272" s="54"/>
      <c r="D272" s="63"/>
      <c r="E272" s="54"/>
      <c r="F272" s="54"/>
      <c r="G272" s="54"/>
      <c r="H272" s="54"/>
      <c r="I272" s="54"/>
      <c r="J272" s="54"/>
      <c r="K272" s="54"/>
      <c r="L272" s="54"/>
      <c r="M272" s="54"/>
      <c r="N272" s="54"/>
      <c r="O272" s="54"/>
      <c r="P272" s="54"/>
      <c r="Q272" s="54"/>
      <c r="R272" s="54"/>
      <c r="S272" s="54"/>
      <c r="T272" s="54"/>
      <c r="U272" s="54"/>
      <c r="V272" s="54"/>
      <c r="W272" s="54"/>
      <c r="X272" s="54"/>
      <c r="Y272" s="54"/>
      <c r="Z272" s="54"/>
    </row>
    <row r="273" ht="26.25" customHeight="1">
      <c r="A273" s="54"/>
      <c r="B273" s="55"/>
      <c r="C273" s="54"/>
      <c r="D273" s="63"/>
      <c r="E273" s="54"/>
      <c r="F273" s="54"/>
      <c r="G273" s="54"/>
      <c r="H273" s="54"/>
      <c r="I273" s="54"/>
      <c r="J273" s="54"/>
      <c r="K273" s="54"/>
      <c r="L273" s="54"/>
      <c r="M273" s="54"/>
      <c r="N273" s="54"/>
      <c r="O273" s="54"/>
      <c r="P273" s="54"/>
      <c r="Q273" s="54"/>
      <c r="R273" s="54"/>
      <c r="S273" s="54"/>
      <c r="T273" s="54"/>
      <c r="U273" s="54"/>
      <c r="V273" s="54"/>
      <c r="W273" s="54"/>
      <c r="X273" s="54"/>
      <c r="Y273" s="54"/>
      <c r="Z273" s="54"/>
    </row>
    <row r="274" ht="26.25" customHeight="1">
      <c r="A274" s="54"/>
      <c r="B274" s="55"/>
      <c r="C274" s="54"/>
      <c r="D274" s="63"/>
      <c r="E274" s="54"/>
      <c r="F274" s="54"/>
      <c r="G274" s="54"/>
      <c r="H274" s="54"/>
      <c r="I274" s="54"/>
      <c r="J274" s="54"/>
      <c r="K274" s="54"/>
      <c r="L274" s="54"/>
      <c r="M274" s="54"/>
      <c r="N274" s="54"/>
      <c r="O274" s="54"/>
      <c r="P274" s="54"/>
      <c r="Q274" s="54"/>
      <c r="R274" s="54"/>
      <c r="S274" s="54"/>
      <c r="T274" s="54"/>
      <c r="U274" s="54"/>
      <c r="V274" s="54"/>
      <c r="W274" s="54"/>
      <c r="X274" s="54"/>
      <c r="Y274" s="54"/>
      <c r="Z274" s="54"/>
    </row>
    <row r="275" ht="26.25" customHeight="1">
      <c r="A275" s="54"/>
      <c r="B275" s="55"/>
      <c r="C275" s="54"/>
      <c r="D275" s="63"/>
      <c r="E275" s="54"/>
      <c r="F275" s="54"/>
      <c r="G275" s="54"/>
      <c r="H275" s="54"/>
      <c r="I275" s="54"/>
      <c r="J275" s="54"/>
      <c r="K275" s="54"/>
      <c r="L275" s="54"/>
      <c r="M275" s="54"/>
      <c r="N275" s="54"/>
      <c r="O275" s="54"/>
      <c r="P275" s="54"/>
      <c r="Q275" s="54"/>
      <c r="R275" s="54"/>
      <c r="S275" s="54"/>
      <c r="T275" s="54"/>
      <c r="U275" s="54"/>
      <c r="V275" s="54"/>
      <c r="W275" s="54"/>
      <c r="X275" s="54"/>
      <c r="Y275" s="54"/>
      <c r="Z275" s="54"/>
    </row>
    <row r="276" ht="26.25" customHeight="1">
      <c r="A276" s="54"/>
      <c r="B276" s="55"/>
      <c r="C276" s="54"/>
      <c r="D276" s="63"/>
      <c r="E276" s="54"/>
      <c r="F276" s="54"/>
      <c r="G276" s="54"/>
      <c r="H276" s="54"/>
      <c r="I276" s="54"/>
      <c r="J276" s="54"/>
      <c r="K276" s="54"/>
      <c r="L276" s="54"/>
      <c r="M276" s="54"/>
      <c r="N276" s="54"/>
      <c r="O276" s="54"/>
      <c r="P276" s="54"/>
      <c r="Q276" s="54"/>
      <c r="R276" s="54"/>
      <c r="S276" s="54"/>
      <c r="T276" s="54"/>
      <c r="U276" s="54"/>
      <c r="V276" s="54"/>
      <c r="W276" s="54"/>
      <c r="X276" s="54"/>
      <c r="Y276" s="54"/>
      <c r="Z276" s="54"/>
    </row>
    <row r="277" ht="26.25" customHeight="1">
      <c r="A277" s="54"/>
      <c r="B277" s="55"/>
      <c r="C277" s="54"/>
      <c r="D277" s="63"/>
      <c r="E277" s="54"/>
      <c r="F277" s="54"/>
      <c r="G277" s="54"/>
      <c r="H277" s="54"/>
      <c r="I277" s="54"/>
      <c r="J277" s="54"/>
      <c r="K277" s="54"/>
      <c r="L277" s="54"/>
      <c r="M277" s="54"/>
      <c r="N277" s="54"/>
      <c r="O277" s="54"/>
      <c r="P277" s="54"/>
      <c r="Q277" s="54"/>
      <c r="R277" s="54"/>
      <c r="S277" s="54"/>
      <c r="T277" s="54"/>
      <c r="U277" s="54"/>
      <c r="V277" s="54"/>
      <c r="W277" s="54"/>
      <c r="X277" s="54"/>
      <c r="Y277" s="54"/>
      <c r="Z277" s="54"/>
    </row>
    <row r="278" ht="26.25" customHeight="1">
      <c r="A278" s="54"/>
      <c r="B278" s="55"/>
      <c r="C278" s="54"/>
      <c r="D278" s="63"/>
      <c r="E278" s="54"/>
      <c r="F278" s="54"/>
      <c r="G278" s="54"/>
      <c r="H278" s="54"/>
      <c r="I278" s="54"/>
      <c r="J278" s="54"/>
      <c r="K278" s="54"/>
      <c r="L278" s="54"/>
      <c r="M278" s="54"/>
      <c r="N278" s="54"/>
      <c r="O278" s="54"/>
      <c r="P278" s="54"/>
      <c r="Q278" s="54"/>
      <c r="R278" s="54"/>
      <c r="S278" s="54"/>
      <c r="T278" s="54"/>
      <c r="U278" s="54"/>
      <c r="V278" s="54"/>
      <c r="W278" s="54"/>
      <c r="X278" s="54"/>
      <c r="Y278" s="54"/>
      <c r="Z278" s="54"/>
    </row>
    <row r="279" ht="26.25" customHeight="1">
      <c r="A279" s="54"/>
      <c r="B279" s="55"/>
      <c r="C279" s="54"/>
      <c r="D279" s="63"/>
      <c r="E279" s="54"/>
      <c r="F279" s="54"/>
      <c r="G279" s="54"/>
      <c r="H279" s="54"/>
      <c r="I279" s="54"/>
      <c r="J279" s="54"/>
      <c r="K279" s="54"/>
      <c r="L279" s="54"/>
      <c r="M279" s="54"/>
      <c r="N279" s="54"/>
      <c r="O279" s="54"/>
      <c r="P279" s="54"/>
      <c r="Q279" s="54"/>
      <c r="R279" s="54"/>
      <c r="S279" s="54"/>
      <c r="T279" s="54"/>
      <c r="U279" s="54"/>
      <c r="V279" s="54"/>
      <c r="W279" s="54"/>
      <c r="X279" s="54"/>
      <c r="Y279" s="54"/>
      <c r="Z279" s="54"/>
    </row>
    <row r="280" ht="26.25" customHeight="1">
      <c r="A280" s="54"/>
      <c r="B280" s="55"/>
      <c r="C280" s="54"/>
      <c r="D280" s="63"/>
      <c r="E280" s="54"/>
      <c r="F280" s="54"/>
      <c r="G280" s="54"/>
      <c r="H280" s="54"/>
      <c r="I280" s="54"/>
      <c r="J280" s="54"/>
      <c r="K280" s="54"/>
      <c r="L280" s="54"/>
      <c r="M280" s="54"/>
      <c r="N280" s="54"/>
      <c r="O280" s="54"/>
      <c r="P280" s="54"/>
      <c r="Q280" s="54"/>
      <c r="R280" s="54"/>
      <c r="S280" s="54"/>
      <c r="T280" s="54"/>
      <c r="U280" s="54"/>
      <c r="V280" s="54"/>
      <c r="W280" s="54"/>
      <c r="X280" s="54"/>
      <c r="Y280" s="54"/>
      <c r="Z280" s="54"/>
    </row>
    <row r="281" ht="26.25" customHeight="1">
      <c r="A281" s="54"/>
      <c r="B281" s="55"/>
      <c r="C281" s="54"/>
      <c r="D281" s="63"/>
      <c r="E281" s="54"/>
      <c r="F281" s="54"/>
      <c r="G281" s="54"/>
      <c r="H281" s="54"/>
      <c r="I281" s="54"/>
      <c r="J281" s="54"/>
      <c r="K281" s="54"/>
      <c r="L281" s="54"/>
      <c r="M281" s="54"/>
      <c r="N281" s="54"/>
      <c r="O281" s="54"/>
      <c r="P281" s="54"/>
      <c r="Q281" s="54"/>
      <c r="R281" s="54"/>
      <c r="S281" s="54"/>
      <c r="T281" s="54"/>
      <c r="U281" s="54"/>
      <c r="V281" s="54"/>
      <c r="W281" s="54"/>
      <c r="X281" s="54"/>
      <c r="Y281" s="54"/>
      <c r="Z281" s="54"/>
    </row>
    <row r="282" ht="26.25" customHeight="1">
      <c r="A282" s="54"/>
      <c r="B282" s="55"/>
      <c r="C282" s="54"/>
      <c r="D282" s="63"/>
      <c r="E282" s="54"/>
      <c r="F282" s="54"/>
      <c r="G282" s="54"/>
      <c r="H282" s="54"/>
      <c r="I282" s="54"/>
      <c r="J282" s="54"/>
      <c r="K282" s="54"/>
      <c r="L282" s="54"/>
      <c r="M282" s="54"/>
      <c r="N282" s="54"/>
      <c r="O282" s="54"/>
      <c r="P282" s="54"/>
      <c r="Q282" s="54"/>
      <c r="R282" s="54"/>
      <c r="S282" s="54"/>
      <c r="T282" s="54"/>
      <c r="U282" s="54"/>
      <c r="V282" s="54"/>
      <c r="W282" s="54"/>
      <c r="X282" s="54"/>
      <c r="Y282" s="54"/>
      <c r="Z282" s="54"/>
    </row>
    <row r="283" ht="26.25" customHeight="1">
      <c r="A283" s="54"/>
      <c r="B283" s="55"/>
      <c r="C283" s="54"/>
      <c r="D283" s="63"/>
      <c r="E283" s="54"/>
      <c r="F283" s="54"/>
      <c r="G283" s="54"/>
      <c r="H283" s="54"/>
      <c r="I283" s="54"/>
      <c r="J283" s="54"/>
      <c r="K283" s="54"/>
      <c r="L283" s="54"/>
      <c r="M283" s="54"/>
      <c r="N283" s="54"/>
      <c r="O283" s="54"/>
      <c r="P283" s="54"/>
      <c r="Q283" s="54"/>
      <c r="R283" s="54"/>
      <c r="S283" s="54"/>
      <c r="T283" s="54"/>
      <c r="U283" s="54"/>
      <c r="V283" s="54"/>
      <c r="W283" s="54"/>
      <c r="X283" s="54"/>
      <c r="Y283" s="54"/>
      <c r="Z283" s="54"/>
    </row>
    <row r="284" ht="26.25" customHeight="1">
      <c r="A284" s="54"/>
      <c r="B284" s="55"/>
      <c r="C284" s="54"/>
      <c r="D284" s="63"/>
      <c r="E284" s="54"/>
      <c r="F284" s="54"/>
      <c r="G284" s="54"/>
      <c r="H284" s="54"/>
      <c r="I284" s="54"/>
      <c r="J284" s="54"/>
      <c r="K284" s="54"/>
      <c r="L284" s="54"/>
      <c r="M284" s="54"/>
      <c r="N284" s="54"/>
      <c r="O284" s="54"/>
      <c r="P284" s="54"/>
      <c r="Q284" s="54"/>
      <c r="R284" s="54"/>
      <c r="S284" s="54"/>
      <c r="T284" s="54"/>
      <c r="U284" s="54"/>
      <c r="V284" s="54"/>
      <c r="W284" s="54"/>
      <c r="X284" s="54"/>
      <c r="Y284" s="54"/>
      <c r="Z284" s="54"/>
    </row>
    <row r="285" ht="26.25" customHeight="1">
      <c r="A285" s="54"/>
      <c r="B285" s="55"/>
      <c r="C285" s="54"/>
      <c r="D285" s="63"/>
      <c r="E285" s="54"/>
      <c r="F285" s="54"/>
      <c r="G285" s="54"/>
      <c r="H285" s="54"/>
      <c r="I285" s="54"/>
      <c r="J285" s="54"/>
      <c r="K285" s="54"/>
      <c r="L285" s="54"/>
      <c r="M285" s="54"/>
      <c r="N285" s="54"/>
      <c r="O285" s="54"/>
      <c r="P285" s="54"/>
      <c r="Q285" s="54"/>
      <c r="R285" s="54"/>
      <c r="S285" s="54"/>
      <c r="T285" s="54"/>
      <c r="U285" s="54"/>
      <c r="V285" s="54"/>
      <c r="W285" s="54"/>
      <c r="X285" s="54"/>
      <c r="Y285" s="54"/>
      <c r="Z285" s="54"/>
    </row>
    <row r="286" ht="26.25" customHeight="1">
      <c r="A286" s="54"/>
      <c r="B286" s="55"/>
      <c r="C286" s="54"/>
      <c r="D286" s="63"/>
      <c r="E286" s="54"/>
      <c r="F286" s="54"/>
      <c r="G286" s="54"/>
      <c r="H286" s="54"/>
      <c r="I286" s="54"/>
      <c r="J286" s="54"/>
      <c r="K286" s="54"/>
      <c r="L286" s="54"/>
      <c r="M286" s="54"/>
      <c r="N286" s="54"/>
      <c r="O286" s="54"/>
      <c r="P286" s="54"/>
      <c r="Q286" s="54"/>
      <c r="R286" s="54"/>
      <c r="S286" s="54"/>
      <c r="T286" s="54"/>
      <c r="U286" s="54"/>
      <c r="V286" s="54"/>
      <c r="W286" s="54"/>
      <c r="X286" s="54"/>
      <c r="Y286" s="54"/>
      <c r="Z286" s="54"/>
    </row>
    <row r="287" ht="26.25" customHeight="1">
      <c r="A287" s="54"/>
      <c r="B287" s="55"/>
      <c r="C287" s="54"/>
      <c r="D287" s="63"/>
      <c r="E287" s="54"/>
      <c r="F287" s="54"/>
      <c r="G287" s="54"/>
      <c r="H287" s="54"/>
      <c r="I287" s="54"/>
      <c r="J287" s="54"/>
      <c r="K287" s="54"/>
      <c r="L287" s="54"/>
      <c r="M287" s="54"/>
      <c r="N287" s="54"/>
      <c r="O287" s="54"/>
      <c r="P287" s="54"/>
      <c r="Q287" s="54"/>
      <c r="R287" s="54"/>
      <c r="S287" s="54"/>
      <c r="T287" s="54"/>
      <c r="U287" s="54"/>
      <c r="V287" s="54"/>
      <c r="W287" s="54"/>
      <c r="X287" s="54"/>
      <c r="Y287" s="54"/>
      <c r="Z287" s="54"/>
    </row>
    <row r="288" ht="26.25" customHeight="1">
      <c r="A288" s="54"/>
      <c r="B288" s="55"/>
      <c r="C288" s="54"/>
      <c r="D288" s="63"/>
      <c r="E288" s="54"/>
      <c r="F288" s="54"/>
      <c r="G288" s="54"/>
      <c r="H288" s="54"/>
      <c r="I288" s="54"/>
      <c r="J288" s="54"/>
      <c r="K288" s="54"/>
      <c r="L288" s="54"/>
      <c r="M288" s="54"/>
      <c r="N288" s="54"/>
      <c r="O288" s="54"/>
      <c r="P288" s="54"/>
      <c r="Q288" s="54"/>
      <c r="R288" s="54"/>
      <c r="S288" s="54"/>
      <c r="T288" s="54"/>
      <c r="U288" s="54"/>
      <c r="V288" s="54"/>
      <c r="W288" s="54"/>
      <c r="X288" s="54"/>
      <c r="Y288" s="54"/>
      <c r="Z288" s="54"/>
    </row>
    <row r="289" ht="26.25" customHeight="1">
      <c r="A289" s="54"/>
      <c r="B289" s="55"/>
      <c r="C289" s="54"/>
      <c r="D289" s="63"/>
      <c r="E289" s="54"/>
      <c r="F289" s="54"/>
      <c r="G289" s="54"/>
      <c r="H289" s="54"/>
      <c r="I289" s="54"/>
      <c r="J289" s="54"/>
      <c r="K289" s="54"/>
      <c r="L289" s="54"/>
      <c r="M289" s="54"/>
      <c r="N289" s="54"/>
      <c r="O289" s="54"/>
      <c r="P289" s="54"/>
      <c r="Q289" s="54"/>
      <c r="R289" s="54"/>
      <c r="S289" s="54"/>
      <c r="T289" s="54"/>
      <c r="U289" s="54"/>
      <c r="V289" s="54"/>
      <c r="W289" s="54"/>
      <c r="X289" s="54"/>
      <c r="Y289" s="54"/>
      <c r="Z289" s="54"/>
    </row>
    <row r="290" ht="26.25" customHeight="1">
      <c r="A290" s="54"/>
      <c r="B290" s="55"/>
      <c r="C290" s="54"/>
      <c r="D290" s="63"/>
      <c r="E290" s="54"/>
      <c r="F290" s="54"/>
      <c r="G290" s="54"/>
      <c r="H290" s="54"/>
      <c r="I290" s="54"/>
      <c r="J290" s="54"/>
      <c r="K290" s="54"/>
      <c r="L290" s="54"/>
      <c r="M290" s="54"/>
      <c r="N290" s="54"/>
      <c r="O290" s="54"/>
      <c r="P290" s="54"/>
      <c r="Q290" s="54"/>
      <c r="R290" s="54"/>
      <c r="S290" s="54"/>
      <c r="T290" s="54"/>
      <c r="U290" s="54"/>
      <c r="V290" s="54"/>
      <c r="W290" s="54"/>
      <c r="X290" s="54"/>
      <c r="Y290" s="54"/>
      <c r="Z290" s="54"/>
    </row>
    <row r="291" ht="26.25" customHeight="1">
      <c r="A291" s="54"/>
      <c r="B291" s="55"/>
      <c r="C291" s="54"/>
      <c r="D291" s="63"/>
      <c r="E291" s="54"/>
      <c r="F291" s="54"/>
      <c r="G291" s="54"/>
      <c r="H291" s="54"/>
      <c r="I291" s="54"/>
      <c r="J291" s="54"/>
      <c r="K291" s="54"/>
      <c r="L291" s="54"/>
      <c r="M291" s="54"/>
      <c r="N291" s="54"/>
      <c r="O291" s="54"/>
      <c r="P291" s="54"/>
      <c r="Q291" s="54"/>
      <c r="R291" s="54"/>
      <c r="S291" s="54"/>
      <c r="T291" s="54"/>
      <c r="U291" s="54"/>
      <c r="V291" s="54"/>
      <c r="W291" s="54"/>
      <c r="X291" s="54"/>
      <c r="Y291" s="54"/>
      <c r="Z291" s="54"/>
    </row>
    <row r="292" ht="26.25" customHeight="1">
      <c r="A292" s="54"/>
      <c r="B292" s="55"/>
      <c r="C292" s="54"/>
      <c r="D292" s="63"/>
      <c r="E292" s="54"/>
      <c r="F292" s="54"/>
      <c r="G292" s="54"/>
      <c r="H292" s="54"/>
      <c r="I292" s="54"/>
      <c r="J292" s="54"/>
      <c r="K292" s="54"/>
      <c r="L292" s="54"/>
      <c r="M292" s="54"/>
      <c r="N292" s="54"/>
      <c r="O292" s="54"/>
      <c r="P292" s="54"/>
      <c r="Q292" s="54"/>
      <c r="R292" s="54"/>
      <c r="S292" s="54"/>
      <c r="T292" s="54"/>
      <c r="U292" s="54"/>
      <c r="V292" s="54"/>
      <c r="W292" s="54"/>
      <c r="X292" s="54"/>
      <c r="Y292" s="54"/>
      <c r="Z292" s="54"/>
    </row>
    <row r="293" ht="26.25" customHeight="1">
      <c r="A293" s="54"/>
      <c r="B293" s="55"/>
      <c r="C293" s="54"/>
      <c r="D293" s="63"/>
      <c r="E293" s="54"/>
      <c r="F293" s="54"/>
      <c r="G293" s="54"/>
      <c r="H293" s="54"/>
      <c r="I293" s="54"/>
      <c r="J293" s="54"/>
      <c r="K293" s="54"/>
      <c r="L293" s="54"/>
      <c r="M293" s="54"/>
      <c r="N293" s="54"/>
      <c r="O293" s="54"/>
      <c r="P293" s="54"/>
      <c r="Q293" s="54"/>
      <c r="R293" s="54"/>
      <c r="S293" s="54"/>
      <c r="T293" s="54"/>
      <c r="U293" s="54"/>
      <c r="V293" s="54"/>
      <c r="W293" s="54"/>
      <c r="X293" s="54"/>
      <c r="Y293" s="54"/>
      <c r="Z293" s="54"/>
    </row>
    <row r="294" ht="26.25" customHeight="1">
      <c r="A294" s="54"/>
      <c r="B294" s="55"/>
      <c r="C294" s="54"/>
      <c r="D294" s="63"/>
      <c r="E294" s="54"/>
      <c r="F294" s="54"/>
      <c r="G294" s="54"/>
      <c r="H294" s="54"/>
      <c r="I294" s="54"/>
      <c r="J294" s="54"/>
      <c r="K294" s="54"/>
      <c r="L294" s="54"/>
      <c r="M294" s="54"/>
      <c r="N294" s="54"/>
      <c r="O294" s="54"/>
      <c r="P294" s="54"/>
      <c r="Q294" s="54"/>
      <c r="R294" s="54"/>
      <c r="S294" s="54"/>
      <c r="T294" s="54"/>
      <c r="U294" s="54"/>
      <c r="V294" s="54"/>
      <c r="W294" s="54"/>
      <c r="X294" s="54"/>
      <c r="Y294" s="54"/>
      <c r="Z294" s="54"/>
    </row>
    <row r="295" ht="26.25" customHeight="1">
      <c r="A295" s="54"/>
      <c r="B295" s="55"/>
      <c r="C295" s="54"/>
      <c r="D295" s="63"/>
      <c r="E295" s="54"/>
      <c r="F295" s="54"/>
      <c r="G295" s="54"/>
      <c r="H295" s="54"/>
      <c r="I295" s="54"/>
      <c r="J295" s="54"/>
      <c r="K295" s="54"/>
      <c r="L295" s="54"/>
      <c r="M295" s="54"/>
      <c r="N295" s="54"/>
      <c r="O295" s="54"/>
      <c r="P295" s="54"/>
      <c r="Q295" s="54"/>
      <c r="R295" s="54"/>
      <c r="S295" s="54"/>
      <c r="T295" s="54"/>
      <c r="U295" s="54"/>
      <c r="V295" s="54"/>
      <c r="W295" s="54"/>
      <c r="X295" s="54"/>
      <c r="Y295" s="54"/>
      <c r="Z295" s="54"/>
    </row>
    <row r="296" ht="26.25" customHeight="1">
      <c r="A296" s="54"/>
      <c r="B296" s="55"/>
      <c r="C296" s="54"/>
      <c r="D296" s="63"/>
      <c r="E296" s="54"/>
      <c r="F296" s="54"/>
      <c r="G296" s="54"/>
      <c r="H296" s="54"/>
      <c r="I296" s="54"/>
      <c r="J296" s="54"/>
      <c r="K296" s="54"/>
      <c r="L296" s="54"/>
      <c r="M296" s="54"/>
      <c r="N296" s="54"/>
      <c r="O296" s="54"/>
      <c r="P296" s="54"/>
      <c r="Q296" s="54"/>
      <c r="R296" s="54"/>
      <c r="S296" s="54"/>
      <c r="T296" s="54"/>
      <c r="U296" s="54"/>
      <c r="V296" s="54"/>
      <c r="W296" s="54"/>
      <c r="X296" s="54"/>
      <c r="Y296" s="54"/>
      <c r="Z296" s="54"/>
    </row>
    <row r="297" ht="26.25" customHeight="1">
      <c r="A297" s="54"/>
      <c r="B297" s="55"/>
      <c r="C297" s="54"/>
      <c r="D297" s="63"/>
      <c r="E297" s="54"/>
      <c r="F297" s="54"/>
      <c r="G297" s="54"/>
      <c r="H297" s="54"/>
      <c r="I297" s="54"/>
      <c r="J297" s="54"/>
      <c r="K297" s="54"/>
      <c r="L297" s="54"/>
      <c r="M297" s="54"/>
      <c r="N297" s="54"/>
      <c r="O297" s="54"/>
      <c r="P297" s="54"/>
      <c r="Q297" s="54"/>
      <c r="R297" s="54"/>
      <c r="S297" s="54"/>
      <c r="T297" s="54"/>
      <c r="U297" s="54"/>
      <c r="V297" s="54"/>
      <c r="W297" s="54"/>
      <c r="X297" s="54"/>
      <c r="Y297" s="54"/>
      <c r="Z297" s="54"/>
    </row>
    <row r="298" ht="26.25" customHeight="1">
      <c r="A298" s="54"/>
      <c r="B298" s="55"/>
      <c r="C298" s="54"/>
      <c r="D298" s="63"/>
      <c r="E298" s="54"/>
      <c r="F298" s="54"/>
      <c r="G298" s="54"/>
      <c r="H298" s="54"/>
      <c r="I298" s="54"/>
      <c r="J298" s="54"/>
      <c r="K298" s="54"/>
      <c r="L298" s="54"/>
      <c r="M298" s="54"/>
      <c r="N298" s="54"/>
      <c r="O298" s="54"/>
      <c r="P298" s="54"/>
      <c r="Q298" s="54"/>
      <c r="R298" s="54"/>
      <c r="S298" s="54"/>
      <c r="T298" s="54"/>
      <c r="U298" s="54"/>
      <c r="V298" s="54"/>
      <c r="W298" s="54"/>
      <c r="X298" s="54"/>
      <c r="Y298" s="54"/>
      <c r="Z298" s="54"/>
    </row>
    <row r="299" ht="26.25" customHeight="1">
      <c r="A299" s="54"/>
      <c r="B299" s="55"/>
      <c r="C299" s="54"/>
      <c r="D299" s="63"/>
      <c r="E299" s="54"/>
      <c r="F299" s="54"/>
      <c r="G299" s="54"/>
      <c r="H299" s="54"/>
      <c r="I299" s="54"/>
      <c r="J299" s="54"/>
      <c r="K299" s="54"/>
      <c r="L299" s="54"/>
      <c r="M299" s="54"/>
      <c r="N299" s="54"/>
      <c r="O299" s="54"/>
      <c r="P299" s="54"/>
      <c r="Q299" s="54"/>
      <c r="R299" s="54"/>
      <c r="S299" s="54"/>
      <c r="T299" s="54"/>
      <c r="U299" s="54"/>
      <c r="V299" s="54"/>
      <c r="W299" s="54"/>
      <c r="X299" s="54"/>
      <c r="Y299" s="54"/>
      <c r="Z299" s="54"/>
    </row>
    <row r="300" ht="26.25" customHeight="1">
      <c r="A300" s="54"/>
      <c r="B300" s="55"/>
      <c r="C300" s="54"/>
      <c r="D300" s="63"/>
      <c r="E300" s="54"/>
      <c r="F300" s="54"/>
      <c r="G300" s="54"/>
      <c r="H300" s="54"/>
      <c r="I300" s="54"/>
      <c r="J300" s="54"/>
      <c r="K300" s="54"/>
      <c r="L300" s="54"/>
      <c r="M300" s="54"/>
      <c r="N300" s="54"/>
      <c r="O300" s="54"/>
      <c r="P300" s="54"/>
      <c r="Q300" s="54"/>
      <c r="R300" s="54"/>
      <c r="S300" s="54"/>
      <c r="T300" s="54"/>
      <c r="U300" s="54"/>
      <c r="V300" s="54"/>
      <c r="W300" s="54"/>
      <c r="X300" s="54"/>
      <c r="Y300" s="54"/>
      <c r="Z300" s="54"/>
    </row>
    <row r="301" ht="26.25" customHeight="1">
      <c r="A301" s="54"/>
      <c r="B301" s="55"/>
      <c r="C301" s="54"/>
      <c r="D301" s="63"/>
      <c r="E301" s="54"/>
      <c r="F301" s="54"/>
      <c r="G301" s="54"/>
      <c r="H301" s="54"/>
      <c r="I301" s="54"/>
      <c r="J301" s="54"/>
      <c r="K301" s="54"/>
      <c r="L301" s="54"/>
      <c r="M301" s="54"/>
      <c r="N301" s="54"/>
      <c r="O301" s="54"/>
      <c r="P301" s="54"/>
      <c r="Q301" s="54"/>
      <c r="R301" s="54"/>
      <c r="S301" s="54"/>
      <c r="T301" s="54"/>
      <c r="U301" s="54"/>
      <c r="V301" s="54"/>
      <c r="W301" s="54"/>
      <c r="X301" s="54"/>
      <c r="Y301" s="54"/>
      <c r="Z301" s="54"/>
    </row>
    <row r="302" ht="26.25" customHeight="1">
      <c r="A302" s="54"/>
      <c r="B302" s="55"/>
      <c r="C302" s="54"/>
      <c r="D302" s="63"/>
      <c r="E302" s="54"/>
      <c r="F302" s="54"/>
      <c r="G302" s="54"/>
      <c r="H302" s="54"/>
      <c r="I302" s="54"/>
      <c r="J302" s="54"/>
      <c r="K302" s="54"/>
      <c r="L302" s="54"/>
      <c r="M302" s="54"/>
      <c r="N302" s="54"/>
      <c r="O302" s="54"/>
      <c r="P302" s="54"/>
      <c r="Q302" s="54"/>
      <c r="R302" s="54"/>
      <c r="S302" s="54"/>
      <c r="T302" s="54"/>
      <c r="U302" s="54"/>
      <c r="V302" s="54"/>
      <c r="W302" s="54"/>
      <c r="X302" s="54"/>
      <c r="Y302" s="54"/>
      <c r="Z302" s="54"/>
    </row>
    <row r="303" ht="26.25" customHeight="1">
      <c r="A303" s="54"/>
      <c r="B303" s="55"/>
      <c r="C303" s="54"/>
      <c r="D303" s="63"/>
      <c r="E303" s="54"/>
      <c r="F303" s="54"/>
      <c r="G303" s="54"/>
      <c r="H303" s="54"/>
      <c r="I303" s="54"/>
      <c r="J303" s="54"/>
      <c r="K303" s="54"/>
      <c r="L303" s="54"/>
      <c r="M303" s="54"/>
      <c r="N303" s="54"/>
      <c r="O303" s="54"/>
      <c r="P303" s="54"/>
      <c r="Q303" s="54"/>
      <c r="R303" s="54"/>
      <c r="S303" s="54"/>
      <c r="T303" s="54"/>
      <c r="U303" s="54"/>
      <c r="V303" s="54"/>
      <c r="W303" s="54"/>
      <c r="X303" s="54"/>
      <c r="Y303" s="54"/>
      <c r="Z303" s="54"/>
    </row>
    <row r="304" ht="26.25" customHeight="1">
      <c r="A304" s="54"/>
      <c r="B304" s="55"/>
      <c r="C304" s="54"/>
      <c r="D304" s="63"/>
      <c r="E304" s="54"/>
      <c r="F304" s="54"/>
      <c r="G304" s="54"/>
      <c r="H304" s="54"/>
      <c r="I304" s="54"/>
      <c r="J304" s="54"/>
      <c r="K304" s="54"/>
      <c r="L304" s="54"/>
      <c r="M304" s="54"/>
      <c r="N304" s="54"/>
      <c r="O304" s="54"/>
      <c r="P304" s="54"/>
      <c r="Q304" s="54"/>
      <c r="R304" s="54"/>
      <c r="S304" s="54"/>
      <c r="T304" s="54"/>
      <c r="U304" s="54"/>
      <c r="V304" s="54"/>
      <c r="W304" s="54"/>
      <c r="X304" s="54"/>
      <c r="Y304" s="54"/>
      <c r="Z304" s="54"/>
    </row>
    <row r="305" ht="26.25" customHeight="1">
      <c r="A305" s="54"/>
      <c r="B305" s="55"/>
      <c r="C305" s="54"/>
      <c r="D305" s="63"/>
      <c r="E305" s="54"/>
      <c r="F305" s="54"/>
      <c r="G305" s="54"/>
      <c r="H305" s="54"/>
      <c r="I305" s="54"/>
      <c r="J305" s="54"/>
      <c r="K305" s="54"/>
      <c r="L305" s="54"/>
      <c r="M305" s="54"/>
      <c r="N305" s="54"/>
      <c r="O305" s="54"/>
      <c r="P305" s="54"/>
      <c r="Q305" s="54"/>
      <c r="R305" s="54"/>
      <c r="S305" s="54"/>
      <c r="T305" s="54"/>
      <c r="U305" s="54"/>
      <c r="V305" s="54"/>
      <c r="W305" s="54"/>
      <c r="X305" s="54"/>
      <c r="Y305" s="54"/>
      <c r="Z305" s="54"/>
    </row>
    <row r="306" ht="26.25" customHeight="1">
      <c r="A306" s="54"/>
      <c r="B306" s="55"/>
      <c r="C306" s="54"/>
      <c r="D306" s="63"/>
      <c r="E306" s="54"/>
      <c r="F306" s="54"/>
      <c r="G306" s="54"/>
      <c r="H306" s="54"/>
      <c r="I306" s="54"/>
      <c r="J306" s="54"/>
      <c r="K306" s="54"/>
      <c r="L306" s="54"/>
      <c r="M306" s="54"/>
      <c r="N306" s="54"/>
      <c r="O306" s="54"/>
      <c r="P306" s="54"/>
      <c r="Q306" s="54"/>
      <c r="R306" s="54"/>
      <c r="S306" s="54"/>
      <c r="T306" s="54"/>
      <c r="U306" s="54"/>
      <c r="V306" s="54"/>
      <c r="W306" s="54"/>
      <c r="X306" s="54"/>
      <c r="Y306" s="54"/>
      <c r="Z306" s="54"/>
    </row>
    <row r="307" ht="26.25" customHeight="1">
      <c r="A307" s="54"/>
      <c r="B307" s="55"/>
      <c r="C307" s="54"/>
      <c r="D307" s="63"/>
      <c r="E307" s="54"/>
      <c r="F307" s="54"/>
      <c r="G307" s="54"/>
      <c r="H307" s="54"/>
      <c r="I307" s="54"/>
      <c r="J307" s="54"/>
      <c r="K307" s="54"/>
      <c r="L307" s="54"/>
      <c r="M307" s="54"/>
      <c r="N307" s="54"/>
      <c r="O307" s="54"/>
      <c r="P307" s="54"/>
      <c r="Q307" s="54"/>
      <c r="R307" s="54"/>
      <c r="S307" s="54"/>
      <c r="T307" s="54"/>
      <c r="U307" s="54"/>
      <c r="V307" s="54"/>
      <c r="W307" s="54"/>
      <c r="X307" s="54"/>
      <c r="Y307" s="54"/>
      <c r="Z307" s="54"/>
    </row>
    <row r="308" ht="26.25" customHeight="1">
      <c r="A308" s="54"/>
      <c r="B308" s="55"/>
      <c r="C308" s="54"/>
      <c r="D308" s="63"/>
      <c r="E308" s="54"/>
      <c r="F308" s="54"/>
      <c r="G308" s="54"/>
      <c r="H308" s="54"/>
      <c r="I308" s="54"/>
      <c r="J308" s="54"/>
      <c r="K308" s="54"/>
      <c r="L308" s="54"/>
      <c r="M308" s="54"/>
      <c r="N308" s="54"/>
      <c r="O308" s="54"/>
      <c r="P308" s="54"/>
      <c r="Q308" s="54"/>
      <c r="R308" s="54"/>
      <c r="S308" s="54"/>
      <c r="T308" s="54"/>
      <c r="U308" s="54"/>
      <c r="V308" s="54"/>
      <c r="W308" s="54"/>
      <c r="X308" s="54"/>
      <c r="Y308" s="54"/>
      <c r="Z308" s="54"/>
    </row>
    <row r="309" ht="26.25" customHeight="1">
      <c r="A309" s="54"/>
      <c r="B309" s="55"/>
      <c r="C309" s="54"/>
      <c r="D309" s="63"/>
      <c r="E309" s="54"/>
      <c r="F309" s="54"/>
      <c r="G309" s="54"/>
      <c r="H309" s="54"/>
      <c r="I309" s="54"/>
      <c r="J309" s="54"/>
      <c r="K309" s="54"/>
      <c r="L309" s="54"/>
      <c r="M309" s="54"/>
      <c r="N309" s="54"/>
      <c r="O309" s="54"/>
      <c r="P309" s="54"/>
      <c r="Q309" s="54"/>
      <c r="R309" s="54"/>
      <c r="S309" s="54"/>
      <c r="T309" s="54"/>
      <c r="U309" s="54"/>
      <c r="V309" s="54"/>
      <c r="W309" s="54"/>
      <c r="X309" s="54"/>
      <c r="Y309" s="54"/>
      <c r="Z309" s="54"/>
    </row>
    <row r="310" ht="26.25" customHeight="1">
      <c r="A310" s="54"/>
      <c r="B310" s="55"/>
      <c r="C310" s="54"/>
      <c r="D310" s="63"/>
      <c r="E310" s="54"/>
      <c r="F310" s="54"/>
      <c r="G310" s="54"/>
      <c r="H310" s="54"/>
      <c r="I310" s="54"/>
      <c r="J310" s="54"/>
      <c r="K310" s="54"/>
      <c r="L310" s="54"/>
      <c r="M310" s="54"/>
      <c r="N310" s="54"/>
      <c r="O310" s="54"/>
      <c r="P310" s="54"/>
      <c r="Q310" s="54"/>
      <c r="R310" s="54"/>
      <c r="S310" s="54"/>
      <c r="T310" s="54"/>
      <c r="U310" s="54"/>
      <c r="V310" s="54"/>
      <c r="W310" s="54"/>
      <c r="X310" s="54"/>
      <c r="Y310" s="54"/>
      <c r="Z310" s="54"/>
    </row>
    <row r="311" ht="26.25" customHeight="1">
      <c r="A311" s="54"/>
      <c r="B311" s="55"/>
      <c r="C311" s="54"/>
      <c r="D311" s="63"/>
      <c r="E311" s="54"/>
      <c r="F311" s="54"/>
      <c r="G311" s="54"/>
      <c r="H311" s="54"/>
      <c r="I311" s="54"/>
      <c r="J311" s="54"/>
      <c r="K311" s="54"/>
      <c r="L311" s="54"/>
      <c r="M311" s="54"/>
      <c r="N311" s="54"/>
      <c r="O311" s="54"/>
      <c r="P311" s="54"/>
      <c r="Q311" s="54"/>
      <c r="R311" s="54"/>
      <c r="S311" s="54"/>
      <c r="T311" s="54"/>
      <c r="U311" s="54"/>
      <c r="V311" s="54"/>
      <c r="W311" s="54"/>
      <c r="X311" s="54"/>
      <c r="Y311" s="54"/>
      <c r="Z311" s="54"/>
    </row>
    <row r="312" ht="26.25" customHeight="1">
      <c r="A312" s="54"/>
      <c r="B312" s="55"/>
      <c r="C312" s="54"/>
      <c r="D312" s="63"/>
      <c r="E312" s="54"/>
      <c r="F312" s="54"/>
      <c r="G312" s="54"/>
      <c r="H312" s="54"/>
      <c r="I312" s="54"/>
      <c r="J312" s="54"/>
      <c r="K312" s="54"/>
      <c r="L312" s="54"/>
      <c r="M312" s="54"/>
      <c r="N312" s="54"/>
      <c r="O312" s="54"/>
      <c r="P312" s="54"/>
      <c r="Q312" s="54"/>
      <c r="R312" s="54"/>
      <c r="S312" s="54"/>
      <c r="T312" s="54"/>
      <c r="U312" s="54"/>
      <c r="V312" s="54"/>
      <c r="W312" s="54"/>
      <c r="X312" s="54"/>
      <c r="Y312" s="54"/>
      <c r="Z312" s="54"/>
    </row>
    <row r="313" ht="26.25" customHeight="1">
      <c r="A313" s="54"/>
      <c r="B313" s="55"/>
      <c r="C313" s="54"/>
      <c r="D313" s="63"/>
      <c r="E313" s="54"/>
      <c r="F313" s="54"/>
      <c r="G313" s="54"/>
      <c r="H313" s="54"/>
      <c r="I313" s="54"/>
      <c r="J313" s="54"/>
      <c r="K313" s="54"/>
      <c r="L313" s="54"/>
      <c r="M313" s="54"/>
      <c r="N313" s="54"/>
      <c r="O313" s="54"/>
      <c r="P313" s="54"/>
      <c r="Q313" s="54"/>
      <c r="R313" s="54"/>
      <c r="S313" s="54"/>
      <c r="T313" s="54"/>
      <c r="U313" s="54"/>
      <c r="V313" s="54"/>
      <c r="W313" s="54"/>
      <c r="X313" s="54"/>
      <c r="Y313" s="54"/>
      <c r="Z313" s="54"/>
    </row>
    <row r="314" ht="26.25" customHeight="1">
      <c r="A314" s="54"/>
      <c r="B314" s="55"/>
      <c r="C314" s="54"/>
      <c r="D314" s="63"/>
      <c r="E314" s="54"/>
      <c r="F314" s="54"/>
      <c r="G314" s="54"/>
      <c r="H314" s="54"/>
      <c r="I314" s="54"/>
      <c r="J314" s="54"/>
      <c r="K314" s="54"/>
      <c r="L314" s="54"/>
      <c r="M314" s="54"/>
      <c r="N314" s="54"/>
      <c r="O314" s="54"/>
      <c r="P314" s="54"/>
      <c r="Q314" s="54"/>
      <c r="R314" s="54"/>
      <c r="S314" s="54"/>
      <c r="T314" s="54"/>
      <c r="U314" s="54"/>
      <c r="V314" s="54"/>
      <c r="W314" s="54"/>
      <c r="X314" s="54"/>
      <c r="Y314" s="54"/>
      <c r="Z314" s="54"/>
    </row>
    <row r="315" ht="26.25" customHeight="1">
      <c r="A315" s="54"/>
      <c r="B315" s="55"/>
      <c r="C315" s="54"/>
      <c r="D315" s="63"/>
      <c r="E315" s="54"/>
      <c r="F315" s="54"/>
      <c r="G315" s="54"/>
      <c r="H315" s="54"/>
      <c r="I315" s="54"/>
      <c r="J315" s="54"/>
      <c r="K315" s="54"/>
      <c r="L315" s="54"/>
      <c r="M315" s="54"/>
      <c r="N315" s="54"/>
      <c r="O315" s="54"/>
      <c r="P315" s="54"/>
      <c r="Q315" s="54"/>
      <c r="R315" s="54"/>
      <c r="S315" s="54"/>
      <c r="T315" s="54"/>
      <c r="U315" s="54"/>
      <c r="V315" s="54"/>
      <c r="W315" s="54"/>
      <c r="X315" s="54"/>
      <c r="Y315" s="54"/>
      <c r="Z315" s="54"/>
    </row>
    <row r="316" ht="26.25" customHeight="1">
      <c r="A316" s="54"/>
      <c r="B316" s="55"/>
      <c r="C316" s="54"/>
      <c r="D316" s="63"/>
      <c r="E316" s="54"/>
      <c r="F316" s="54"/>
      <c r="G316" s="54"/>
      <c r="H316" s="54"/>
      <c r="I316" s="54"/>
      <c r="J316" s="54"/>
      <c r="K316" s="54"/>
      <c r="L316" s="54"/>
      <c r="M316" s="54"/>
      <c r="N316" s="54"/>
      <c r="O316" s="54"/>
      <c r="P316" s="54"/>
      <c r="Q316" s="54"/>
      <c r="R316" s="54"/>
      <c r="S316" s="54"/>
      <c r="T316" s="54"/>
      <c r="U316" s="54"/>
      <c r="V316" s="54"/>
      <c r="W316" s="54"/>
      <c r="X316" s="54"/>
      <c r="Y316" s="54"/>
      <c r="Z316" s="54"/>
    </row>
    <row r="317" ht="26.25" customHeight="1">
      <c r="A317" s="54"/>
      <c r="B317" s="55"/>
      <c r="C317" s="54"/>
      <c r="D317" s="63"/>
      <c r="E317" s="54"/>
      <c r="F317" s="54"/>
      <c r="G317" s="54"/>
      <c r="H317" s="54"/>
      <c r="I317" s="54"/>
      <c r="J317" s="54"/>
      <c r="K317" s="54"/>
      <c r="L317" s="54"/>
      <c r="M317" s="54"/>
      <c r="N317" s="54"/>
      <c r="O317" s="54"/>
      <c r="P317" s="54"/>
      <c r="Q317" s="54"/>
      <c r="R317" s="54"/>
      <c r="S317" s="54"/>
      <c r="T317" s="54"/>
      <c r="U317" s="54"/>
      <c r="V317" s="54"/>
      <c r="W317" s="54"/>
      <c r="X317" s="54"/>
      <c r="Y317" s="54"/>
      <c r="Z317" s="54"/>
    </row>
    <row r="318" ht="26.25" customHeight="1">
      <c r="A318" s="54"/>
      <c r="B318" s="55"/>
      <c r="C318" s="54"/>
      <c r="D318" s="63"/>
      <c r="E318" s="54"/>
      <c r="F318" s="54"/>
      <c r="G318" s="54"/>
      <c r="H318" s="54"/>
      <c r="I318" s="54"/>
      <c r="J318" s="54"/>
      <c r="K318" s="54"/>
      <c r="L318" s="54"/>
      <c r="M318" s="54"/>
      <c r="N318" s="54"/>
      <c r="O318" s="54"/>
      <c r="P318" s="54"/>
      <c r="Q318" s="54"/>
      <c r="R318" s="54"/>
      <c r="S318" s="54"/>
      <c r="T318" s="54"/>
      <c r="U318" s="54"/>
      <c r="V318" s="54"/>
      <c r="W318" s="54"/>
      <c r="X318" s="54"/>
      <c r="Y318" s="54"/>
      <c r="Z318" s="54"/>
    </row>
    <row r="319" ht="26.25" customHeight="1">
      <c r="A319" s="54"/>
      <c r="B319" s="55"/>
      <c r="C319" s="54"/>
      <c r="D319" s="63"/>
      <c r="E319" s="54"/>
      <c r="F319" s="54"/>
      <c r="G319" s="54"/>
      <c r="H319" s="54"/>
      <c r="I319" s="54"/>
      <c r="J319" s="54"/>
      <c r="K319" s="54"/>
      <c r="L319" s="54"/>
      <c r="M319" s="54"/>
      <c r="N319" s="54"/>
      <c r="O319" s="54"/>
      <c r="P319" s="54"/>
      <c r="Q319" s="54"/>
      <c r="R319" s="54"/>
      <c r="S319" s="54"/>
      <c r="T319" s="54"/>
      <c r="U319" s="54"/>
      <c r="V319" s="54"/>
      <c r="W319" s="54"/>
      <c r="X319" s="54"/>
      <c r="Y319" s="54"/>
      <c r="Z319" s="54"/>
    </row>
    <row r="320" ht="26.25" customHeight="1">
      <c r="A320" s="54"/>
      <c r="B320" s="55"/>
      <c r="C320" s="54"/>
      <c r="D320" s="63"/>
      <c r="E320" s="54"/>
      <c r="F320" s="54"/>
      <c r="G320" s="54"/>
      <c r="H320" s="54"/>
      <c r="I320" s="54"/>
      <c r="J320" s="54"/>
      <c r="K320" s="54"/>
      <c r="L320" s="54"/>
      <c r="M320" s="54"/>
      <c r="N320" s="54"/>
      <c r="O320" s="54"/>
      <c r="P320" s="54"/>
      <c r="Q320" s="54"/>
      <c r="R320" s="54"/>
      <c r="S320" s="54"/>
      <c r="T320" s="54"/>
      <c r="U320" s="54"/>
      <c r="V320" s="54"/>
      <c r="W320" s="54"/>
      <c r="X320" s="54"/>
      <c r="Y320" s="54"/>
      <c r="Z320" s="54"/>
    </row>
    <row r="321" ht="26.25" customHeight="1">
      <c r="A321" s="54"/>
      <c r="B321" s="55"/>
      <c r="C321" s="54"/>
      <c r="D321" s="63"/>
      <c r="E321" s="54"/>
      <c r="F321" s="54"/>
      <c r="G321" s="54"/>
      <c r="H321" s="54"/>
      <c r="I321" s="54"/>
      <c r="J321" s="54"/>
      <c r="K321" s="54"/>
      <c r="L321" s="54"/>
      <c r="M321" s="54"/>
      <c r="N321" s="54"/>
      <c r="O321" s="54"/>
      <c r="P321" s="54"/>
      <c r="Q321" s="54"/>
      <c r="R321" s="54"/>
      <c r="S321" s="54"/>
      <c r="T321" s="54"/>
      <c r="U321" s="54"/>
      <c r="V321" s="54"/>
      <c r="W321" s="54"/>
      <c r="X321" s="54"/>
      <c r="Y321" s="54"/>
      <c r="Z321" s="54"/>
    </row>
    <row r="322" ht="26.25" customHeight="1">
      <c r="A322" s="54"/>
      <c r="B322" s="55"/>
      <c r="C322" s="54"/>
      <c r="D322" s="63"/>
      <c r="E322" s="54"/>
      <c r="F322" s="54"/>
      <c r="G322" s="54"/>
      <c r="H322" s="54"/>
      <c r="I322" s="54"/>
      <c r="J322" s="54"/>
      <c r="K322" s="54"/>
      <c r="L322" s="54"/>
      <c r="M322" s="54"/>
      <c r="N322" s="54"/>
      <c r="O322" s="54"/>
      <c r="P322" s="54"/>
      <c r="Q322" s="54"/>
      <c r="R322" s="54"/>
      <c r="S322" s="54"/>
      <c r="T322" s="54"/>
      <c r="U322" s="54"/>
      <c r="V322" s="54"/>
      <c r="W322" s="54"/>
      <c r="X322" s="54"/>
      <c r="Y322" s="54"/>
      <c r="Z322" s="54"/>
    </row>
    <row r="323" ht="26.25" customHeight="1">
      <c r="A323" s="54"/>
      <c r="B323" s="55"/>
      <c r="C323" s="54"/>
      <c r="D323" s="63"/>
      <c r="E323" s="54"/>
      <c r="F323" s="54"/>
      <c r="G323" s="54"/>
      <c r="H323" s="54"/>
      <c r="I323" s="54"/>
      <c r="J323" s="54"/>
      <c r="K323" s="54"/>
      <c r="L323" s="54"/>
      <c r="M323" s="54"/>
      <c r="N323" s="54"/>
      <c r="O323" s="54"/>
      <c r="P323" s="54"/>
      <c r="Q323" s="54"/>
      <c r="R323" s="54"/>
      <c r="S323" s="54"/>
      <c r="T323" s="54"/>
      <c r="U323" s="54"/>
      <c r="V323" s="54"/>
      <c r="W323" s="54"/>
      <c r="X323" s="54"/>
      <c r="Y323" s="54"/>
      <c r="Z323" s="54"/>
    </row>
    <row r="324" ht="26.25" customHeight="1">
      <c r="A324" s="54"/>
      <c r="B324" s="55"/>
      <c r="C324" s="54"/>
      <c r="D324" s="63"/>
      <c r="E324" s="54"/>
      <c r="F324" s="54"/>
      <c r="G324" s="54"/>
      <c r="H324" s="54"/>
      <c r="I324" s="54"/>
      <c r="J324" s="54"/>
      <c r="K324" s="54"/>
      <c r="L324" s="54"/>
      <c r="M324" s="54"/>
      <c r="N324" s="54"/>
      <c r="O324" s="54"/>
      <c r="P324" s="54"/>
      <c r="Q324" s="54"/>
      <c r="R324" s="54"/>
      <c r="S324" s="54"/>
      <c r="T324" s="54"/>
      <c r="U324" s="54"/>
      <c r="V324" s="54"/>
      <c r="W324" s="54"/>
      <c r="X324" s="54"/>
      <c r="Y324" s="54"/>
      <c r="Z324" s="54"/>
    </row>
    <row r="325" ht="26.25" customHeight="1">
      <c r="A325" s="54"/>
      <c r="B325" s="55"/>
      <c r="C325" s="54"/>
      <c r="D325" s="63"/>
      <c r="E325" s="54"/>
      <c r="F325" s="54"/>
      <c r="G325" s="54"/>
      <c r="H325" s="54"/>
      <c r="I325" s="54"/>
      <c r="J325" s="54"/>
      <c r="K325" s="54"/>
      <c r="L325" s="54"/>
      <c r="M325" s="54"/>
      <c r="N325" s="54"/>
      <c r="O325" s="54"/>
      <c r="P325" s="54"/>
      <c r="Q325" s="54"/>
      <c r="R325" s="54"/>
      <c r="S325" s="54"/>
      <c r="T325" s="54"/>
      <c r="U325" s="54"/>
      <c r="V325" s="54"/>
      <c r="W325" s="54"/>
      <c r="X325" s="54"/>
      <c r="Y325" s="54"/>
      <c r="Z325" s="54"/>
    </row>
    <row r="326" ht="26.25" customHeight="1">
      <c r="A326" s="54"/>
      <c r="B326" s="55"/>
      <c r="C326" s="54"/>
      <c r="D326" s="63"/>
      <c r="E326" s="54"/>
      <c r="F326" s="54"/>
      <c r="G326" s="54"/>
      <c r="H326" s="54"/>
      <c r="I326" s="54"/>
      <c r="J326" s="54"/>
      <c r="K326" s="54"/>
      <c r="L326" s="54"/>
      <c r="M326" s="54"/>
      <c r="N326" s="54"/>
      <c r="O326" s="54"/>
      <c r="P326" s="54"/>
      <c r="Q326" s="54"/>
      <c r="R326" s="54"/>
      <c r="S326" s="54"/>
      <c r="T326" s="54"/>
      <c r="U326" s="54"/>
      <c r="V326" s="54"/>
      <c r="W326" s="54"/>
      <c r="X326" s="54"/>
      <c r="Y326" s="54"/>
      <c r="Z326" s="54"/>
    </row>
    <row r="327" ht="26.25" customHeight="1">
      <c r="A327" s="54"/>
      <c r="B327" s="55"/>
      <c r="C327" s="54"/>
      <c r="D327" s="63"/>
      <c r="E327" s="54"/>
      <c r="F327" s="54"/>
      <c r="G327" s="54"/>
      <c r="H327" s="54"/>
      <c r="I327" s="54"/>
      <c r="J327" s="54"/>
      <c r="K327" s="54"/>
      <c r="L327" s="54"/>
      <c r="M327" s="54"/>
      <c r="N327" s="54"/>
      <c r="O327" s="54"/>
      <c r="P327" s="54"/>
      <c r="Q327" s="54"/>
      <c r="R327" s="54"/>
      <c r="S327" s="54"/>
      <c r="T327" s="54"/>
      <c r="U327" s="54"/>
      <c r="V327" s="54"/>
      <c r="W327" s="54"/>
      <c r="X327" s="54"/>
      <c r="Y327" s="54"/>
      <c r="Z327" s="54"/>
    </row>
    <row r="328" ht="26.25" customHeight="1">
      <c r="A328" s="54"/>
      <c r="B328" s="55"/>
      <c r="C328" s="54"/>
      <c r="D328" s="63"/>
      <c r="E328" s="54"/>
      <c r="F328" s="54"/>
      <c r="G328" s="54"/>
      <c r="H328" s="54"/>
      <c r="I328" s="54"/>
      <c r="J328" s="54"/>
      <c r="K328" s="54"/>
      <c r="L328" s="54"/>
      <c r="M328" s="54"/>
      <c r="N328" s="54"/>
      <c r="O328" s="54"/>
      <c r="P328" s="54"/>
      <c r="Q328" s="54"/>
      <c r="R328" s="54"/>
      <c r="S328" s="54"/>
      <c r="T328" s="54"/>
      <c r="U328" s="54"/>
      <c r="V328" s="54"/>
      <c r="W328" s="54"/>
      <c r="X328" s="54"/>
      <c r="Y328" s="54"/>
      <c r="Z328" s="54"/>
    </row>
    <row r="329" ht="26.25" customHeight="1">
      <c r="A329" s="54"/>
      <c r="B329" s="55"/>
      <c r="C329" s="54"/>
      <c r="D329" s="63"/>
      <c r="E329" s="54"/>
      <c r="F329" s="54"/>
      <c r="G329" s="54"/>
      <c r="H329" s="54"/>
      <c r="I329" s="54"/>
      <c r="J329" s="54"/>
      <c r="K329" s="54"/>
      <c r="L329" s="54"/>
      <c r="M329" s="54"/>
      <c r="N329" s="54"/>
      <c r="O329" s="54"/>
      <c r="P329" s="54"/>
      <c r="Q329" s="54"/>
      <c r="R329" s="54"/>
      <c r="S329" s="54"/>
      <c r="T329" s="54"/>
      <c r="U329" s="54"/>
      <c r="V329" s="54"/>
      <c r="W329" s="54"/>
      <c r="X329" s="54"/>
      <c r="Y329" s="54"/>
      <c r="Z329" s="54"/>
    </row>
    <row r="330" ht="26.25" customHeight="1">
      <c r="A330" s="54"/>
      <c r="B330" s="55"/>
      <c r="C330" s="54"/>
      <c r="D330" s="63"/>
      <c r="E330" s="54"/>
      <c r="F330" s="54"/>
      <c r="G330" s="54"/>
      <c r="H330" s="54"/>
      <c r="I330" s="54"/>
      <c r="J330" s="54"/>
      <c r="K330" s="54"/>
      <c r="L330" s="54"/>
      <c r="M330" s="54"/>
      <c r="N330" s="54"/>
      <c r="O330" s="54"/>
      <c r="P330" s="54"/>
      <c r="Q330" s="54"/>
      <c r="R330" s="54"/>
      <c r="S330" s="54"/>
      <c r="T330" s="54"/>
      <c r="U330" s="54"/>
      <c r="V330" s="54"/>
      <c r="W330" s="54"/>
      <c r="X330" s="54"/>
      <c r="Y330" s="54"/>
      <c r="Z330" s="54"/>
    </row>
    <row r="331" ht="26.25" customHeight="1">
      <c r="A331" s="54"/>
      <c r="B331" s="55"/>
      <c r="C331" s="54"/>
      <c r="D331" s="63"/>
      <c r="E331" s="54"/>
      <c r="F331" s="54"/>
      <c r="G331" s="54"/>
      <c r="H331" s="54"/>
      <c r="I331" s="54"/>
      <c r="J331" s="54"/>
      <c r="K331" s="54"/>
      <c r="L331" s="54"/>
      <c r="M331" s="54"/>
      <c r="N331" s="54"/>
      <c r="O331" s="54"/>
      <c r="P331" s="54"/>
      <c r="Q331" s="54"/>
      <c r="R331" s="54"/>
      <c r="S331" s="54"/>
      <c r="T331" s="54"/>
      <c r="U331" s="54"/>
      <c r="V331" s="54"/>
      <c r="W331" s="54"/>
      <c r="X331" s="54"/>
      <c r="Y331" s="54"/>
      <c r="Z331" s="54"/>
    </row>
    <row r="332" ht="26.25" customHeight="1">
      <c r="A332" s="54"/>
      <c r="B332" s="55"/>
      <c r="C332" s="54"/>
      <c r="D332" s="63"/>
      <c r="E332" s="54"/>
      <c r="F332" s="54"/>
      <c r="G332" s="54"/>
      <c r="H332" s="54"/>
      <c r="I332" s="54"/>
      <c r="J332" s="54"/>
      <c r="K332" s="54"/>
      <c r="L332" s="54"/>
      <c r="M332" s="54"/>
      <c r="N332" s="54"/>
      <c r="O332" s="54"/>
      <c r="P332" s="54"/>
      <c r="Q332" s="54"/>
      <c r="R332" s="54"/>
      <c r="S332" s="54"/>
      <c r="T332" s="54"/>
      <c r="U332" s="54"/>
      <c r="V332" s="54"/>
      <c r="W332" s="54"/>
      <c r="X332" s="54"/>
      <c r="Y332" s="54"/>
      <c r="Z332" s="54"/>
    </row>
    <row r="333" ht="26.25" customHeight="1">
      <c r="A333" s="54"/>
      <c r="B333" s="55"/>
      <c r="C333" s="54"/>
      <c r="D333" s="63"/>
      <c r="E333" s="54"/>
      <c r="F333" s="54"/>
      <c r="G333" s="54"/>
      <c r="H333" s="54"/>
      <c r="I333" s="54"/>
      <c r="J333" s="54"/>
      <c r="K333" s="54"/>
      <c r="L333" s="54"/>
      <c r="M333" s="54"/>
      <c r="N333" s="54"/>
      <c r="O333" s="54"/>
      <c r="P333" s="54"/>
      <c r="Q333" s="54"/>
      <c r="R333" s="54"/>
      <c r="S333" s="54"/>
      <c r="T333" s="54"/>
      <c r="U333" s="54"/>
      <c r="V333" s="54"/>
      <c r="W333" s="54"/>
      <c r="X333" s="54"/>
      <c r="Y333" s="54"/>
      <c r="Z333" s="54"/>
    </row>
    <row r="334" ht="26.25" customHeight="1">
      <c r="A334" s="54"/>
      <c r="B334" s="55"/>
      <c r="C334" s="54"/>
      <c r="D334" s="63"/>
      <c r="E334" s="54"/>
      <c r="F334" s="54"/>
      <c r="G334" s="54"/>
      <c r="H334" s="54"/>
      <c r="I334" s="54"/>
      <c r="J334" s="54"/>
      <c r="K334" s="54"/>
      <c r="L334" s="54"/>
      <c r="M334" s="54"/>
      <c r="N334" s="54"/>
      <c r="O334" s="54"/>
      <c r="P334" s="54"/>
      <c r="Q334" s="54"/>
      <c r="R334" s="54"/>
      <c r="S334" s="54"/>
      <c r="T334" s="54"/>
      <c r="U334" s="54"/>
      <c r="V334" s="54"/>
      <c r="W334" s="54"/>
      <c r="X334" s="54"/>
      <c r="Y334" s="54"/>
      <c r="Z334" s="54"/>
    </row>
    <row r="335" ht="26.25" customHeight="1">
      <c r="A335" s="54"/>
      <c r="B335" s="55"/>
      <c r="C335" s="54"/>
      <c r="D335" s="63"/>
      <c r="E335" s="54"/>
      <c r="F335" s="54"/>
      <c r="G335" s="54"/>
      <c r="H335" s="54"/>
      <c r="I335" s="54"/>
      <c r="J335" s="54"/>
      <c r="K335" s="54"/>
      <c r="L335" s="54"/>
      <c r="M335" s="54"/>
      <c r="N335" s="54"/>
      <c r="O335" s="54"/>
      <c r="P335" s="54"/>
      <c r="Q335" s="54"/>
      <c r="R335" s="54"/>
      <c r="S335" s="54"/>
      <c r="T335" s="54"/>
      <c r="U335" s="54"/>
      <c r="V335" s="54"/>
      <c r="W335" s="54"/>
      <c r="X335" s="54"/>
      <c r="Y335" s="54"/>
      <c r="Z335" s="54"/>
    </row>
    <row r="336" ht="26.25" customHeight="1">
      <c r="A336" s="54"/>
      <c r="B336" s="55"/>
      <c r="C336" s="54"/>
      <c r="D336" s="63"/>
      <c r="E336" s="54"/>
      <c r="F336" s="54"/>
      <c r="G336" s="54"/>
      <c r="H336" s="54"/>
      <c r="I336" s="54"/>
      <c r="J336" s="54"/>
      <c r="K336" s="54"/>
      <c r="L336" s="54"/>
      <c r="M336" s="54"/>
      <c r="N336" s="54"/>
      <c r="O336" s="54"/>
      <c r="P336" s="54"/>
      <c r="Q336" s="54"/>
      <c r="R336" s="54"/>
      <c r="S336" s="54"/>
      <c r="T336" s="54"/>
      <c r="U336" s="54"/>
      <c r="V336" s="54"/>
      <c r="W336" s="54"/>
      <c r="X336" s="54"/>
      <c r="Y336" s="54"/>
      <c r="Z336" s="54"/>
    </row>
    <row r="337" ht="26.25" customHeight="1">
      <c r="A337" s="54"/>
      <c r="B337" s="55"/>
      <c r="C337" s="54"/>
      <c r="D337" s="63"/>
      <c r="E337" s="54"/>
      <c r="F337" s="54"/>
      <c r="G337" s="54"/>
      <c r="H337" s="54"/>
      <c r="I337" s="54"/>
      <c r="J337" s="54"/>
      <c r="K337" s="54"/>
      <c r="L337" s="54"/>
      <c r="M337" s="54"/>
      <c r="N337" s="54"/>
      <c r="O337" s="54"/>
      <c r="P337" s="54"/>
      <c r="Q337" s="54"/>
      <c r="R337" s="54"/>
      <c r="S337" s="54"/>
      <c r="T337" s="54"/>
      <c r="U337" s="54"/>
      <c r="V337" s="54"/>
      <c r="W337" s="54"/>
      <c r="X337" s="54"/>
      <c r="Y337" s="54"/>
      <c r="Z337" s="54"/>
    </row>
    <row r="338" ht="26.25" customHeight="1">
      <c r="A338" s="54"/>
      <c r="B338" s="55"/>
      <c r="C338" s="54"/>
      <c r="D338" s="63"/>
      <c r="E338" s="54"/>
      <c r="F338" s="54"/>
      <c r="G338" s="54"/>
      <c r="H338" s="54"/>
      <c r="I338" s="54"/>
      <c r="J338" s="54"/>
      <c r="K338" s="54"/>
      <c r="L338" s="54"/>
      <c r="M338" s="54"/>
      <c r="N338" s="54"/>
      <c r="O338" s="54"/>
      <c r="P338" s="54"/>
      <c r="Q338" s="54"/>
      <c r="R338" s="54"/>
      <c r="S338" s="54"/>
      <c r="T338" s="54"/>
      <c r="U338" s="54"/>
      <c r="V338" s="54"/>
      <c r="W338" s="54"/>
      <c r="X338" s="54"/>
      <c r="Y338" s="54"/>
      <c r="Z338" s="54"/>
    </row>
    <row r="339" ht="26.25" customHeight="1">
      <c r="A339" s="54"/>
      <c r="B339" s="55"/>
      <c r="C339" s="54"/>
      <c r="D339" s="63"/>
      <c r="E339" s="54"/>
      <c r="F339" s="54"/>
      <c r="G339" s="54"/>
      <c r="H339" s="54"/>
      <c r="I339" s="54"/>
      <c r="J339" s="54"/>
      <c r="K339" s="54"/>
      <c r="L339" s="54"/>
      <c r="M339" s="54"/>
      <c r="N339" s="54"/>
      <c r="O339" s="54"/>
      <c r="P339" s="54"/>
      <c r="Q339" s="54"/>
      <c r="R339" s="54"/>
      <c r="S339" s="54"/>
      <c r="T339" s="54"/>
      <c r="U339" s="54"/>
      <c r="V339" s="54"/>
      <c r="W339" s="54"/>
      <c r="X339" s="54"/>
      <c r="Y339" s="54"/>
      <c r="Z339" s="54"/>
    </row>
    <row r="340" ht="26.25" customHeight="1">
      <c r="A340" s="54"/>
      <c r="B340" s="55"/>
      <c r="C340" s="54"/>
      <c r="D340" s="63"/>
      <c r="E340" s="54"/>
      <c r="F340" s="54"/>
      <c r="G340" s="54"/>
      <c r="H340" s="54"/>
      <c r="I340" s="54"/>
      <c r="J340" s="54"/>
      <c r="K340" s="54"/>
      <c r="L340" s="54"/>
      <c r="M340" s="54"/>
      <c r="N340" s="54"/>
      <c r="O340" s="54"/>
      <c r="P340" s="54"/>
      <c r="Q340" s="54"/>
      <c r="R340" s="54"/>
      <c r="S340" s="54"/>
      <c r="T340" s="54"/>
      <c r="U340" s="54"/>
      <c r="V340" s="54"/>
      <c r="W340" s="54"/>
      <c r="X340" s="54"/>
      <c r="Y340" s="54"/>
      <c r="Z340" s="54"/>
    </row>
    <row r="341" ht="26.25" customHeight="1">
      <c r="A341" s="54"/>
      <c r="B341" s="55"/>
      <c r="C341" s="54"/>
      <c r="D341" s="63"/>
      <c r="E341" s="54"/>
      <c r="F341" s="54"/>
      <c r="G341" s="54"/>
      <c r="H341" s="54"/>
      <c r="I341" s="54"/>
      <c r="J341" s="54"/>
      <c r="K341" s="54"/>
      <c r="L341" s="54"/>
      <c r="M341" s="54"/>
      <c r="N341" s="54"/>
      <c r="O341" s="54"/>
      <c r="P341" s="54"/>
      <c r="Q341" s="54"/>
      <c r="R341" s="54"/>
      <c r="S341" s="54"/>
      <c r="T341" s="54"/>
      <c r="U341" s="54"/>
      <c r="V341" s="54"/>
      <c r="W341" s="54"/>
      <c r="X341" s="54"/>
      <c r="Y341" s="54"/>
      <c r="Z341" s="54"/>
    </row>
    <row r="342" ht="26.25" customHeight="1">
      <c r="A342" s="54"/>
      <c r="B342" s="55"/>
      <c r="C342" s="54"/>
      <c r="D342" s="63"/>
      <c r="E342" s="54"/>
      <c r="F342" s="54"/>
      <c r="G342" s="54"/>
      <c r="H342" s="54"/>
      <c r="I342" s="54"/>
      <c r="J342" s="54"/>
      <c r="K342" s="54"/>
      <c r="L342" s="54"/>
      <c r="M342" s="54"/>
      <c r="N342" s="54"/>
      <c r="O342" s="54"/>
      <c r="P342" s="54"/>
      <c r="Q342" s="54"/>
      <c r="R342" s="54"/>
      <c r="S342" s="54"/>
      <c r="T342" s="54"/>
      <c r="U342" s="54"/>
      <c r="V342" s="54"/>
      <c r="W342" s="54"/>
      <c r="X342" s="54"/>
      <c r="Y342" s="54"/>
      <c r="Z342" s="54"/>
    </row>
    <row r="343" ht="26.25" customHeight="1">
      <c r="A343" s="54"/>
      <c r="B343" s="55"/>
      <c r="C343" s="54"/>
      <c r="D343" s="63"/>
      <c r="E343" s="54"/>
      <c r="F343" s="54"/>
      <c r="G343" s="54"/>
      <c r="H343" s="54"/>
      <c r="I343" s="54"/>
      <c r="J343" s="54"/>
      <c r="K343" s="54"/>
      <c r="L343" s="54"/>
      <c r="M343" s="54"/>
      <c r="N343" s="54"/>
      <c r="O343" s="54"/>
      <c r="P343" s="54"/>
      <c r="Q343" s="54"/>
      <c r="R343" s="54"/>
      <c r="S343" s="54"/>
      <c r="T343" s="54"/>
      <c r="U343" s="54"/>
      <c r="V343" s="54"/>
      <c r="W343" s="54"/>
      <c r="X343" s="54"/>
      <c r="Y343" s="54"/>
      <c r="Z343" s="54"/>
    </row>
    <row r="344" ht="26.25" customHeight="1">
      <c r="A344" s="54"/>
      <c r="B344" s="55"/>
      <c r="C344" s="54"/>
      <c r="D344" s="63"/>
      <c r="E344" s="54"/>
      <c r="F344" s="54"/>
      <c r="G344" s="54"/>
      <c r="H344" s="54"/>
      <c r="I344" s="54"/>
      <c r="J344" s="54"/>
      <c r="K344" s="54"/>
      <c r="L344" s="54"/>
      <c r="M344" s="54"/>
      <c r="N344" s="54"/>
      <c r="O344" s="54"/>
      <c r="P344" s="54"/>
      <c r="Q344" s="54"/>
      <c r="R344" s="54"/>
      <c r="S344" s="54"/>
      <c r="T344" s="54"/>
      <c r="U344" s="54"/>
      <c r="V344" s="54"/>
      <c r="W344" s="54"/>
      <c r="X344" s="54"/>
      <c r="Y344" s="54"/>
      <c r="Z344" s="54"/>
    </row>
    <row r="345" ht="26.25" customHeight="1">
      <c r="A345" s="54"/>
      <c r="B345" s="55"/>
      <c r="C345" s="54"/>
      <c r="D345" s="63"/>
      <c r="E345" s="54"/>
      <c r="F345" s="54"/>
      <c r="G345" s="54"/>
      <c r="H345" s="54"/>
      <c r="I345" s="54"/>
      <c r="J345" s="54"/>
      <c r="K345" s="54"/>
      <c r="L345" s="54"/>
      <c r="M345" s="54"/>
      <c r="N345" s="54"/>
      <c r="O345" s="54"/>
      <c r="P345" s="54"/>
      <c r="Q345" s="54"/>
      <c r="R345" s="54"/>
      <c r="S345" s="54"/>
      <c r="T345" s="54"/>
      <c r="U345" s="54"/>
      <c r="V345" s="54"/>
      <c r="W345" s="54"/>
      <c r="X345" s="54"/>
      <c r="Y345" s="54"/>
      <c r="Z345" s="54"/>
    </row>
    <row r="346" ht="26.25" customHeight="1">
      <c r="A346" s="54"/>
      <c r="B346" s="55"/>
      <c r="C346" s="54"/>
      <c r="D346" s="63"/>
      <c r="E346" s="54"/>
      <c r="F346" s="54"/>
      <c r="G346" s="54"/>
      <c r="H346" s="54"/>
      <c r="I346" s="54"/>
      <c r="J346" s="54"/>
      <c r="K346" s="54"/>
      <c r="L346" s="54"/>
      <c r="M346" s="54"/>
      <c r="N346" s="54"/>
      <c r="O346" s="54"/>
      <c r="P346" s="54"/>
      <c r="Q346" s="54"/>
      <c r="R346" s="54"/>
      <c r="S346" s="54"/>
      <c r="T346" s="54"/>
      <c r="U346" s="54"/>
      <c r="V346" s="54"/>
      <c r="W346" s="54"/>
      <c r="X346" s="54"/>
      <c r="Y346" s="54"/>
      <c r="Z346" s="54"/>
    </row>
    <row r="347" ht="26.25" customHeight="1">
      <c r="A347" s="54"/>
      <c r="B347" s="55"/>
      <c r="C347" s="54"/>
      <c r="D347" s="63"/>
      <c r="E347" s="54"/>
      <c r="F347" s="54"/>
      <c r="G347" s="54"/>
      <c r="H347" s="54"/>
      <c r="I347" s="54"/>
      <c r="J347" s="54"/>
      <c r="K347" s="54"/>
      <c r="L347" s="54"/>
      <c r="M347" s="54"/>
      <c r="N347" s="54"/>
      <c r="O347" s="54"/>
      <c r="P347" s="54"/>
      <c r="Q347" s="54"/>
      <c r="R347" s="54"/>
      <c r="S347" s="54"/>
      <c r="T347" s="54"/>
      <c r="U347" s="54"/>
      <c r="V347" s="54"/>
      <c r="W347" s="54"/>
      <c r="X347" s="54"/>
      <c r="Y347" s="54"/>
      <c r="Z347" s="54"/>
    </row>
    <row r="348" ht="26.25" customHeight="1">
      <c r="A348" s="54"/>
      <c r="B348" s="55"/>
      <c r="C348" s="54"/>
      <c r="D348" s="63"/>
      <c r="E348" s="54"/>
      <c r="F348" s="54"/>
      <c r="G348" s="54"/>
      <c r="H348" s="54"/>
      <c r="I348" s="54"/>
      <c r="J348" s="54"/>
      <c r="K348" s="54"/>
      <c r="L348" s="54"/>
      <c r="M348" s="54"/>
      <c r="N348" s="54"/>
      <c r="O348" s="54"/>
      <c r="P348" s="54"/>
      <c r="Q348" s="54"/>
      <c r="R348" s="54"/>
      <c r="S348" s="54"/>
      <c r="T348" s="54"/>
      <c r="U348" s="54"/>
      <c r="V348" s="54"/>
      <c r="W348" s="54"/>
      <c r="X348" s="54"/>
      <c r="Y348" s="54"/>
      <c r="Z348" s="54"/>
    </row>
    <row r="349" ht="26.25" customHeight="1">
      <c r="A349" s="54"/>
      <c r="B349" s="55"/>
      <c r="C349" s="54"/>
      <c r="D349" s="63"/>
      <c r="E349" s="54"/>
      <c r="F349" s="54"/>
      <c r="G349" s="54"/>
      <c r="H349" s="54"/>
      <c r="I349" s="54"/>
      <c r="J349" s="54"/>
      <c r="K349" s="54"/>
      <c r="L349" s="54"/>
      <c r="M349" s="54"/>
      <c r="N349" s="54"/>
      <c r="O349" s="54"/>
      <c r="P349" s="54"/>
      <c r="Q349" s="54"/>
      <c r="R349" s="54"/>
      <c r="S349" s="54"/>
      <c r="T349" s="54"/>
      <c r="U349" s="54"/>
      <c r="V349" s="54"/>
      <c r="W349" s="54"/>
      <c r="X349" s="54"/>
      <c r="Y349" s="54"/>
      <c r="Z349" s="54"/>
    </row>
    <row r="350" ht="26.25" customHeight="1">
      <c r="A350" s="54"/>
      <c r="B350" s="55"/>
      <c r="C350" s="54"/>
      <c r="D350" s="63"/>
      <c r="E350" s="54"/>
      <c r="F350" s="54"/>
      <c r="G350" s="54"/>
      <c r="H350" s="54"/>
      <c r="I350" s="54"/>
      <c r="J350" s="54"/>
      <c r="K350" s="54"/>
      <c r="L350" s="54"/>
      <c r="M350" s="54"/>
      <c r="N350" s="54"/>
      <c r="O350" s="54"/>
      <c r="P350" s="54"/>
      <c r="Q350" s="54"/>
      <c r="R350" s="54"/>
      <c r="S350" s="54"/>
      <c r="T350" s="54"/>
      <c r="U350" s="54"/>
      <c r="V350" s="54"/>
      <c r="W350" s="54"/>
      <c r="X350" s="54"/>
      <c r="Y350" s="54"/>
      <c r="Z350" s="54"/>
    </row>
    <row r="351" ht="26.25" customHeight="1">
      <c r="A351" s="54"/>
      <c r="B351" s="55"/>
      <c r="C351" s="54"/>
      <c r="D351" s="63"/>
      <c r="E351" s="54"/>
      <c r="F351" s="54"/>
      <c r="G351" s="54"/>
      <c r="H351" s="54"/>
      <c r="I351" s="54"/>
      <c r="J351" s="54"/>
      <c r="K351" s="54"/>
      <c r="L351" s="54"/>
      <c r="M351" s="54"/>
      <c r="N351" s="54"/>
      <c r="O351" s="54"/>
      <c r="P351" s="54"/>
      <c r="Q351" s="54"/>
      <c r="R351" s="54"/>
      <c r="S351" s="54"/>
      <c r="T351" s="54"/>
      <c r="U351" s="54"/>
      <c r="V351" s="54"/>
      <c r="W351" s="54"/>
      <c r="X351" s="54"/>
      <c r="Y351" s="54"/>
      <c r="Z351" s="54"/>
    </row>
    <row r="352" ht="26.25" customHeight="1">
      <c r="A352" s="54"/>
      <c r="B352" s="55"/>
      <c r="C352" s="54"/>
      <c r="D352" s="63"/>
      <c r="E352" s="54"/>
      <c r="F352" s="54"/>
      <c r="G352" s="54"/>
      <c r="H352" s="54"/>
      <c r="I352" s="54"/>
      <c r="J352" s="54"/>
      <c r="K352" s="54"/>
      <c r="L352" s="54"/>
      <c r="M352" s="54"/>
      <c r="N352" s="54"/>
      <c r="O352" s="54"/>
      <c r="P352" s="54"/>
      <c r="Q352" s="54"/>
      <c r="R352" s="54"/>
      <c r="S352" s="54"/>
      <c r="T352" s="54"/>
      <c r="U352" s="54"/>
      <c r="V352" s="54"/>
      <c r="W352" s="54"/>
      <c r="X352" s="54"/>
      <c r="Y352" s="54"/>
      <c r="Z352" s="54"/>
    </row>
    <row r="353" ht="26.25" customHeight="1">
      <c r="A353" s="54"/>
      <c r="B353" s="55"/>
      <c r="C353" s="54"/>
      <c r="D353" s="63"/>
      <c r="E353" s="54"/>
      <c r="F353" s="54"/>
      <c r="G353" s="54"/>
      <c r="H353" s="54"/>
      <c r="I353" s="54"/>
      <c r="J353" s="54"/>
      <c r="K353" s="54"/>
      <c r="L353" s="54"/>
      <c r="M353" s="54"/>
      <c r="N353" s="54"/>
      <c r="O353" s="54"/>
      <c r="P353" s="54"/>
      <c r="Q353" s="54"/>
      <c r="R353" s="54"/>
      <c r="S353" s="54"/>
      <c r="T353" s="54"/>
      <c r="U353" s="54"/>
      <c r="V353" s="54"/>
      <c r="W353" s="54"/>
      <c r="X353" s="54"/>
      <c r="Y353" s="54"/>
      <c r="Z353" s="54"/>
    </row>
    <row r="354" ht="26.25" customHeight="1">
      <c r="A354" s="54"/>
      <c r="B354" s="55"/>
      <c r="C354" s="54"/>
      <c r="D354" s="63"/>
      <c r="E354" s="54"/>
      <c r="F354" s="54"/>
      <c r="G354" s="54"/>
      <c r="H354" s="54"/>
      <c r="I354" s="54"/>
      <c r="J354" s="54"/>
      <c r="K354" s="54"/>
      <c r="L354" s="54"/>
      <c r="M354" s="54"/>
      <c r="N354" s="54"/>
      <c r="O354" s="54"/>
      <c r="P354" s="54"/>
      <c r="Q354" s="54"/>
      <c r="R354" s="54"/>
      <c r="S354" s="54"/>
      <c r="T354" s="54"/>
      <c r="U354" s="54"/>
      <c r="V354" s="54"/>
      <c r="W354" s="54"/>
      <c r="X354" s="54"/>
      <c r="Y354" s="54"/>
      <c r="Z354" s="54"/>
    </row>
    <row r="355" ht="26.25" customHeight="1">
      <c r="A355" s="54"/>
      <c r="B355" s="55"/>
      <c r="C355" s="54"/>
      <c r="D355" s="63"/>
      <c r="E355" s="54"/>
      <c r="F355" s="54"/>
      <c r="G355" s="54"/>
      <c r="H355" s="54"/>
      <c r="I355" s="54"/>
      <c r="J355" s="54"/>
      <c r="K355" s="54"/>
      <c r="L355" s="54"/>
      <c r="M355" s="54"/>
      <c r="N355" s="54"/>
      <c r="O355" s="54"/>
      <c r="P355" s="54"/>
      <c r="Q355" s="54"/>
      <c r="R355" s="54"/>
      <c r="S355" s="54"/>
      <c r="T355" s="54"/>
      <c r="U355" s="54"/>
      <c r="V355" s="54"/>
      <c r="W355" s="54"/>
      <c r="X355" s="54"/>
      <c r="Y355" s="54"/>
      <c r="Z355" s="54"/>
    </row>
    <row r="356" ht="26.25" customHeight="1">
      <c r="A356" s="54"/>
      <c r="B356" s="55"/>
      <c r="C356" s="54"/>
      <c r="D356" s="63"/>
      <c r="E356" s="54"/>
      <c r="F356" s="54"/>
      <c r="G356" s="54"/>
      <c r="H356" s="54"/>
      <c r="I356" s="54"/>
      <c r="J356" s="54"/>
      <c r="K356" s="54"/>
      <c r="L356" s="54"/>
      <c r="M356" s="54"/>
      <c r="N356" s="54"/>
      <c r="O356" s="54"/>
      <c r="P356" s="54"/>
      <c r="Q356" s="54"/>
      <c r="R356" s="54"/>
      <c r="S356" s="54"/>
      <c r="T356" s="54"/>
      <c r="U356" s="54"/>
      <c r="V356" s="54"/>
      <c r="W356" s="54"/>
      <c r="X356" s="54"/>
      <c r="Y356" s="54"/>
      <c r="Z356" s="54"/>
    </row>
    <row r="357" ht="26.25" customHeight="1">
      <c r="A357" s="54"/>
      <c r="B357" s="55"/>
      <c r="C357" s="54"/>
      <c r="D357" s="63"/>
      <c r="E357" s="54"/>
      <c r="F357" s="54"/>
      <c r="G357" s="54"/>
      <c r="H357" s="54"/>
      <c r="I357" s="54"/>
      <c r="J357" s="54"/>
      <c r="K357" s="54"/>
      <c r="L357" s="54"/>
      <c r="M357" s="54"/>
      <c r="N357" s="54"/>
      <c r="O357" s="54"/>
      <c r="P357" s="54"/>
      <c r="Q357" s="54"/>
      <c r="R357" s="54"/>
      <c r="S357" s="54"/>
      <c r="T357" s="54"/>
      <c r="U357" s="54"/>
      <c r="V357" s="54"/>
      <c r="W357" s="54"/>
      <c r="X357" s="54"/>
      <c r="Y357" s="54"/>
      <c r="Z357" s="54"/>
    </row>
    <row r="358" ht="26.25" customHeight="1">
      <c r="A358" s="54"/>
      <c r="B358" s="55"/>
      <c r="C358" s="54"/>
      <c r="D358" s="63"/>
      <c r="E358" s="54"/>
      <c r="F358" s="54"/>
      <c r="G358" s="54"/>
      <c r="H358" s="54"/>
      <c r="I358" s="54"/>
      <c r="J358" s="54"/>
      <c r="K358" s="54"/>
      <c r="L358" s="54"/>
      <c r="M358" s="54"/>
      <c r="N358" s="54"/>
      <c r="O358" s="54"/>
      <c r="P358" s="54"/>
      <c r="Q358" s="54"/>
      <c r="R358" s="54"/>
      <c r="S358" s="54"/>
      <c r="T358" s="54"/>
      <c r="U358" s="54"/>
      <c r="V358" s="54"/>
      <c r="W358" s="54"/>
      <c r="X358" s="54"/>
      <c r="Y358" s="54"/>
      <c r="Z358" s="54"/>
    </row>
    <row r="359" ht="26.25" customHeight="1">
      <c r="A359" s="54"/>
      <c r="B359" s="55"/>
      <c r="C359" s="54"/>
      <c r="D359" s="63"/>
      <c r="E359" s="54"/>
      <c r="F359" s="54"/>
      <c r="G359" s="54"/>
      <c r="H359" s="54"/>
      <c r="I359" s="54"/>
      <c r="J359" s="54"/>
      <c r="K359" s="54"/>
      <c r="L359" s="54"/>
      <c r="M359" s="54"/>
      <c r="N359" s="54"/>
      <c r="O359" s="54"/>
      <c r="P359" s="54"/>
      <c r="Q359" s="54"/>
      <c r="R359" s="54"/>
      <c r="S359" s="54"/>
      <c r="T359" s="54"/>
      <c r="U359" s="54"/>
      <c r="V359" s="54"/>
      <c r="W359" s="54"/>
      <c r="X359" s="54"/>
      <c r="Y359" s="54"/>
      <c r="Z359" s="54"/>
    </row>
    <row r="360" ht="26.25" customHeight="1">
      <c r="A360" s="54"/>
      <c r="B360" s="55"/>
      <c r="C360" s="54"/>
      <c r="D360" s="63"/>
      <c r="E360" s="54"/>
      <c r="F360" s="54"/>
      <c r="G360" s="54"/>
      <c r="H360" s="54"/>
      <c r="I360" s="54"/>
      <c r="J360" s="54"/>
      <c r="K360" s="54"/>
      <c r="L360" s="54"/>
      <c r="M360" s="54"/>
      <c r="N360" s="54"/>
      <c r="O360" s="54"/>
      <c r="P360" s="54"/>
      <c r="Q360" s="54"/>
      <c r="R360" s="54"/>
      <c r="S360" s="54"/>
      <c r="T360" s="54"/>
      <c r="U360" s="54"/>
      <c r="V360" s="54"/>
      <c r="W360" s="54"/>
      <c r="X360" s="54"/>
      <c r="Y360" s="54"/>
      <c r="Z360" s="54"/>
    </row>
    <row r="361" ht="26.25" customHeight="1">
      <c r="A361" s="54"/>
      <c r="B361" s="55"/>
      <c r="C361" s="54"/>
      <c r="D361" s="63"/>
      <c r="E361" s="54"/>
      <c r="F361" s="54"/>
      <c r="G361" s="54"/>
      <c r="H361" s="54"/>
      <c r="I361" s="54"/>
      <c r="J361" s="54"/>
      <c r="K361" s="54"/>
      <c r="L361" s="54"/>
      <c r="M361" s="54"/>
      <c r="N361" s="54"/>
      <c r="O361" s="54"/>
      <c r="P361" s="54"/>
      <c r="Q361" s="54"/>
      <c r="R361" s="54"/>
      <c r="S361" s="54"/>
      <c r="T361" s="54"/>
      <c r="U361" s="54"/>
      <c r="V361" s="54"/>
      <c r="W361" s="54"/>
      <c r="X361" s="54"/>
      <c r="Y361" s="54"/>
      <c r="Z361" s="54"/>
    </row>
    <row r="362" ht="26.25" customHeight="1">
      <c r="A362" s="54"/>
      <c r="B362" s="55"/>
      <c r="C362" s="54"/>
      <c r="D362" s="63"/>
      <c r="E362" s="54"/>
      <c r="F362" s="54"/>
      <c r="G362" s="54"/>
      <c r="H362" s="54"/>
      <c r="I362" s="54"/>
      <c r="J362" s="54"/>
      <c r="K362" s="54"/>
      <c r="L362" s="54"/>
      <c r="M362" s="54"/>
      <c r="N362" s="54"/>
      <c r="O362" s="54"/>
      <c r="P362" s="54"/>
      <c r="Q362" s="54"/>
      <c r="R362" s="54"/>
      <c r="S362" s="54"/>
      <c r="T362" s="54"/>
      <c r="U362" s="54"/>
      <c r="V362" s="54"/>
      <c r="W362" s="54"/>
      <c r="X362" s="54"/>
      <c r="Y362" s="54"/>
      <c r="Z362" s="54"/>
    </row>
    <row r="363" ht="26.25" customHeight="1">
      <c r="A363" s="54"/>
      <c r="B363" s="55"/>
      <c r="C363" s="54"/>
      <c r="D363" s="63"/>
      <c r="E363" s="54"/>
      <c r="F363" s="54"/>
      <c r="G363" s="54"/>
      <c r="H363" s="54"/>
      <c r="I363" s="54"/>
      <c r="J363" s="54"/>
      <c r="K363" s="54"/>
      <c r="L363" s="54"/>
      <c r="M363" s="54"/>
      <c r="N363" s="54"/>
      <c r="O363" s="54"/>
      <c r="P363" s="54"/>
      <c r="Q363" s="54"/>
      <c r="R363" s="54"/>
      <c r="S363" s="54"/>
      <c r="T363" s="54"/>
      <c r="U363" s="54"/>
      <c r="V363" s="54"/>
      <c r="W363" s="54"/>
      <c r="X363" s="54"/>
      <c r="Y363" s="54"/>
      <c r="Z363" s="54"/>
    </row>
    <row r="364" ht="26.25" customHeight="1">
      <c r="A364" s="54"/>
      <c r="B364" s="55"/>
      <c r="C364" s="54"/>
      <c r="D364" s="63"/>
      <c r="E364" s="54"/>
      <c r="F364" s="54"/>
      <c r="G364" s="54"/>
      <c r="H364" s="54"/>
      <c r="I364" s="54"/>
      <c r="J364" s="54"/>
      <c r="K364" s="54"/>
      <c r="L364" s="54"/>
      <c r="M364" s="54"/>
      <c r="N364" s="54"/>
      <c r="O364" s="54"/>
      <c r="P364" s="54"/>
      <c r="Q364" s="54"/>
      <c r="R364" s="54"/>
      <c r="S364" s="54"/>
      <c r="T364" s="54"/>
      <c r="U364" s="54"/>
      <c r="V364" s="54"/>
      <c r="W364" s="54"/>
      <c r="X364" s="54"/>
      <c r="Y364" s="54"/>
      <c r="Z364" s="54"/>
    </row>
    <row r="365" ht="26.25" customHeight="1">
      <c r="A365" s="54"/>
      <c r="B365" s="55"/>
      <c r="C365" s="54"/>
      <c r="D365" s="63"/>
      <c r="E365" s="54"/>
      <c r="F365" s="54"/>
      <c r="G365" s="54"/>
      <c r="H365" s="54"/>
      <c r="I365" s="54"/>
      <c r="J365" s="54"/>
      <c r="K365" s="54"/>
      <c r="L365" s="54"/>
      <c r="M365" s="54"/>
      <c r="N365" s="54"/>
      <c r="O365" s="54"/>
      <c r="P365" s="54"/>
      <c r="Q365" s="54"/>
      <c r="R365" s="54"/>
      <c r="S365" s="54"/>
      <c r="T365" s="54"/>
      <c r="U365" s="54"/>
      <c r="V365" s="54"/>
      <c r="W365" s="54"/>
      <c r="X365" s="54"/>
      <c r="Y365" s="54"/>
      <c r="Z365" s="54"/>
    </row>
    <row r="366" ht="26.25" customHeight="1">
      <c r="A366" s="54"/>
      <c r="B366" s="55"/>
      <c r="C366" s="54"/>
      <c r="D366" s="63"/>
      <c r="E366" s="54"/>
      <c r="F366" s="54"/>
      <c r="G366" s="54"/>
      <c r="H366" s="54"/>
      <c r="I366" s="54"/>
      <c r="J366" s="54"/>
      <c r="K366" s="54"/>
      <c r="L366" s="54"/>
      <c r="M366" s="54"/>
      <c r="N366" s="54"/>
      <c r="O366" s="54"/>
      <c r="P366" s="54"/>
      <c r="Q366" s="54"/>
      <c r="R366" s="54"/>
      <c r="S366" s="54"/>
      <c r="T366" s="54"/>
      <c r="U366" s="54"/>
      <c r="V366" s="54"/>
      <c r="W366" s="54"/>
      <c r="X366" s="54"/>
      <c r="Y366" s="54"/>
      <c r="Z366" s="54"/>
    </row>
    <row r="367" ht="26.25" customHeight="1">
      <c r="A367" s="54"/>
      <c r="B367" s="55"/>
      <c r="C367" s="54"/>
      <c r="D367" s="63"/>
      <c r="E367" s="54"/>
      <c r="F367" s="54"/>
      <c r="G367" s="54"/>
      <c r="H367" s="54"/>
      <c r="I367" s="54"/>
      <c r="J367" s="54"/>
      <c r="K367" s="54"/>
      <c r="L367" s="54"/>
      <c r="M367" s="54"/>
      <c r="N367" s="54"/>
      <c r="O367" s="54"/>
      <c r="P367" s="54"/>
      <c r="Q367" s="54"/>
      <c r="R367" s="54"/>
      <c r="S367" s="54"/>
      <c r="T367" s="54"/>
      <c r="U367" s="54"/>
      <c r="V367" s="54"/>
      <c r="W367" s="54"/>
      <c r="X367" s="54"/>
      <c r="Y367" s="54"/>
      <c r="Z367" s="54"/>
    </row>
    <row r="368" ht="26.25" customHeight="1">
      <c r="A368" s="54"/>
      <c r="B368" s="55"/>
      <c r="C368" s="54"/>
      <c r="D368" s="63"/>
      <c r="E368" s="54"/>
      <c r="F368" s="54"/>
      <c r="G368" s="54"/>
      <c r="H368" s="54"/>
      <c r="I368" s="54"/>
      <c r="J368" s="54"/>
      <c r="K368" s="54"/>
      <c r="L368" s="54"/>
      <c r="M368" s="54"/>
      <c r="N368" s="54"/>
      <c r="O368" s="54"/>
      <c r="P368" s="54"/>
      <c r="Q368" s="54"/>
      <c r="R368" s="54"/>
      <c r="S368" s="54"/>
      <c r="T368" s="54"/>
      <c r="U368" s="54"/>
      <c r="V368" s="54"/>
      <c r="W368" s="54"/>
      <c r="X368" s="54"/>
      <c r="Y368" s="54"/>
      <c r="Z368" s="54"/>
    </row>
    <row r="369" ht="26.25" customHeight="1">
      <c r="A369" s="54"/>
      <c r="B369" s="55"/>
      <c r="C369" s="54"/>
      <c r="D369" s="63"/>
      <c r="E369" s="54"/>
      <c r="F369" s="54"/>
      <c r="G369" s="54"/>
      <c r="H369" s="54"/>
      <c r="I369" s="54"/>
      <c r="J369" s="54"/>
      <c r="K369" s="54"/>
      <c r="L369" s="54"/>
      <c r="M369" s="54"/>
      <c r="N369" s="54"/>
      <c r="O369" s="54"/>
      <c r="P369" s="54"/>
      <c r="Q369" s="54"/>
      <c r="R369" s="54"/>
      <c r="S369" s="54"/>
      <c r="T369" s="54"/>
      <c r="U369" s="54"/>
      <c r="V369" s="54"/>
      <c r="W369" s="54"/>
      <c r="X369" s="54"/>
      <c r="Y369" s="54"/>
      <c r="Z369" s="54"/>
    </row>
    <row r="370" ht="26.25" customHeight="1">
      <c r="A370" s="54"/>
      <c r="B370" s="55"/>
      <c r="C370" s="54"/>
      <c r="D370" s="63"/>
      <c r="E370" s="54"/>
      <c r="F370" s="54"/>
      <c r="G370" s="54"/>
      <c r="H370" s="54"/>
      <c r="I370" s="54"/>
      <c r="J370" s="54"/>
      <c r="K370" s="54"/>
      <c r="L370" s="54"/>
      <c r="M370" s="54"/>
      <c r="N370" s="54"/>
      <c r="O370" s="54"/>
      <c r="P370" s="54"/>
      <c r="Q370" s="54"/>
      <c r="R370" s="54"/>
      <c r="S370" s="54"/>
      <c r="T370" s="54"/>
      <c r="U370" s="54"/>
      <c r="V370" s="54"/>
      <c r="W370" s="54"/>
      <c r="X370" s="54"/>
      <c r="Y370" s="54"/>
      <c r="Z370" s="54"/>
    </row>
    <row r="371" ht="26.25" customHeight="1">
      <c r="A371" s="54"/>
      <c r="B371" s="55"/>
      <c r="C371" s="54"/>
      <c r="D371" s="63"/>
      <c r="E371" s="54"/>
      <c r="F371" s="54"/>
      <c r="G371" s="54"/>
      <c r="H371" s="54"/>
      <c r="I371" s="54"/>
      <c r="J371" s="54"/>
      <c r="K371" s="54"/>
      <c r="L371" s="54"/>
      <c r="M371" s="54"/>
      <c r="N371" s="54"/>
      <c r="O371" s="54"/>
      <c r="P371" s="54"/>
      <c r="Q371" s="54"/>
      <c r="R371" s="54"/>
      <c r="S371" s="54"/>
      <c r="T371" s="54"/>
      <c r="U371" s="54"/>
      <c r="V371" s="54"/>
      <c r="W371" s="54"/>
      <c r="X371" s="54"/>
      <c r="Y371" s="54"/>
      <c r="Z371" s="54"/>
    </row>
    <row r="372" ht="26.25" customHeight="1">
      <c r="A372" s="54"/>
      <c r="B372" s="55"/>
      <c r="C372" s="54"/>
      <c r="D372" s="63"/>
      <c r="E372" s="54"/>
      <c r="F372" s="54"/>
      <c r="G372" s="54"/>
      <c r="H372" s="54"/>
      <c r="I372" s="54"/>
      <c r="J372" s="54"/>
      <c r="K372" s="54"/>
      <c r="L372" s="54"/>
      <c r="M372" s="54"/>
      <c r="N372" s="54"/>
      <c r="O372" s="54"/>
      <c r="P372" s="54"/>
      <c r="Q372" s="54"/>
      <c r="R372" s="54"/>
      <c r="S372" s="54"/>
      <c r="T372" s="54"/>
      <c r="U372" s="54"/>
      <c r="V372" s="54"/>
      <c r="W372" s="54"/>
      <c r="X372" s="54"/>
      <c r="Y372" s="54"/>
      <c r="Z372" s="54"/>
    </row>
    <row r="373" ht="26.25" customHeight="1">
      <c r="A373" s="54"/>
      <c r="B373" s="55"/>
      <c r="C373" s="54"/>
      <c r="D373" s="63"/>
      <c r="E373" s="54"/>
      <c r="F373" s="54"/>
      <c r="G373" s="54"/>
      <c r="H373" s="54"/>
      <c r="I373" s="54"/>
      <c r="J373" s="54"/>
      <c r="K373" s="54"/>
      <c r="L373" s="54"/>
      <c r="M373" s="54"/>
      <c r="N373" s="54"/>
      <c r="O373" s="54"/>
      <c r="P373" s="54"/>
      <c r="Q373" s="54"/>
      <c r="R373" s="54"/>
      <c r="S373" s="54"/>
      <c r="T373" s="54"/>
      <c r="U373" s="54"/>
      <c r="V373" s="54"/>
      <c r="W373" s="54"/>
      <c r="X373" s="54"/>
      <c r="Y373" s="54"/>
      <c r="Z373" s="54"/>
    </row>
    <row r="374" ht="26.25" customHeight="1">
      <c r="A374" s="54"/>
      <c r="B374" s="55"/>
      <c r="C374" s="54"/>
      <c r="D374" s="63"/>
      <c r="E374" s="54"/>
      <c r="F374" s="54"/>
      <c r="G374" s="54"/>
      <c r="H374" s="54"/>
      <c r="I374" s="54"/>
      <c r="J374" s="54"/>
      <c r="K374" s="54"/>
      <c r="L374" s="54"/>
      <c r="M374" s="54"/>
      <c r="N374" s="54"/>
      <c r="O374" s="54"/>
      <c r="P374" s="54"/>
      <c r="Q374" s="54"/>
      <c r="R374" s="54"/>
      <c r="S374" s="54"/>
      <c r="T374" s="54"/>
      <c r="U374" s="54"/>
      <c r="V374" s="54"/>
      <c r="W374" s="54"/>
      <c r="X374" s="54"/>
      <c r="Y374" s="54"/>
      <c r="Z374" s="54"/>
    </row>
    <row r="375" ht="26.25" customHeight="1">
      <c r="A375" s="54"/>
      <c r="B375" s="55"/>
      <c r="C375" s="54"/>
      <c r="D375" s="63"/>
      <c r="E375" s="54"/>
      <c r="F375" s="54"/>
      <c r="G375" s="54"/>
      <c r="H375" s="54"/>
      <c r="I375" s="54"/>
      <c r="J375" s="54"/>
      <c r="K375" s="54"/>
      <c r="L375" s="54"/>
      <c r="M375" s="54"/>
      <c r="N375" s="54"/>
      <c r="O375" s="54"/>
      <c r="P375" s="54"/>
      <c r="Q375" s="54"/>
      <c r="R375" s="54"/>
      <c r="S375" s="54"/>
      <c r="T375" s="54"/>
      <c r="U375" s="54"/>
      <c r="V375" s="54"/>
      <c r="W375" s="54"/>
      <c r="X375" s="54"/>
      <c r="Y375" s="54"/>
      <c r="Z375" s="54"/>
    </row>
    <row r="376" ht="26.25" customHeight="1">
      <c r="A376" s="54"/>
      <c r="B376" s="55"/>
      <c r="C376" s="54"/>
      <c r="D376" s="63"/>
      <c r="E376" s="54"/>
      <c r="F376" s="54"/>
      <c r="G376" s="54"/>
      <c r="H376" s="54"/>
      <c r="I376" s="54"/>
      <c r="J376" s="54"/>
      <c r="K376" s="54"/>
      <c r="L376" s="54"/>
      <c r="M376" s="54"/>
      <c r="N376" s="54"/>
      <c r="O376" s="54"/>
      <c r="P376" s="54"/>
      <c r="Q376" s="54"/>
      <c r="R376" s="54"/>
      <c r="S376" s="54"/>
      <c r="T376" s="54"/>
      <c r="U376" s="54"/>
      <c r="V376" s="54"/>
      <c r="W376" s="54"/>
      <c r="X376" s="54"/>
      <c r="Y376" s="54"/>
      <c r="Z376" s="54"/>
    </row>
    <row r="377" ht="26.25" customHeight="1">
      <c r="A377" s="54"/>
      <c r="B377" s="55"/>
      <c r="C377" s="54"/>
      <c r="D377" s="63"/>
      <c r="E377" s="54"/>
      <c r="F377" s="54"/>
      <c r="G377" s="54"/>
      <c r="H377" s="54"/>
      <c r="I377" s="54"/>
      <c r="J377" s="54"/>
      <c r="K377" s="54"/>
      <c r="L377" s="54"/>
      <c r="M377" s="54"/>
      <c r="N377" s="54"/>
      <c r="O377" s="54"/>
      <c r="P377" s="54"/>
      <c r="Q377" s="54"/>
      <c r="R377" s="54"/>
      <c r="S377" s="54"/>
      <c r="T377" s="54"/>
      <c r="U377" s="54"/>
      <c r="V377" s="54"/>
      <c r="W377" s="54"/>
      <c r="X377" s="54"/>
      <c r="Y377" s="54"/>
      <c r="Z377" s="54"/>
    </row>
    <row r="378" ht="26.25" customHeight="1">
      <c r="A378" s="54"/>
      <c r="B378" s="55"/>
      <c r="C378" s="54"/>
      <c r="D378" s="63"/>
      <c r="E378" s="54"/>
      <c r="F378" s="54"/>
      <c r="G378" s="54"/>
      <c r="H378" s="54"/>
      <c r="I378" s="54"/>
      <c r="J378" s="54"/>
      <c r="K378" s="54"/>
      <c r="L378" s="54"/>
      <c r="M378" s="54"/>
      <c r="N378" s="54"/>
      <c r="O378" s="54"/>
      <c r="P378" s="54"/>
      <c r="Q378" s="54"/>
      <c r="R378" s="54"/>
      <c r="S378" s="54"/>
      <c r="T378" s="54"/>
      <c r="U378" s="54"/>
      <c r="V378" s="54"/>
      <c r="W378" s="54"/>
      <c r="X378" s="54"/>
      <c r="Y378" s="54"/>
      <c r="Z378" s="54"/>
    </row>
    <row r="379" ht="26.25" customHeight="1">
      <c r="A379" s="54"/>
      <c r="B379" s="55"/>
      <c r="C379" s="54"/>
      <c r="D379" s="63"/>
      <c r="E379" s="54"/>
      <c r="F379" s="54"/>
      <c r="G379" s="54"/>
      <c r="H379" s="54"/>
      <c r="I379" s="54"/>
      <c r="J379" s="54"/>
      <c r="K379" s="54"/>
      <c r="L379" s="54"/>
      <c r="M379" s="54"/>
      <c r="N379" s="54"/>
      <c r="O379" s="54"/>
      <c r="P379" s="54"/>
      <c r="Q379" s="54"/>
      <c r="R379" s="54"/>
      <c r="S379" s="54"/>
      <c r="T379" s="54"/>
      <c r="U379" s="54"/>
      <c r="V379" s="54"/>
      <c r="W379" s="54"/>
      <c r="X379" s="54"/>
      <c r="Y379" s="54"/>
      <c r="Z379" s="54"/>
    </row>
    <row r="380" ht="26.25" customHeight="1">
      <c r="A380" s="54"/>
      <c r="B380" s="55"/>
      <c r="C380" s="54"/>
      <c r="D380" s="63"/>
      <c r="E380" s="54"/>
      <c r="F380" s="54"/>
      <c r="G380" s="54"/>
      <c r="H380" s="54"/>
      <c r="I380" s="54"/>
      <c r="J380" s="54"/>
      <c r="K380" s="54"/>
      <c r="L380" s="54"/>
      <c r="M380" s="54"/>
      <c r="N380" s="54"/>
      <c r="O380" s="54"/>
      <c r="P380" s="54"/>
      <c r="Q380" s="54"/>
      <c r="R380" s="54"/>
      <c r="S380" s="54"/>
      <c r="T380" s="54"/>
      <c r="U380" s="54"/>
      <c r="V380" s="54"/>
      <c r="W380" s="54"/>
      <c r="X380" s="54"/>
      <c r="Y380" s="54"/>
      <c r="Z380" s="54"/>
    </row>
    <row r="381" ht="26.25" customHeight="1">
      <c r="A381" s="54"/>
      <c r="B381" s="55"/>
      <c r="C381" s="54"/>
      <c r="D381" s="63"/>
      <c r="E381" s="54"/>
      <c r="F381" s="54"/>
      <c r="G381" s="54"/>
      <c r="H381" s="54"/>
      <c r="I381" s="54"/>
      <c r="J381" s="54"/>
      <c r="K381" s="54"/>
      <c r="L381" s="54"/>
      <c r="M381" s="54"/>
      <c r="N381" s="54"/>
      <c r="O381" s="54"/>
      <c r="P381" s="54"/>
      <c r="Q381" s="54"/>
      <c r="R381" s="54"/>
      <c r="S381" s="54"/>
      <c r="T381" s="54"/>
      <c r="U381" s="54"/>
      <c r="V381" s="54"/>
      <c r="W381" s="54"/>
      <c r="X381" s="54"/>
      <c r="Y381" s="54"/>
      <c r="Z381" s="54"/>
    </row>
    <row r="382" ht="26.25" customHeight="1">
      <c r="A382" s="54"/>
      <c r="B382" s="55"/>
      <c r="C382" s="54"/>
      <c r="D382" s="63"/>
      <c r="E382" s="54"/>
      <c r="F382" s="54"/>
      <c r="G382" s="54"/>
      <c r="H382" s="54"/>
      <c r="I382" s="54"/>
      <c r="J382" s="54"/>
      <c r="K382" s="54"/>
      <c r="L382" s="54"/>
      <c r="M382" s="54"/>
      <c r="N382" s="54"/>
      <c r="O382" s="54"/>
      <c r="P382" s="54"/>
      <c r="Q382" s="54"/>
      <c r="R382" s="54"/>
      <c r="S382" s="54"/>
      <c r="T382" s="54"/>
      <c r="U382" s="54"/>
      <c r="V382" s="54"/>
      <c r="W382" s="54"/>
      <c r="X382" s="54"/>
      <c r="Y382" s="54"/>
      <c r="Z382" s="54"/>
    </row>
    <row r="383" ht="26.25" customHeight="1">
      <c r="A383" s="54"/>
      <c r="B383" s="55"/>
      <c r="C383" s="54"/>
      <c r="D383" s="63"/>
      <c r="E383" s="54"/>
      <c r="F383" s="54"/>
      <c r="G383" s="54"/>
      <c r="H383" s="54"/>
      <c r="I383" s="54"/>
      <c r="J383" s="54"/>
      <c r="K383" s="54"/>
      <c r="L383" s="54"/>
      <c r="M383" s="54"/>
      <c r="N383" s="54"/>
      <c r="O383" s="54"/>
      <c r="P383" s="54"/>
      <c r="Q383" s="54"/>
      <c r="R383" s="54"/>
      <c r="S383" s="54"/>
      <c r="T383" s="54"/>
      <c r="U383" s="54"/>
      <c r="V383" s="54"/>
      <c r="W383" s="54"/>
      <c r="X383" s="54"/>
      <c r="Y383" s="54"/>
      <c r="Z383" s="54"/>
    </row>
    <row r="384" ht="26.25" customHeight="1">
      <c r="A384" s="54"/>
      <c r="B384" s="55"/>
      <c r="C384" s="54"/>
      <c r="D384" s="63"/>
      <c r="E384" s="54"/>
      <c r="F384" s="54"/>
      <c r="G384" s="54"/>
      <c r="H384" s="54"/>
      <c r="I384" s="54"/>
      <c r="J384" s="54"/>
      <c r="K384" s="54"/>
      <c r="L384" s="54"/>
      <c r="M384" s="54"/>
      <c r="N384" s="54"/>
      <c r="O384" s="54"/>
      <c r="P384" s="54"/>
      <c r="Q384" s="54"/>
      <c r="R384" s="54"/>
      <c r="S384" s="54"/>
      <c r="T384" s="54"/>
      <c r="U384" s="54"/>
      <c r="V384" s="54"/>
      <c r="W384" s="54"/>
      <c r="X384" s="54"/>
      <c r="Y384" s="54"/>
      <c r="Z384" s="54"/>
    </row>
    <row r="385" ht="26.25" customHeight="1">
      <c r="A385" s="54"/>
      <c r="B385" s="55"/>
      <c r="C385" s="54"/>
      <c r="D385" s="63"/>
      <c r="E385" s="54"/>
      <c r="F385" s="54"/>
      <c r="G385" s="54"/>
      <c r="H385" s="54"/>
      <c r="I385" s="54"/>
      <c r="J385" s="54"/>
      <c r="K385" s="54"/>
      <c r="L385" s="54"/>
      <c r="M385" s="54"/>
      <c r="N385" s="54"/>
      <c r="O385" s="54"/>
      <c r="P385" s="54"/>
      <c r="Q385" s="54"/>
      <c r="R385" s="54"/>
      <c r="S385" s="54"/>
      <c r="T385" s="54"/>
      <c r="U385" s="54"/>
      <c r="V385" s="54"/>
      <c r="W385" s="54"/>
      <c r="X385" s="54"/>
      <c r="Y385" s="54"/>
      <c r="Z385" s="54"/>
    </row>
    <row r="386">
      <c r="A386" s="54"/>
      <c r="B386" s="55"/>
      <c r="C386" s="54"/>
      <c r="D386" s="63"/>
      <c r="E386" s="54"/>
      <c r="F386" s="54"/>
      <c r="G386" s="54"/>
      <c r="H386" s="54"/>
      <c r="I386" s="54"/>
      <c r="J386" s="54"/>
      <c r="K386" s="54"/>
      <c r="L386" s="54"/>
      <c r="M386" s="54"/>
      <c r="N386" s="54"/>
      <c r="O386" s="54"/>
      <c r="P386" s="54"/>
      <c r="Q386" s="54"/>
      <c r="R386" s="54"/>
      <c r="S386" s="54"/>
      <c r="T386" s="54"/>
      <c r="U386" s="54"/>
      <c r="V386" s="54"/>
      <c r="W386" s="54"/>
      <c r="X386" s="54"/>
      <c r="Y386" s="54"/>
      <c r="Z386" s="54"/>
    </row>
    <row r="387">
      <c r="A387" s="54"/>
      <c r="B387" s="55"/>
      <c r="C387" s="54"/>
      <c r="D387" s="63"/>
      <c r="E387" s="54"/>
      <c r="F387" s="54"/>
      <c r="G387" s="54"/>
      <c r="H387" s="54"/>
      <c r="I387" s="54"/>
      <c r="J387" s="54"/>
      <c r="K387" s="54"/>
      <c r="L387" s="54"/>
      <c r="M387" s="54"/>
      <c r="N387" s="54"/>
      <c r="O387" s="54"/>
      <c r="P387" s="54"/>
      <c r="Q387" s="54"/>
      <c r="R387" s="54"/>
      <c r="S387" s="54"/>
      <c r="T387" s="54"/>
      <c r="U387" s="54"/>
      <c r="V387" s="54"/>
      <c r="W387" s="54"/>
      <c r="X387" s="54"/>
      <c r="Y387" s="54"/>
      <c r="Z387" s="54"/>
    </row>
    <row r="388">
      <c r="A388" s="54"/>
      <c r="B388" s="55"/>
      <c r="C388" s="54"/>
      <c r="D388" s="63"/>
      <c r="E388" s="54"/>
      <c r="F388" s="54"/>
      <c r="G388" s="54"/>
      <c r="H388" s="54"/>
      <c r="I388" s="54"/>
      <c r="J388" s="54"/>
      <c r="K388" s="54"/>
      <c r="L388" s="54"/>
      <c r="M388" s="54"/>
      <c r="N388" s="54"/>
      <c r="O388" s="54"/>
      <c r="P388" s="54"/>
      <c r="Q388" s="54"/>
      <c r="R388" s="54"/>
      <c r="S388" s="54"/>
      <c r="T388" s="54"/>
      <c r="U388" s="54"/>
      <c r="V388" s="54"/>
      <c r="W388" s="54"/>
      <c r="X388" s="54"/>
      <c r="Y388" s="54"/>
      <c r="Z388" s="54"/>
    </row>
    <row r="389">
      <c r="A389" s="54"/>
      <c r="B389" s="55"/>
      <c r="C389" s="54"/>
      <c r="D389" s="63"/>
      <c r="E389" s="54"/>
      <c r="F389" s="54"/>
      <c r="G389" s="54"/>
      <c r="H389" s="54"/>
      <c r="I389" s="54"/>
      <c r="J389" s="54"/>
      <c r="K389" s="54"/>
      <c r="L389" s="54"/>
      <c r="M389" s="54"/>
      <c r="N389" s="54"/>
      <c r="O389" s="54"/>
      <c r="P389" s="54"/>
      <c r="Q389" s="54"/>
      <c r="R389" s="54"/>
      <c r="S389" s="54"/>
      <c r="T389" s="54"/>
      <c r="U389" s="54"/>
      <c r="V389" s="54"/>
      <c r="W389" s="54"/>
      <c r="X389" s="54"/>
      <c r="Y389" s="54"/>
      <c r="Z389" s="54"/>
    </row>
    <row r="390">
      <c r="A390" s="54"/>
      <c r="B390" s="55"/>
      <c r="C390" s="54"/>
      <c r="D390" s="63"/>
      <c r="E390" s="54"/>
      <c r="F390" s="54"/>
      <c r="G390" s="54"/>
      <c r="H390" s="54"/>
      <c r="I390" s="54"/>
      <c r="J390" s="54"/>
      <c r="K390" s="54"/>
      <c r="L390" s="54"/>
      <c r="M390" s="54"/>
      <c r="N390" s="54"/>
      <c r="O390" s="54"/>
      <c r="P390" s="54"/>
      <c r="Q390" s="54"/>
      <c r="R390" s="54"/>
      <c r="S390" s="54"/>
      <c r="T390" s="54"/>
      <c r="U390" s="54"/>
      <c r="V390" s="54"/>
      <c r="W390" s="54"/>
      <c r="X390" s="54"/>
      <c r="Y390" s="54"/>
      <c r="Z390" s="54"/>
    </row>
    <row r="391">
      <c r="A391" s="54"/>
      <c r="B391" s="55"/>
      <c r="C391" s="54"/>
      <c r="D391" s="63"/>
      <c r="E391" s="54"/>
      <c r="F391" s="54"/>
      <c r="G391" s="54"/>
      <c r="H391" s="54"/>
      <c r="I391" s="54"/>
      <c r="J391" s="54"/>
      <c r="K391" s="54"/>
      <c r="L391" s="54"/>
      <c r="M391" s="54"/>
      <c r="N391" s="54"/>
      <c r="O391" s="54"/>
      <c r="P391" s="54"/>
      <c r="Q391" s="54"/>
      <c r="R391" s="54"/>
      <c r="S391" s="54"/>
      <c r="T391" s="54"/>
      <c r="U391" s="54"/>
      <c r="V391" s="54"/>
      <c r="W391" s="54"/>
      <c r="X391" s="54"/>
      <c r="Y391" s="54"/>
      <c r="Z391" s="54"/>
    </row>
    <row r="392">
      <c r="A392" s="54"/>
      <c r="B392" s="55"/>
      <c r="C392" s="54"/>
      <c r="D392" s="63"/>
      <c r="E392" s="54"/>
      <c r="F392" s="54"/>
      <c r="G392" s="54"/>
      <c r="H392" s="54"/>
      <c r="I392" s="54"/>
      <c r="J392" s="54"/>
      <c r="K392" s="54"/>
      <c r="L392" s="54"/>
      <c r="M392" s="54"/>
      <c r="N392" s="54"/>
      <c r="O392" s="54"/>
      <c r="P392" s="54"/>
      <c r="Q392" s="54"/>
      <c r="R392" s="54"/>
      <c r="S392" s="54"/>
      <c r="T392" s="54"/>
      <c r="U392" s="54"/>
      <c r="V392" s="54"/>
      <c r="W392" s="54"/>
      <c r="X392" s="54"/>
      <c r="Y392" s="54"/>
      <c r="Z392" s="54"/>
    </row>
    <row r="393">
      <c r="A393" s="54"/>
      <c r="B393" s="55"/>
      <c r="C393" s="54"/>
      <c r="D393" s="63"/>
      <c r="E393" s="54"/>
      <c r="F393" s="54"/>
      <c r="G393" s="54"/>
      <c r="H393" s="54"/>
      <c r="I393" s="54"/>
      <c r="J393" s="54"/>
      <c r="K393" s="54"/>
      <c r="L393" s="54"/>
      <c r="M393" s="54"/>
      <c r="N393" s="54"/>
      <c r="O393" s="54"/>
      <c r="P393" s="54"/>
      <c r="Q393" s="54"/>
      <c r="R393" s="54"/>
      <c r="S393" s="54"/>
      <c r="T393" s="54"/>
      <c r="U393" s="54"/>
      <c r="V393" s="54"/>
      <c r="W393" s="54"/>
      <c r="X393" s="54"/>
      <c r="Y393" s="54"/>
      <c r="Z393" s="54"/>
    </row>
    <row r="394">
      <c r="A394" s="54"/>
      <c r="B394" s="55"/>
      <c r="C394" s="54"/>
      <c r="D394" s="63"/>
      <c r="E394" s="54"/>
      <c r="F394" s="54"/>
      <c r="G394" s="54"/>
      <c r="H394" s="54"/>
      <c r="I394" s="54"/>
      <c r="J394" s="54"/>
      <c r="K394" s="54"/>
      <c r="L394" s="54"/>
      <c r="M394" s="54"/>
      <c r="N394" s="54"/>
      <c r="O394" s="54"/>
      <c r="P394" s="54"/>
      <c r="Q394" s="54"/>
      <c r="R394" s="54"/>
      <c r="S394" s="54"/>
      <c r="T394" s="54"/>
      <c r="U394" s="54"/>
      <c r="V394" s="54"/>
      <c r="W394" s="54"/>
      <c r="X394" s="54"/>
      <c r="Y394" s="54"/>
      <c r="Z394" s="54"/>
    </row>
    <row r="395">
      <c r="A395" s="54"/>
      <c r="B395" s="55"/>
      <c r="C395" s="54"/>
      <c r="D395" s="63"/>
      <c r="E395" s="54"/>
      <c r="F395" s="54"/>
      <c r="G395" s="54"/>
      <c r="H395" s="54"/>
      <c r="I395" s="54"/>
      <c r="J395" s="54"/>
      <c r="K395" s="54"/>
      <c r="L395" s="54"/>
      <c r="M395" s="54"/>
      <c r="N395" s="54"/>
      <c r="O395" s="54"/>
      <c r="P395" s="54"/>
      <c r="Q395" s="54"/>
      <c r="R395" s="54"/>
      <c r="S395" s="54"/>
      <c r="T395" s="54"/>
      <c r="U395" s="54"/>
      <c r="V395" s="54"/>
      <c r="W395" s="54"/>
      <c r="X395" s="54"/>
      <c r="Y395" s="54"/>
      <c r="Z395" s="54"/>
    </row>
    <row r="396">
      <c r="A396" s="54"/>
      <c r="B396" s="55"/>
      <c r="C396" s="54"/>
      <c r="D396" s="63"/>
      <c r="E396" s="54"/>
      <c r="F396" s="54"/>
      <c r="G396" s="54"/>
      <c r="H396" s="54"/>
      <c r="I396" s="54"/>
      <c r="J396" s="54"/>
      <c r="K396" s="54"/>
      <c r="L396" s="54"/>
      <c r="M396" s="54"/>
      <c r="N396" s="54"/>
      <c r="O396" s="54"/>
      <c r="P396" s="54"/>
      <c r="Q396" s="54"/>
      <c r="R396" s="54"/>
      <c r="S396" s="54"/>
      <c r="T396" s="54"/>
      <c r="U396" s="54"/>
      <c r="V396" s="54"/>
      <c r="W396" s="54"/>
      <c r="X396" s="54"/>
      <c r="Y396" s="54"/>
      <c r="Z396" s="54"/>
    </row>
    <row r="397">
      <c r="A397" s="54"/>
      <c r="B397" s="55"/>
      <c r="C397" s="54"/>
      <c r="D397" s="63"/>
      <c r="E397" s="54"/>
      <c r="F397" s="54"/>
      <c r="G397" s="54"/>
      <c r="H397" s="54"/>
      <c r="I397" s="54"/>
      <c r="J397" s="54"/>
      <c r="K397" s="54"/>
      <c r="L397" s="54"/>
      <c r="M397" s="54"/>
      <c r="N397" s="54"/>
      <c r="O397" s="54"/>
      <c r="P397" s="54"/>
      <c r="Q397" s="54"/>
      <c r="R397" s="54"/>
      <c r="S397" s="54"/>
      <c r="T397" s="54"/>
      <c r="U397" s="54"/>
      <c r="V397" s="54"/>
      <c r="W397" s="54"/>
      <c r="X397" s="54"/>
      <c r="Y397" s="54"/>
      <c r="Z397" s="54"/>
    </row>
    <row r="398">
      <c r="A398" s="54"/>
      <c r="B398" s="55"/>
      <c r="C398" s="54"/>
      <c r="D398" s="63"/>
      <c r="E398" s="54"/>
      <c r="F398" s="54"/>
      <c r="G398" s="54"/>
      <c r="H398" s="54"/>
      <c r="I398" s="54"/>
      <c r="J398" s="54"/>
      <c r="K398" s="54"/>
      <c r="L398" s="54"/>
      <c r="M398" s="54"/>
      <c r="N398" s="54"/>
      <c r="O398" s="54"/>
      <c r="P398" s="54"/>
      <c r="Q398" s="54"/>
      <c r="R398" s="54"/>
      <c r="S398" s="54"/>
      <c r="T398" s="54"/>
      <c r="U398" s="54"/>
      <c r="V398" s="54"/>
      <c r="W398" s="54"/>
      <c r="X398" s="54"/>
      <c r="Y398" s="54"/>
      <c r="Z398" s="54"/>
    </row>
    <row r="399">
      <c r="A399" s="54"/>
      <c r="B399" s="55"/>
      <c r="C399" s="54"/>
      <c r="D399" s="63"/>
      <c r="E399" s="54"/>
      <c r="F399" s="54"/>
      <c r="G399" s="54"/>
      <c r="H399" s="54"/>
      <c r="I399" s="54"/>
      <c r="J399" s="54"/>
      <c r="K399" s="54"/>
      <c r="L399" s="54"/>
      <c r="M399" s="54"/>
      <c r="N399" s="54"/>
      <c r="O399" s="54"/>
      <c r="P399" s="54"/>
      <c r="Q399" s="54"/>
      <c r="R399" s="54"/>
      <c r="S399" s="54"/>
      <c r="T399" s="54"/>
      <c r="U399" s="54"/>
      <c r="V399" s="54"/>
      <c r="W399" s="54"/>
      <c r="X399" s="54"/>
      <c r="Y399" s="54"/>
      <c r="Z399" s="54"/>
    </row>
    <row r="400">
      <c r="A400" s="54"/>
      <c r="B400" s="55"/>
      <c r="C400" s="54"/>
      <c r="D400" s="63"/>
      <c r="E400" s="54"/>
      <c r="F400" s="54"/>
      <c r="G400" s="54"/>
      <c r="H400" s="54"/>
      <c r="I400" s="54"/>
      <c r="J400" s="54"/>
      <c r="K400" s="54"/>
      <c r="L400" s="54"/>
      <c r="M400" s="54"/>
      <c r="N400" s="54"/>
      <c r="O400" s="54"/>
      <c r="P400" s="54"/>
      <c r="Q400" s="54"/>
      <c r="R400" s="54"/>
      <c r="S400" s="54"/>
      <c r="T400" s="54"/>
      <c r="U400" s="54"/>
      <c r="V400" s="54"/>
      <c r="W400" s="54"/>
      <c r="X400" s="54"/>
      <c r="Y400" s="54"/>
      <c r="Z400" s="54"/>
    </row>
    <row r="401">
      <c r="A401" s="54"/>
      <c r="B401" s="55"/>
      <c r="C401" s="54"/>
      <c r="D401" s="63"/>
      <c r="E401" s="54"/>
      <c r="F401" s="54"/>
      <c r="G401" s="54"/>
      <c r="H401" s="54"/>
      <c r="I401" s="54"/>
      <c r="J401" s="54"/>
      <c r="K401" s="54"/>
      <c r="L401" s="54"/>
      <c r="M401" s="54"/>
      <c r="N401" s="54"/>
      <c r="O401" s="54"/>
      <c r="P401" s="54"/>
      <c r="Q401" s="54"/>
      <c r="R401" s="54"/>
      <c r="S401" s="54"/>
      <c r="T401" s="54"/>
      <c r="U401" s="54"/>
      <c r="V401" s="54"/>
      <c r="W401" s="54"/>
      <c r="X401" s="54"/>
      <c r="Y401" s="54"/>
      <c r="Z401" s="54"/>
    </row>
    <row r="402">
      <c r="A402" s="54"/>
      <c r="B402" s="55"/>
      <c r="C402" s="54"/>
      <c r="D402" s="63"/>
      <c r="E402" s="54"/>
      <c r="F402" s="54"/>
      <c r="G402" s="54"/>
      <c r="H402" s="54"/>
      <c r="I402" s="54"/>
      <c r="J402" s="54"/>
      <c r="K402" s="54"/>
      <c r="L402" s="54"/>
      <c r="M402" s="54"/>
      <c r="N402" s="54"/>
      <c r="O402" s="54"/>
      <c r="P402" s="54"/>
      <c r="Q402" s="54"/>
      <c r="R402" s="54"/>
      <c r="S402" s="54"/>
      <c r="T402" s="54"/>
      <c r="U402" s="54"/>
      <c r="V402" s="54"/>
      <c r="W402" s="54"/>
      <c r="X402" s="54"/>
      <c r="Y402" s="54"/>
      <c r="Z402" s="54"/>
    </row>
    <row r="403">
      <c r="A403" s="54"/>
      <c r="B403" s="55"/>
      <c r="C403" s="54"/>
      <c r="D403" s="63"/>
      <c r="E403" s="54"/>
      <c r="F403" s="54"/>
      <c r="G403" s="54"/>
      <c r="H403" s="54"/>
      <c r="I403" s="54"/>
      <c r="J403" s="54"/>
      <c r="K403" s="54"/>
      <c r="L403" s="54"/>
      <c r="M403" s="54"/>
      <c r="N403" s="54"/>
      <c r="O403" s="54"/>
      <c r="P403" s="54"/>
      <c r="Q403" s="54"/>
      <c r="R403" s="54"/>
      <c r="S403" s="54"/>
      <c r="T403" s="54"/>
      <c r="U403" s="54"/>
      <c r="V403" s="54"/>
      <c r="W403" s="54"/>
      <c r="X403" s="54"/>
      <c r="Y403" s="54"/>
      <c r="Z403" s="54"/>
    </row>
    <row r="404">
      <c r="A404" s="54"/>
      <c r="B404" s="55"/>
      <c r="C404" s="54"/>
      <c r="D404" s="63"/>
      <c r="E404" s="54"/>
      <c r="F404" s="54"/>
      <c r="G404" s="54"/>
      <c r="H404" s="54"/>
      <c r="I404" s="54"/>
      <c r="J404" s="54"/>
      <c r="K404" s="54"/>
      <c r="L404" s="54"/>
      <c r="M404" s="54"/>
      <c r="N404" s="54"/>
      <c r="O404" s="54"/>
      <c r="P404" s="54"/>
      <c r="Q404" s="54"/>
      <c r="R404" s="54"/>
      <c r="S404" s="54"/>
      <c r="T404" s="54"/>
      <c r="U404" s="54"/>
      <c r="V404" s="54"/>
      <c r="W404" s="54"/>
      <c r="X404" s="54"/>
      <c r="Y404" s="54"/>
      <c r="Z404" s="54"/>
    </row>
    <row r="405">
      <c r="A405" s="54"/>
      <c r="B405" s="55"/>
      <c r="C405" s="54"/>
      <c r="D405" s="63"/>
      <c r="E405" s="54"/>
      <c r="F405" s="54"/>
      <c r="G405" s="54"/>
      <c r="H405" s="54"/>
      <c r="I405" s="54"/>
      <c r="J405" s="54"/>
      <c r="K405" s="54"/>
      <c r="L405" s="54"/>
      <c r="M405" s="54"/>
      <c r="N405" s="54"/>
      <c r="O405" s="54"/>
      <c r="P405" s="54"/>
      <c r="Q405" s="54"/>
      <c r="R405" s="54"/>
      <c r="S405" s="54"/>
      <c r="T405" s="54"/>
      <c r="U405" s="54"/>
      <c r="V405" s="54"/>
      <c r="W405" s="54"/>
      <c r="X405" s="54"/>
      <c r="Y405" s="54"/>
      <c r="Z405" s="54"/>
    </row>
    <row r="406">
      <c r="A406" s="54"/>
      <c r="B406" s="55"/>
      <c r="C406" s="54"/>
      <c r="D406" s="63"/>
      <c r="E406" s="54"/>
      <c r="F406" s="54"/>
      <c r="G406" s="54"/>
      <c r="H406" s="54"/>
      <c r="I406" s="54"/>
      <c r="J406" s="54"/>
      <c r="K406" s="54"/>
      <c r="L406" s="54"/>
      <c r="M406" s="54"/>
      <c r="N406" s="54"/>
      <c r="O406" s="54"/>
      <c r="P406" s="54"/>
      <c r="Q406" s="54"/>
      <c r="R406" s="54"/>
      <c r="S406" s="54"/>
      <c r="T406" s="54"/>
      <c r="U406" s="54"/>
      <c r="V406" s="54"/>
      <c r="W406" s="54"/>
      <c r="X406" s="54"/>
      <c r="Y406" s="54"/>
      <c r="Z406" s="54"/>
    </row>
    <row r="407">
      <c r="A407" s="54"/>
      <c r="B407" s="55"/>
      <c r="C407" s="54"/>
      <c r="D407" s="63"/>
      <c r="E407" s="54"/>
      <c r="F407" s="54"/>
      <c r="G407" s="54"/>
      <c r="H407" s="54"/>
      <c r="I407" s="54"/>
      <c r="J407" s="54"/>
      <c r="K407" s="54"/>
      <c r="L407" s="54"/>
      <c r="M407" s="54"/>
      <c r="N407" s="54"/>
      <c r="O407" s="54"/>
      <c r="P407" s="54"/>
      <c r="Q407" s="54"/>
      <c r="R407" s="54"/>
      <c r="S407" s="54"/>
      <c r="T407" s="54"/>
      <c r="U407" s="54"/>
      <c r="V407" s="54"/>
      <c r="W407" s="54"/>
      <c r="X407" s="54"/>
      <c r="Y407" s="54"/>
      <c r="Z407" s="54"/>
    </row>
    <row r="408">
      <c r="A408" s="54"/>
      <c r="B408" s="55"/>
      <c r="C408" s="54"/>
      <c r="D408" s="63"/>
      <c r="E408" s="54"/>
      <c r="F408" s="54"/>
      <c r="G408" s="54"/>
      <c r="H408" s="54"/>
      <c r="I408" s="54"/>
      <c r="J408" s="54"/>
      <c r="K408" s="54"/>
      <c r="L408" s="54"/>
      <c r="M408" s="54"/>
      <c r="N408" s="54"/>
      <c r="O408" s="54"/>
      <c r="P408" s="54"/>
      <c r="Q408" s="54"/>
      <c r="R408" s="54"/>
      <c r="S408" s="54"/>
      <c r="T408" s="54"/>
      <c r="U408" s="54"/>
      <c r="V408" s="54"/>
      <c r="W408" s="54"/>
      <c r="X408" s="54"/>
      <c r="Y408" s="54"/>
      <c r="Z408" s="54"/>
    </row>
    <row r="409">
      <c r="A409" s="54"/>
      <c r="B409" s="55"/>
      <c r="C409" s="54"/>
      <c r="D409" s="63"/>
      <c r="E409" s="54"/>
      <c r="F409" s="54"/>
      <c r="G409" s="54"/>
      <c r="H409" s="54"/>
      <c r="I409" s="54"/>
      <c r="J409" s="54"/>
      <c r="K409" s="54"/>
      <c r="L409" s="54"/>
      <c r="M409" s="54"/>
      <c r="N409" s="54"/>
      <c r="O409" s="54"/>
      <c r="P409" s="54"/>
      <c r="Q409" s="54"/>
      <c r="R409" s="54"/>
      <c r="S409" s="54"/>
      <c r="T409" s="54"/>
      <c r="U409" s="54"/>
      <c r="V409" s="54"/>
      <c r="W409" s="54"/>
      <c r="X409" s="54"/>
      <c r="Y409" s="54"/>
      <c r="Z409" s="54"/>
    </row>
    <row r="410">
      <c r="A410" s="54"/>
      <c r="B410" s="55"/>
      <c r="C410" s="54"/>
      <c r="D410" s="63"/>
      <c r="E410" s="54"/>
      <c r="F410" s="54"/>
      <c r="G410" s="54"/>
      <c r="H410" s="54"/>
      <c r="I410" s="54"/>
      <c r="J410" s="54"/>
      <c r="K410" s="54"/>
      <c r="L410" s="54"/>
      <c r="M410" s="54"/>
      <c r="N410" s="54"/>
      <c r="O410" s="54"/>
      <c r="P410" s="54"/>
      <c r="Q410" s="54"/>
      <c r="R410" s="54"/>
      <c r="S410" s="54"/>
      <c r="T410" s="54"/>
      <c r="U410" s="54"/>
      <c r="V410" s="54"/>
      <c r="W410" s="54"/>
      <c r="X410" s="54"/>
      <c r="Y410" s="54"/>
      <c r="Z410" s="54"/>
    </row>
    <row r="411">
      <c r="A411" s="54"/>
      <c r="B411" s="55"/>
      <c r="C411" s="54"/>
      <c r="D411" s="63"/>
      <c r="E411" s="54"/>
      <c r="F411" s="54"/>
      <c r="G411" s="54"/>
      <c r="H411" s="54"/>
      <c r="I411" s="54"/>
      <c r="J411" s="54"/>
      <c r="K411" s="54"/>
      <c r="L411" s="54"/>
      <c r="M411" s="54"/>
      <c r="N411" s="54"/>
      <c r="O411" s="54"/>
      <c r="P411" s="54"/>
      <c r="Q411" s="54"/>
      <c r="R411" s="54"/>
      <c r="S411" s="54"/>
      <c r="T411" s="54"/>
      <c r="U411" s="54"/>
      <c r="V411" s="54"/>
      <c r="W411" s="54"/>
      <c r="X411" s="54"/>
      <c r="Y411" s="54"/>
      <c r="Z411" s="54"/>
    </row>
    <row r="412">
      <c r="A412" s="54"/>
      <c r="B412" s="55"/>
      <c r="C412" s="54"/>
      <c r="D412" s="63"/>
      <c r="E412" s="54"/>
      <c r="F412" s="54"/>
      <c r="G412" s="54"/>
      <c r="H412" s="54"/>
      <c r="I412" s="54"/>
      <c r="J412" s="54"/>
      <c r="K412" s="54"/>
      <c r="L412" s="54"/>
      <c r="M412" s="54"/>
      <c r="N412" s="54"/>
      <c r="O412" s="54"/>
      <c r="P412" s="54"/>
      <c r="Q412" s="54"/>
      <c r="R412" s="54"/>
      <c r="S412" s="54"/>
      <c r="T412" s="54"/>
      <c r="U412" s="54"/>
      <c r="V412" s="54"/>
      <c r="W412" s="54"/>
      <c r="X412" s="54"/>
      <c r="Y412" s="54"/>
      <c r="Z412" s="54"/>
    </row>
    <row r="413">
      <c r="A413" s="54"/>
      <c r="B413" s="55"/>
      <c r="C413" s="54"/>
      <c r="D413" s="63"/>
      <c r="E413" s="54"/>
      <c r="F413" s="54"/>
      <c r="G413" s="54"/>
      <c r="H413" s="54"/>
      <c r="I413" s="54"/>
      <c r="J413" s="54"/>
      <c r="K413" s="54"/>
      <c r="L413" s="54"/>
      <c r="M413" s="54"/>
      <c r="N413" s="54"/>
      <c r="O413" s="54"/>
      <c r="P413" s="54"/>
      <c r="Q413" s="54"/>
      <c r="R413" s="54"/>
      <c r="S413" s="54"/>
      <c r="T413" s="54"/>
      <c r="U413" s="54"/>
      <c r="V413" s="54"/>
      <c r="W413" s="54"/>
      <c r="X413" s="54"/>
      <c r="Y413" s="54"/>
      <c r="Z413" s="54"/>
    </row>
    <row r="414">
      <c r="A414" s="54"/>
      <c r="B414" s="55"/>
      <c r="C414" s="54"/>
      <c r="D414" s="63"/>
      <c r="E414" s="54"/>
      <c r="F414" s="54"/>
      <c r="G414" s="54"/>
      <c r="H414" s="54"/>
      <c r="I414" s="54"/>
      <c r="J414" s="54"/>
      <c r="K414" s="54"/>
      <c r="L414" s="54"/>
      <c r="M414" s="54"/>
      <c r="N414" s="54"/>
      <c r="O414" s="54"/>
      <c r="P414" s="54"/>
      <c r="Q414" s="54"/>
      <c r="R414" s="54"/>
      <c r="S414" s="54"/>
      <c r="T414" s="54"/>
      <c r="U414" s="54"/>
      <c r="V414" s="54"/>
      <c r="W414" s="54"/>
      <c r="X414" s="54"/>
      <c r="Y414" s="54"/>
      <c r="Z414" s="54"/>
    </row>
    <row r="415">
      <c r="A415" s="54"/>
      <c r="B415" s="55"/>
      <c r="C415" s="54"/>
      <c r="D415" s="63"/>
      <c r="E415" s="54"/>
      <c r="F415" s="54"/>
      <c r="G415" s="54"/>
      <c r="H415" s="54"/>
      <c r="I415" s="54"/>
      <c r="J415" s="54"/>
      <c r="K415" s="54"/>
      <c r="L415" s="54"/>
      <c r="M415" s="54"/>
      <c r="N415" s="54"/>
      <c r="O415" s="54"/>
      <c r="P415" s="54"/>
      <c r="Q415" s="54"/>
      <c r="R415" s="54"/>
      <c r="S415" s="54"/>
      <c r="T415" s="54"/>
      <c r="U415" s="54"/>
      <c r="V415" s="54"/>
      <c r="W415" s="54"/>
      <c r="X415" s="54"/>
      <c r="Y415" s="54"/>
      <c r="Z415" s="54"/>
    </row>
    <row r="416">
      <c r="A416" s="54"/>
      <c r="B416" s="55"/>
      <c r="C416" s="54"/>
      <c r="D416" s="63"/>
      <c r="E416" s="54"/>
      <c r="F416" s="54"/>
      <c r="G416" s="54"/>
      <c r="H416" s="54"/>
      <c r="I416" s="54"/>
      <c r="J416" s="54"/>
      <c r="K416" s="54"/>
      <c r="L416" s="54"/>
      <c r="M416" s="54"/>
      <c r="N416" s="54"/>
      <c r="O416" s="54"/>
      <c r="P416" s="54"/>
      <c r="Q416" s="54"/>
      <c r="R416" s="54"/>
      <c r="S416" s="54"/>
      <c r="T416" s="54"/>
      <c r="U416" s="54"/>
      <c r="V416" s="54"/>
      <c r="W416" s="54"/>
      <c r="X416" s="54"/>
      <c r="Y416" s="54"/>
      <c r="Z416" s="54"/>
    </row>
    <row r="417">
      <c r="A417" s="54"/>
      <c r="B417" s="55"/>
      <c r="C417" s="54"/>
      <c r="D417" s="63"/>
      <c r="E417" s="54"/>
      <c r="F417" s="54"/>
      <c r="G417" s="54"/>
      <c r="H417" s="54"/>
      <c r="I417" s="54"/>
      <c r="J417" s="54"/>
      <c r="K417" s="54"/>
      <c r="L417" s="54"/>
      <c r="M417" s="54"/>
      <c r="N417" s="54"/>
      <c r="O417" s="54"/>
      <c r="P417" s="54"/>
      <c r="Q417" s="54"/>
      <c r="R417" s="54"/>
      <c r="S417" s="54"/>
      <c r="T417" s="54"/>
      <c r="U417" s="54"/>
      <c r="V417" s="54"/>
      <c r="W417" s="54"/>
      <c r="X417" s="54"/>
      <c r="Y417" s="54"/>
      <c r="Z417" s="54"/>
    </row>
    <row r="418">
      <c r="A418" s="54"/>
      <c r="B418" s="55"/>
      <c r="C418" s="54"/>
      <c r="D418" s="63"/>
      <c r="E418" s="54"/>
      <c r="F418" s="54"/>
      <c r="G418" s="54"/>
      <c r="H418" s="54"/>
      <c r="I418" s="54"/>
      <c r="J418" s="54"/>
      <c r="K418" s="54"/>
      <c r="L418" s="54"/>
      <c r="M418" s="54"/>
      <c r="N418" s="54"/>
      <c r="O418" s="54"/>
      <c r="P418" s="54"/>
      <c r="Q418" s="54"/>
      <c r="R418" s="54"/>
      <c r="S418" s="54"/>
      <c r="T418" s="54"/>
      <c r="U418" s="54"/>
      <c r="V418" s="54"/>
      <c r="W418" s="54"/>
      <c r="X418" s="54"/>
      <c r="Y418" s="54"/>
      <c r="Z418" s="54"/>
    </row>
    <row r="419">
      <c r="A419" s="54"/>
      <c r="B419" s="55"/>
      <c r="C419" s="54"/>
      <c r="D419" s="63"/>
      <c r="E419" s="54"/>
      <c r="F419" s="54"/>
      <c r="G419" s="54"/>
      <c r="H419" s="54"/>
      <c r="I419" s="54"/>
      <c r="J419" s="54"/>
      <c r="K419" s="54"/>
      <c r="L419" s="54"/>
      <c r="M419" s="54"/>
      <c r="N419" s="54"/>
      <c r="O419" s="54"/>
      <c r="P419" s="54"/>
      <c r="Q419" s="54"/>
      <c r="R419" s="54"/>
      <c r="S419" s="54"/>
      <c r="T419" s="54"/>
      <c r="U419" s="54"/>
      <c r="V419" s="54"/>
      <c r="W419" s="54"/>
      <c r="X419" s="54"/>
      <c r="Y419" s="54"/>
      <c r="Z419" s="54"/>
    </row>
    <row r="420">
      <c r="A420" s="54"/>
      <c r="B420" s="55"/>
      <c r="C420" s="54"/>
      <c r="D420" s="63"/>
      <c r="E420" s="54"/>
      <c r="F420" s="54"/>
      <c r="G420" s="54"/>
      <c r="H420" s="54"/>
      <c r="I420" s="54"/>
      <c r="J420" s="54"/>
      <c r="K420" s="54"/>
      <c r="L420" s="54"/>
      <c r="M420" s="54"/>
      <c r="N420" s="54"/>
      <c r="O420" s="54"/>
      <c r="P420" s="54"/>
      <c r="Q420" s="54"/>
      <c r="R420" s="54"/>
      <c r="S420" s="54"/>
      <c r="T420" s="54"/>
      <c r="U420" s="54"/>
      <c r="V420" s="54"/>
      <c r="W420" s="54"/>
      <c r="X420" s="54"/>
      <c r="Y420" s="54"/>
      <c r="Z420" s="54"/>
    </row>
    <row r="421">
      <c r="A421" s="54"/>
      <c r="B421" s="55"/>
      <c r="C421" s="54"/>
      <c r="D421" s="63"/>
      <c r="E421" s="54"/>
      <c r="F421" s="54"/>
      <c r="G421" s="54"/>
      <c r="H421" s="54"/>
      <c r="I421" s="54"/>
      <c r="J421" s="54"/>
      <c r="K421" s="54"/>
      <c r="L421" s="54"/>
      <c r="M421" s="54"/>
      <c r="N421" s="54"/>
      <c r="O421" s="54"/>
      <c r="P421" s="54"/>
      <c r="Q421" s="54"/>
      <c r="R421" s="54"/>
      <c r="S421" s="54"/>
      <c r="T421" s="54"/>
      <c r="U421" s="54"/>
      <c r="V421" s="54"/>
      <c r="W421" s="54"/>
      <c r="X421" s="54"/>
      <c r="Y421" s="54"/>
      <c r="Z421" s="54"/>
    </row>
    <row r="422">
      <c r="A422" s="54"/>
      <c r="B422" s="55"/>
      <c r="C422" s="54"/>
      <c r="D422" s="63"/>
      <c r="E422" s="54"/>
      <c r="F422" s="54"/>
      <c r="G422" s="54"/>
      <c r="H422" s="54"/>
      <c r="I422" s="54"/>
      <c r="J422" s="54"/>
      <c r="K422" s="54"/>
      <c r="L422" s="54"/>
      <c r="M422" s="54"/>
      <c r="N422" s="54"/>
      <c r="O422" s="54"/>
      <c r="P422" s="54"/>
      <c r="Q422" s="54"/>
      <c r="R422" s="54"/>
      <c r="S422" s="54"/>
      <c r="T422" s="54"/>
      <c r="U422" s="54"/>
      <c r="V422" s="54"/>
      <c r="W422" s="54"/>
      <c r="X422" s="54"/>
      <c r="Y422" s="54"/>
      <c r="Z422" s="54"/>
    </row>
    <row r="423">
      <c r="A423" s="54"/>
      <c r="B423" s="55"/>
      <c r="C423" s="54"/>
      <c r="D423" s="63"/>
      <c r="E423" s="54"/>
      <c r="F423" s="54"/>
      <c r="G423" s="54"/>
      <c r="H423" s="54"/>
      <c r="I423" s="54"/>
      <c r="J423" s="54"/>
      <c r="K423" s="54"/>
      <c r="L423" s="54"/>
      <c r="M423" s="54"/>
      <c r="N423" s="54"/>
      <c r="O423" s="54"/>
      <c r="P423" s="54"/>
      <c r="Q423" s="54"/>
      <c r="R423" s="54"/>
      <c r="S423" s="54"/>
      <c r="T423" s="54"/>
      <c r="U423" s="54"/>
      <c r="V423" s="54"/>
      <c r="W423" s="54"/>
      <c r="X423" s="54"/>
      <c r="Y423" s="54"/>
      <c r="Z423" s="54"/>
    </row>
    <row r="424">
      <c r="A424" s="54"/>
      <c r="B424" s="55"/>
      <c r="C424" s="54"/>
      <c r="D424" s="63"/>
      <c r="E424" s="54"/>
      <c r="F424" s="54"/>
      <c r="G424" s="54"/>
      <c r="H424" s="54"/>
      <c r="I424" s="54"/>
      <c r="J424" s="54"/>
      <c r="K424" s="54"/>
      <c r="L424" s="54"/>
      <c r="M424" s="54"/>
      <c r="N424" s="54"/>
      <c r="O424" s="54"/>
      <c r="P424" s="54"/>
      <c r="Q424" s="54"/>
      <c r="R424" s="54"/>
      <c r="S424" s="54"/>
      <c r="T424" s="54"/>
      <c r="U424" s="54"/>
      <c r="V424" s="54"/>
      <c r="W424" s="54"/>
      <c r="X424" s="54"/>
      <c r="Y424" s="54"/>
      <c r="Z424" s="54"/>
    </row>
    <row r="425">
      <c r="A425" s="54"/>
      <c r="B425" s="55"/>
      <c r="C425" s="54"/>
      <c r="D425" s="63"/>
      <c r="E425" s="54"/>
      <c r="F425" s="54"/>
      <c r="G425" s="54"/>
      <c r="H425" s="54"/>
      <c r="I425" s="54"/>
      <c r="J425" s="54"/>
      <c r="K425" s="54"/>
      <c r="L425" s="54"/>
      <c r="M425" s="54"/>
      <c r="N425" s="54"/>
      <c r="O425" s="54"/>
      <c r="P425" s="54"/>
      <c r="Q425" s="54"/>
      <c r="R425" s="54"/>
      <c r="S425" s="54"/>
      <c r="T425" s="54"/>
      <c r="U425" s="54"/>
      <c r="V425" s="54"/>
      <c r="W425" s="54"/>
      <c r="X425" s="54"/>
      <c r="Y425" s="54"/>
      <c r="Z425" s="54"/>
    </row>
    <row r="426">
      <c r="A426" s="54"/>
      <c r="B426" s="55"/>
      <c r="C426" s="54"/>
      <c r="D426" s="63"/>
      <c r="E426" s="54"/>
      <c r="F426" s="54"/>
      <c r="G426" s="54"/>
      <c r="H426" s="54"/>
      <c r="I426" s="54"/>
      <c r="J426" s="54"/>
      <c r="K426" s="54"/>
      <c r="L426" s="54"/>
      <c r="M426" s="54"/>
      <c r="N426" s="54"/>
      <c r="O426" s="54"/>
      <c r="P426" s="54"/>
      <c r="Q426" s="54"/>
      <c r="R426" s="54"/>
      <c r="S426" s="54"/>
      <c r="T426" s="54"/>
      <c r="U426" s="54"/>
      <c r="V426" s="54"/>
      <c r="W426" s="54"/>
      <c r="X426" s="54"/>
      <c r="Y426" s="54"/>
      <c r="Z426" s="54"/>
    </row>
    <row r="427">
      <c r="A427" s="54"/>
      <c r="B427" s="55"/>
      <c r="C427" s="54"/>
      <c r="D427" s="63"/>
      <c r="E427" s="54"/>
      <c r="F427" s="54"/>
      <c r="G427" s="54"/>
      <c r="H427" s="54"/>
      <c r="I427" s="54"/>
      <c r="J427" s="54"/>
      <c r="K427" s="54"/>
      <c r="L427" s="54"/>
      <c r="M427" s="54"/>
      <c r="N427" s="54"/>
      <c r="O427" s="54"/>
      <c r="P427" s="54"/>
      <c r="Q427" s="54"/>
      <c r="R427" s="54"/>
      <c r="S427" s="54"/>
      <c r="T427" s="54"/>
      <c r="U427" s="54"/>
      <c r="V427" s="54"/>
      <c r="W427" s="54"/>
      <c r="X427" s="54"/>
      <c r="Y427" s="54"/>
      <c r="Z427" s="54"/>
    </row>
    <row r="428">
      <c r="A428" s="54"/>
      <c r="B428" s="55"/>
      <c r="C428" s="54"/>
      <c r="D428" s="63"/>
      <c r="E428" s="54"/>
      <c r="F428" s="54"/>
      <c r="G428" s="54"/>
      <c r="H428" s="54"/>
      <c r="I428" s="54"/>
      <c r="J428" s="54"/>
      <c r="K428" s="54"/>
      <c r="L428" s="54"/>
      <c r="M428" s="54"/>
      <c r="N428" s="54"/>
      <c r="O428" s="54"/>
      <c r="P428" s="54"/>
      <c r="Q428" s="54"/>
      <c r="R428" s="54"/>
      <c r="S428" s="54"/>
      <c r="T428" s="54"/>
      <c r="U428" s="54"/>
      <c r="V428" s="54"/>
      <c r="W428" s="54"/>
      <c r="X428" s="54"/>
      <c r="Y428" s="54"/>
      <c r="Z428" s="54"/>
    </row>
    <row r="429">
      <c r="A429" s="54"/>
      <c r="B429" s="55"/>
      <c r="C429" s="54"/>
      <c r="D429" s="63"/>
      <c r="E429" s="54"/>
      <c r="F429" s="54"/>
      <c r="G429" s="54"/>
      <c r="H429" s="54"/>
      <c r="I429" s="54"/>
      <c r="J429" s="54"/>
      <c r="K429" s="54"/>
      <c r="L429" s="54"/>
      <c r="M429" s="54"/>
      <c r="N429" s="54"/>
      <c r="O429" s="54"/>
      <c r="P429" s="54"/>
      <c r="Q429" s="54"/>
      <c r="R429" s="54"/>
      <c r="S429" s="54"/>
      <c r="T429" s="54"/>
      <c r="U429" s="54"/>
      <c r="V429" s="54"/>
      <c r="W429" s="54"/>
      <c r="X429" s="54"/>
      <c r="Y429" s="54"/>
      <c r="Z429" s="54"/>
    </row>
    <row r="430">
      <c r="A430" s="54"/>
      <c r="B430" s="55"/>
      <c r="C430" s="54"/>
      <c r="D430" s="63"/>
      <c r="E430" s="54"/>
      <c r="F430" s="54"/>
      <c r="G430" s="54"/>
      <c r="H430" s="54"/>
      <c r="I430" s="54"/>
      <c r="J430" s="54"/>
      <c r="K430" s="54"/>
      <c r="L430" s="54"/>
      <c r="M430" s="54"/>
      <c r="N430" s="54"/>
      <c r="O430" s="54"/>
      <c r="P430" s="54"/>
      <c r="Q430" s="54"/>
      <c r="R430" s="54"/>
      <c r="S430" s="54"/>
      <c r="T430" s="54"/>
      <c r="U430" s="54"/>
      <c r="V430" s="54"/>
      <c r="W430" s="54"/>
      <c r="X430" s="54"/>
      <c r="Y430" s="54"/>
      <c r="Z430" s="54"/>
    </row>
    <row r="431">
      <c r="A431" s="54"/>
      <c r="B431" s="55"/>
      <c r="C431" s="54"/>
      <c r="D431" s="63"/>
      <c r="E431" s="54"/>
      <c r="F431" s="54"/>
      <c r="G431" s="54"/>
      <c r="H431" s="54"/>
      <c r="I431" s="54"/>
      <c r="J431" s="54"/>
      <c r="K431" s="54"/>
      <c r="L431" s="54"/>
      <c r="M431" s="54"/>
      <c r="N431" s="54"/>
      <c r="O431" s="54"/>
      <c r="P431" s="54"/>
      <c r="Q431" s="54"/>
      <c r="R431" s="54"/>
      <c r="S431" s="54"/>
      <c r="T431" s="54"/>
      <c r="U431" s="54"/>
      <c r="V431" s="54"/>
      <c r="W431" s="54"/>
      <c r="X431" s="54"/>
      <c r="Y431" s="54"/>
      <c r="Z431" s="54"/>
    </row>
    <row r="432">
      <c r="A432" s="54"/>
      <c r="B432" s="55"/>
      <c r="C432" s="54"/>
      <c r="D432" s="63"/>
      <c r="E432" s="54"/>
      <c r="F432" s="54"/>
      <c r="G432" s="54"/>
      <c r="H432" s="54"/>
      <c r="I432" s="54"/>
      <c r="J432" s="54"/>
      <c r="K432" s="54"/>
      <c r="L432" s="54"/>
      <c r="M432" s="54"/>
      <c r="N432" s="54"/>
      <c r="O432" s="54"/>
      <c r="P432" s="54"/>
      <c r="Q432" s="54"/>
      <c r="R432" s="54"/>
      <c r="S432" s="54"/>
      <c r="T432" s="54"/>
      <c r="U432" s="54"/>
      <c r="V432" s="54"/>
      <c r="W432" s="54"/>
      <c r="X432" s="54"/>
      <c r="Y432" s="54"/>
      <c r="Z432" s="54"/>
    </row>
    <row r="433">
      <c r="A433" s="54"/>
      <c r="B433" s="55"/>
      <c r="C433" s="54"/>
      <c r="D433" s="63"/>
      <c r="E433" s="54"/>
      <c r="F433" s="54"/>
      <c r="G433" s="54"/>
      <c r="H433" s="54"/>
      <c r="I433" s="54"/>
      <c r="J433" s="54"/>
      <c r="K433" s="54"/>
      <c r="L433" s="54"/>
      <c r="M433" s="54"/>
      <c r="N433" s="54"/>
      <c r="O433" s="54"/>
      <c r="P433" s="54"/>
      <c r="Q433" s="54"/>
      <c r="R433" s="54"/>
      <c r="S433" s="54"/>
      <c r="T433" s="54"/>
      <c r="U433" s="54"/>
      <c r="V433" s="54"/>
      <c r="W433" s="54"/>
      <c r="X433" s="54"/>
      <c r="Y433" s="54"/>
      <c r="Z433" s="54"/>
    </row>
    <row r="434">
      <c r="A434" s="54"/>
      <c r="B434" s="55"/>
      <c r="C434" s="54"/>
      <c r="D434" s="63"/>
      <c r="E434" s="54"/>
      <c r="F434" s="54"/>
      <c r="G434" s="54"/>
      <c r="H434" s="54"/>
      <c r="I434" s="54"/>
      <c r="J434" s="54"/>
      <c r="K434" s="54"/>
      <c r="L434" s="54"/>
      <c r="M434" s="54"/>
      <c r="N434" s="54"/>
      <c r="O434" s="54"/>
      <c r="P434" s="54"/>
      <c r="Q434" s="54"/>
      <c r="R434" s="54"/>
      <c r="S434" s="54"/>
      <c r="T434" s="54"/>
      <c r="U434" s="54"/>
      <c r="V434" s="54"/>
      <c r="W434" s="54"/>
      <c r="X434" s="54"/>
      <c r="Y434" s="54"/>
      <c r="Z434" s="54"/>
    </row>
    <row r="435">
      <c r="A435" s="54"/>
      <c r="B435" s="55"/>
      <c r="C435" s="54"/>
      <c r="D435" s="63"/>
      <c r="E435" s="54"/>
      <c r="F435" s="54"/>
      <c r="G435" s="54"/>
      <c r="H435" s="54"/>
      <c r="I435" s="54"/>
      <c r="J435" s="54"/>
      <c r="K435" s="54"/>
      <c r="L435" s="54"/>
      <c r="M435" s="54"/>
      <c r="N435" s="54"/>
      <c r="O435" s="54"/>
      <c r="P435" s="54"/>
      <c r="Q435" s="54"/>
      <c r="R435" s="54"/>
      <c r="S435" s="54"/>
      <c r="T435" s="54"/>
      <c r="U435" s="54"/>
      <c r="V435" s="54"/>
      <c r="W435" s="54"/>
      <c r="X435" s="54"/>
      <c r="Y435" s="54"/>
      <c r="Z435" s="54"/>
    </row>
    <row r="436">
      <c r="A436" s="54"/>
      <c r="B436" s="55"/>
      <c r="C436" s="54"/>
      <c r="D436" s="63"/>
      <c r="E436" s="54"/>
      <c r="F436" s="54"/>
      <c r="G436" s="54"/>
      <c r="H436" s="54"/>
      <c r="I436" s="54"/>
      <c r="J436" s="54"/>
      <c r="K436" s="54"/>
      <c r="L436" s="54"/>
      <c r="M436" s="54"/>
      <c r="N436" s="54"/>
      <c r="O436" s="54"/>
      <c r="P436" s="54"/>
      <c r="Q436" s="54"/>
      <c r="R436" s="54"/>
      <c r="S436" s="54"/>
      <c r="T436" s="54"/>
      <c r="U436" s="54"/>
      <c r="V436" s="54"/>
      <c r="W436" s="54"/>
      <c r="X436" s="54"/>
      <c r="Y436" s="54"/>
      <c r="Z436" s="54"/>
    </row>
    <row r="437">
      <c r="A437" s="54"/>
      <c r="B437" s="55"/>
      <c r="C437" s="54"/>
      <c r="D437" s="63"/>
      <c r="E437" s="54"/>
      <c r="F437" s="54"/>
      <c r="G437" s="54"/>
      <c r="H437" s="54"/>
      <c r="I437" s="54"/>
      <c r="J437" s="54"/>
      <c r="K437" s="54"/>
      <c r="L437" s="54"/>
      <c r="M437" s="54"/>
      <c r="N437" s="54"/>
      <c r="O437" s="54"/>
      <c r="P437" s="54"/>
      <c r="Q437" s="54"/>
      <c r="R437" s="54"/>
      <c r="S437" s="54"/>
      <c r="T437" s="54"/>
      <c r="U437" s="54"/>
      <c r="V437" s="54"/>
      <c r="W437" s="54"/>
      <c r="X437" s="54"/>
      <c r="Y437" s="54"/>
      <c r="Z437" s="54"/>
    </row>
    <row r="438">
      <c r="A438" s="54"/>
      <c r="B438" s="55"/>
      <c r="C438" s="54"/>
      <c r="D438" s="63"/>
      <c r="E438" s="54"/>
      <c r="F438" s="54"/>
      <c r="G438" s="54"/>
      <c r="H438" s="54"/>
      <c r="I438" s="54"/>
      <c r="J438" s="54"/>
      <c r="K438" s="54"/>
      <c r="L438" s="54"/>
      <c r="M438" s="54"/>
      <c r="N438" s="54"/>
      <c r="O438" s="54"/>
      <c r="P438" s="54"/>
      <c r="Q438" s="54"/>
      <c r="R438" s="54"/>
      <c r="S438" s="54"/>
      <c r="T438" s="54"/>
      <c r="U438" s="54"/>
      <c r="V438" s="54"/>
      <c r="W438" s="54"/>
      <c r="X438" s="54"/>
      <c r="Y438" s="54"/>
      <c r="Z438" s="54"/>
    </row>
    <row r="439">
      <c r="A439" s="54"/>
      <c r="B439" s="55"/>
      <c r="C439" s="54"/>
      <c r="D439" s="63"/>
      <c r="E439" s="54"/>
      <c r="F439" s="54"/>
      <c r="G439" s="54"/>
      <c r="H439" s="54"/>
      <c r="I439" s="54"/>
      <c r="J439" s="54"/>
      <c r="K439" s="54"/>
      <c r="L439" s="54"/>
      <c r="M439" s="54"/>
      <c r="N439" s="54"/>
      <c r="O439" s="54"/>
      <c r="P439" s="54"/>
      <c r="Q439" s="54"/>
      <c r="R439" s="54"/>
      <c r="S439" s="54"/>
      <c r="T439" s="54"/>
      <c r="U439" s="54"/>
      <c r="V439" s="54"/>
      <c r="W439" s="54"/>
      <c r="X439" s="54"/>
      <c r="Y439" s="54"/>
      <c r="Z439" s="54"/>
    </row>
    <row r="440">
      <c r="A440" s="54"/>
      <c r="B440" s="55"/>
      <c r="C440" s="54"/>
      <c r="D440" s="63"/>
      <c r="E440" s="54"/>
      <c r="F440" s="54"/>
      <c r="G440" s="54"/>
      <c r="H440" s="54"/>
      <c r="I440" s="54"/>
      <c r="J440" s="54"/>
      <c r="K440" s="54"/>
      <c r="L440" s="54"/>
      <c r="M440" s="54"/>
      <c r="N440" s="54"/>
      <c r="O440" s="54"/>
      <c r="P440" s="54"/>
      <c r="Q440" s="54"/>
      <c r="R440" s="54"/>
      <c r="S440" s="54"/>
      <c r="T440" s="54"/>
      <c r="U440" s="54"/>
      <c r="V440" s="54"/>
      <c r="W440" s="54"/>
      <c r="X440" s="54"/>
      <c r="Y440" s="54"/>
      <c r="Z440" s="54"/>
    </row>
    <row r="441">
      <c r="A441" s="54"/>
      <c r="B441" s="55"/>
      <c r="C441" s="54"/>
      <c r="D441" s="63"/>
      <c r="E441" s="54"/>
      <c r="F441" s="54"/>
      <c r="G441" s="54"/>
      <c r="H441" s="54"/>
      <c r="I441" s="54"/>
      <c r="J441" s="54"/>
      <c r="K441" s="54"/>
      <c r="L441" s="54"/>
      <c r="M441" s="54"/>
      <c r="N441" s="54"/>
      <c r="O441" s="54"/>
      <c r="P441" s="54"/>
      <c r="Q441" s="54"/>
      <c r="R441" s="54"/>
      <c r="S441" s="54"/>
      <c r="T441" s="54"/>
      <c r="U441" s="54"/>
      <c r="V441" s="54"/>
      <c r="W441" s="54"/>
      <c r="X441" s="54"/>
      <c r="Y441" s="54"/>
      <c r="Z441" s="54"/>
    </row>
    <row r="442">
      <c r="A442" s="54"/>
      <c r="B442" s="55"/>
      <c r="C442" s="54"/>
      <c r="D442" s="63"/>
      <c r="E442" s="54"/>
      <c r="F442" s="54"/>
      <c r="G442" s="54"/>
      <c r="H442" s="54"/>
      <c r="I442" s="54"/>
      <c r="J442" s="54"/>
      <c r="K442" s="54"/>
      <c r="L442" s="54"/>
      <c r="M442" s="54"/>
      <c r="N442" s="54"/>
      <c r="O442" s="54"/>
      <c r="P442" s="54"/>
      <c r="Q442" s="54"/>
      <c r="R442" s="54"/>
      <c r="S442" s="54"/>
      <c r="T442" s="54"/>
      <c r="U442" s="54"/>
      <c r="V442" s="54"/>
      <c r="W442" s="54"/>
      <c r="X442" s="54"/>
      <c r="Y442" s="54"/>
      <c r="Z442" s="54"/>
    </row>
    <row r="443">
      <c r="A443" s="54"/>
      <c r="B443" s="55"/>
      <c r="C443" s="54"/>
      <c r="D443" s="63"/>
      <c r="E443" s="54"/>
      <c r="F443" s="54"/>
      <c r="G443" s="54"/>
      <c r="H443" s="54"/>
      <c r="I443" s="54"/>
      <c r="J443" s="54"/>
      <c r="K443" s="54"/>
      <c r="L443" s="54"/>
      <c r="M443" s="54"/>
      <c r="N443" s="54"/>
      <c r="O443" s="54"/>
      <c r="P443" s="54"/>
      <c r="Q443" s="54"/>
      <c r="R443" s="54"/>
      <c r="S443" s="54"/>
      <c r="T443" s="54"/>
      <c r="U443" s="54"/>
      <c r="V443" s="54"/>
      <c r="W443" s="54"/>
      <c r="X443" s="54"/>
      <c r="Y443" s="54"/>
      <c r="Z443" s="54"/>
    </row>
    <row r="444">
      <c r="A444" s="54"/>
      <c r="B444" s="55"/>
      <c r="C444" s="54"/>
      <c r="D444" s="63"/>
      <c r="E444" s="54"/>
      <c r="F444" s="54"/>
      <c r="G444" s="54"/>
      <c r="H444" s="54"/>
      <c r="I444" s="54"/>
      <c r="J444" s="54"/>
      <c r="K444" s="54"/>
      <c r="L444" s="54"/>
      <c r="M444" s="54"/>
      <c r="N444" s="54"/>
      <c r="O444" s="54"/>
      <c r="P444" s="54"/>
      <c r="Q444" s="54"/>
      <c r="R444" s="54"/>
      <c r="S444" s="54"/>
      <c r="T444" s="54"/>
      <c r="U444" s="54"/>
      <c r="V444" s="54"/>
      <c r="W444" s="54"/>
      <c r="X444" s="54"/>
      <c r="Y444" s="54"/>
      <c r="Z444" s="54"/>
    </row>
    <row r="445">
      <c r="A445" s="54"/>
      <c r="B445" s="55"/>
      <c r="C445" s="54"/>
      <c r="D445" s="63"/>
      <c r="E445" s="54"/>
      <c r="F445" s="54"/>
      <c r="G445" s="54"/>
      <c r="H445" s="54"/>
      <c r="I445" s="54"/>
      <c r="J445" s="54"/>
      <c r="K445" s="54"/>
      <c r="L445" s="54"/>
      <c r="M445" s="54"/>
      <c r="N445" s="54"/>
      <c r="O445" s="54"/>
      <c r="P445" s="54"/>
      <c r="Q445" s="54"/>
      <c r="R445" s="54"/>
      <c r="S445" s="54"/>
      <c r="T445" s="54"/>
      <c r="U445" s="54"/>
      <c r="V445" s="54"/>
      <c r="W445" s="54"/>
      <c r="X445" s="54"/>
      <c r="Y445" s="54"/>
      <c r="Z445" s="54"/>
    </row>
    <row r="446">
      <c r="A446" s="54"/>
      <c r="B446" s="55"/>
      <c r="C446" s="54"/>
      <c r="D446" s="63"/>
      <c r="E446" s="54"/>
      <c r="F446" s="54"/>
      <c r="G446" s="54"/>
      <c r="H446" s="54"/>
      <c r="I446" s="54"/>
      <c r="J446" s="54"/>
      <c r="K446" s="54"/>
      <c r="L446" s="54"/>
      <c r="M446" s="54"/>
      <c r="N446" s="54"/>
      <c r="O446" s="54"/>
      <c r="P446" s="54"/>
      <c r="Q446" s="54"/>
      <c r="R446" s="54"/>
      <c r="S446" s="54"/>
      <c r="T446" s="54"/>
      <c r="U446" s="54"/>
      <c r="V446" s="54"/>
      <c r="W446" s="54"/>
      <c r="X446" s="54"/>
      <c r="Y446" s="54"/>
      <c r="Z446" s="54"/>
    </row>
    <row r="447">
      <c r="A447" s="54"/>
      <c r="B447" s="55"/>
      <c r="C447" s="54"/>
      <c r="D447" s="63"/>
      <c r="E447" s="54"/>
      <c r="F447" s="54"/>
      <c r="G447" s="54"/>
      <c r="H447" s="54"/>
      <c r="I447" s="54"/>
      <c r="J447" s="54"/>
      <c r="K447" s="54"/>
      <c r="L447" s="54"/>
      <c r="M447" s="54"/>
      <c r="N447" s="54"/>
      <c r="O447" s="54"/>
      <c r="P447" s="54"/>
      <c r="Q447" s="54"/>
      <c r="R447" s="54"/>
      <c r="S447" s="54"/>
      <c r="T447" s="54"/>
      <c r="U447" s="54"/>
      <c r="V447" s="54"/>
      <c r="W447" s="54"/>
      <c r="X447" s="54"/>
      <c r="Y447" s="54"/>
      <c r="Z447" s="54"/>
    </row>
    <row r="448">
      <c r="A448" s="54"/>
      <c r="B448" s="55"/>
      <c r="C448" s="54"/>
      <c r="D448" s="63"/>
      <c r="E448" s="54"/>
      <c r="F448" s="54"/>
      <c r="G448" s="54"/>
      <c r="H448" s="54"/>
      <c r="I448" s="54"/>
      <c r="J448" s="54"/>
      <c r="K448" s="54"/>
      <c r="L448" s="54"/>
      <c r="M448" s="54"/>
      <c r="N448" s="54"/>
      <c r="O448" s="54"/>
      <c r="P448" s="54"/>
      <c r="Q448" s="54"/>
      <c r="R448" s="54"/>
      <c r="S448" s="54"/>
      <c r="T448" s="54"/>
      <c r="U448" s="54"/>
      <c r="V448" s="54"/>
      <c r="W448" s="54"/>
      <c r="X448" s="54"/>
      <c r="Y448" s="54"/>
      <c r="Z448" s="54"/>
    </row>
    <row r="449">
      <c r="A449" s="54"/>
      <c r="B449" s="55"/>
      <c r="C449" s="54"/>
      <c r="D449" s="63"/>
      <c r="E449" s="54"/>
      <c r="F449" s="54"/>
      <c r="G449" s="54"/>
      <c r="H449" s="54"/>
      <c r="I449" s="54"/>
      <c r="J449" s="54"/>
      <c r="K449" s="54"/>
      <c r="L449" s="54"/>
      <c r="M449" s="54"/>
      <c r="N449" s="54"/>
      <c r="O449" s="54"/>
      <c r="P449" s="54"/>
      <c r="Q449" s="54"/>
      <c r="R449" s="54"/>
      <c r="S449" s="54"/>
      <c r="T449" s="54"/>
      <c r="U449" s="54"/>
      <c r="V449" s="54"/>
      <c r="W449" s="54"/>
      <c r="X449" s="54"/>
      <c r="Y449" s="54"/>
      <c r="Z449" s="54"/>
    </row>
    <row r="450">
      <c r="A450" s="54"/>
      <c r="B450" s="55"/>
      <c r="C450" s="54"/>
      <c r="D450" s="63"/>
      <c r="E450" s="54"/>
      <c r="F450" s="54"/>
      <c r="G450" s="54"/>
      <c r="H450" s="54"/>
      <c r="I450" s="54"/>
      <c r="J450" s="54"/>
      <c r="K450" s="54"/>
      <c r="L450" s="54"/>
      <c r="M450" s="54"/>
      <c r="N450" s="54"/>
      <c r="O450" s="54"/>
      <c r="P450" s="54"/>
      <c r="Q450" s="54"/>
      <c r="R450" s="54"/>
      <c r="S450" s="54"/>
      <c r="T450" s="54"/>
      <c r="U450" s="54"/>
      <c r="V450" s="54"/>
      <c r="W450" s="54"/>
      <c r="X450" s="54"/>
      <c r="Y450" s="54"/>
      <c r="Z450" s="54"/>
    </row>
    <row r="451">
      <c r="A451" s="54"/>
      <c r="B451" s="55"/>
      <c r="C451" s="54"/>
      <c r="D451" s="63"/>
      <c r="E451" s="54"/>
      <c r="F451" s="54"/>
      <c r="G451" s="54"/>
      <c r="H451" s="54"/>
      <c r="I451" s="54"/>
      <c r="J451" s="54"/>
      <c r="K451" s="54"/>
      <c r="L451" s="54"/>
      <c r="M451" s="54"/>
      <c r="N451" s="54"/>
      <c r="O451" s="54"/>
      <c r="P451" s="54"/>
      <c r="Q451" s="54"/>
      <c r="R451" s="54"/>
      <c r="S451" s="54"/>
      <c r="T451" s="54"/>
      <c r="U451" s="54"/>
      <c r="V451" s="54"/>
      <c r="W451" s="54"/>
      <c r="X451" s="54"/>
      <c r="Y451" s="54"/>
      <c r="Z451" s="54"/>
    </row>
    <row r="452">
      <c r="A452" s="54"/>
      <c r="B452" s="55"/>
      <c r="C452" s="54"/>
      <c r="D452" s="63"/>
      <c r="E452" s="54"/>
      <c r="F452" s="54"/>
      <c r="G452" s="54"/>
      <c r="H452" s="54"/>
      <c r="I452" s="54"/>
      <c r="J452" s="54"/>
      <c r="K452" s="54"/>
      <c r="L452" s="54"/>
      <c r="M452" s="54"/>
      <c r="N452" s="54"/>
      <c r="O452" s="54"/>
      <c r="P452" s="54"/>
      <c r="Q452" s="54"/>
      <c r="R452" s="54"/>
      <c r="S452" s="54"/>
      <c r="T452" s="54"/>
      <c r="U452" s="54"/>
      <c r="V452" s="54"/>
      <c r="W452" s="54"/>
      <c r="X452" s="54"/>
      <c r="Y452" s="54"/>
      <c r="Z452" s="54"/>
    </row>
    <row r="453">
      <c r="A453" s="54"/>
      <c r="B453" s="55"/>
      <c r="C453" s="54"/>
      <c r="D453" s="63"/>
      <c r="E453" s="54"/>
      <c r="F453" s="54"/>
      <c r="G453" s="54"/>
      <c r="H453" s="54"/>
      <c r="I453" s="54"/>
      <c r="J453" s="54"/>
      <c r="K453" s="54"/>
      <c r="L453" s="54"/>
      <c r="M453" s="54"/>
      <c r="N453" s="54"/>
      <c r="O453" s="54"/>
      <c r="P453" s="54"/>
      <c r="Q453" s="54"/>
      <c r="R453" s="54"/>
      <c r="S453" s="54"/>
      <c r="T453" s="54"/>
      <c r="U453" s="54"/>
      <c r="V453" s="54"/>
      <c r="W453" s="54"/>
      <c r="X453" s="54"/>
      <c r="Y453" s="54"/>
      <c r="Z453" s="54"/>
    </row>
    <row r="454">
      <c r="A454" s="54"/>
      <c r="B454" s="55"/>
      <c r="C454" s="54"/>
      <c r="D454" s="63"/>
      <c r="E454" s="54"/>
      <c r="F454" s="54"/>
      <c r="G454" s="54"/>
      <c r="H454" s="54"/>
      <c r="I454" s="54"/>
      <c r="J454" s="54"/>
      <c r="K454" s="54"/>
      <c r="L454" s="54"/>
      <c r="M454" s="54"/>
      <c r="N454" s="54"/>
      <c r="O454" s="54"/>
      <c r="P454" s="54"/>
      <c r="Q454" s="54"/>
      <c r="R454" s="54"/>
      <c r="S454" s="54"/>
      <c r="T454" s="54"/>
      <c r="U454" s="54"/>
      <c r="V454" s="54"/>
      <c r="W454" s="54"/>
      <c r="X454" s="54"/>
      <c r="Y454" s="54"/>
      <c r="Z454" s="54"/>
    </row>
    <row r="455">
      <c r="A455" s="54"/>
      <c r="B455" s="55"/>
      <c r="C455" s="54"/>
      <c r="D455" s="63"/>
      <c r="E455" s="54"/>
      <c r="F455" s="54"/>
      <c r="G455" s="54"/>
      <c r="H455" s="54"/>
      <c r="I455" s="54"/>
      <c r="J455" s="54"/>
      <c r="K455" s="54"/>
      <c r="L455" s="54"/>
      <c r="M455" s="54"/>
      <c r="N455" s="54"/>
      <c r="O455" s="54"/>
      <c r="P455" s="54"/>
      <c r="Q455" s="54"/>
      <c r="R455" s="54"/>
      <c r="S455" s="54"/>
      <c r="T455" s="54"/>
      <c r="U455" s="54"/>
      <c r="V455" s="54"/>
      <c r="W455" s="54"/>
      <c r="X455" s="54"/>
      <c r="Y455" s="54"/>
      <c r="Z455" s="54"/>
    </row>
    <row r="456">
      <c r="A456" s="54"/>
      <c r="B456" s="55"/>
      <c r="C456" s="54"/>
      <c r="D456" s="63"/>
      <c r="E456" s="54"/>
      <c r="F456" s="54"/>
      <c r="G456" s="54"/>
      <c r="H456" s="54"/>
      <c r="I456" s="54"/>
      <c r="J456" s="54"/>
      <c r="K456" s="54"/>
      <c r="L456" s="54"/>
      <c r="M456" s="54"/>
      <c r="N456" s="54"/>
      <c r="O456" s="54"/>
      <c r="P456" s="54"/>
      <c r="Q456" s="54"/>
      <c r="R456" s="54"/>
      <c r="S456" s="54"/>
      <c r="T456" s="54"/>
      <c r="U456" s="54"/>
      <c r="V456" s="54"/>
      <c r="W456" s="54"/>
      <c r="X456" s="54"/>
      <c r="Y456" s="54"/>
      <c r="Z456" s="54"/>
    </row>
    <row r="457">
      <c r="A457" s="54"/>
      <c r="B457" s="55"/>
      <c r="C457" s="54"/>
      <c r="D457" s="63"/>
      <c r="E457" s="54"/>
      <c r="F457" s="54"/>
      <c r="G457" s="54"/>
      <c r="H457" s="54"/>
      <c r="I457" s="54"/>
      <c r="J457" s="54"/>
      <c r="K457" s="54"/>
      <c r="L457" s="54"/>
      <c r="M457" s="54"/>
      <c r="N457" s="54"/>
      <c r="O457" s="54"/>
      <c r="P457" s="54"/>
      <c r="Q457" s="54"/>
      <c r="R457" s="54"/>
      <c r="S457" s="54"/>
      <c r="T457" s="54"/>
      <c r="U457" s="54"/>
      <c r="V457" s="54"/>
      <c r="W457" s="54"/>
      <c r="X457" s="54"/>
      <c r="Y457" s="54"/>
      <c r="Z457" s="54"/>
    </row>
    <row r="458">
      <c r="A458" s="54"/>
      <c r="B458" s="55"/>
      <c r="C458" s="54"/>
      <c r="D458" s="63"/>
      <c r="E458" s="54"/>
      <c r="F458" s="54"/>
      <c r="G458" s="54"/>
      <c r="H458" s="54"/>
      <c r="I458" s="54"/>
      <c r="J458" s="54"/>
      <c r="K458" s="54"/>
      <c r="L458" s="54"/>
      <c r="M458" s="54"/>
      <c r="N458" s="54"/>
      <c r="O458" s="54"/>
      <c r="P458" s="54"/>
      <c r="Q458" s="54"/>
      <c r="R458" s="54"/>
      <c r="S458" s="54"/>
      <c r="T458" s="54"/>
      <c r="U458" s="54"/>
      <c r="V458" s="54"/>
      <c r="W458" s="54"/>
      <c r="X458" s="54"/>
      <c r="Y458" s="54"/>
      <c r="Z458" s="54"/>
    </row>
    <row r="459">
      <c r="A459" s="54"/>
      <c r="B459" s="55"/>
      <c r="C459" s="54"/>
      <c r="D459" s="63"/>
      <c r="E459" s="54"/>
      <c r="F459" s="54"/>
      <c r="G459" s="54"/>
      <c r="H459" s="54"/>
      <c r="I459" s="54"/>
      <c r="J459" s="54"/>
      <c r="K459" s="54"/>
      <c r="L459" s="54"/>
      <c r="M459" s="54"/>
      <c r="N459" s="54"/>
      <c r="O459" s="54"/>
      <c r="P459" s="54"/>
      <c r="Q459" s="54"/>
      <c r="R459" s="54"/>
      <c r="S459" s="54"/>
      <c r="T459" s="54"/>
      <c r="U459" s="54"/>
      <c r="V459" s="54"/>
      <c r="W459" s="54"/>
      <c r="X459" s="54"/>
      <c r="Y459" s="54"/>
      <c r="Z459" s="54"/>
    </row>
    <row r="460">
      <c r="A460" s="54"/>
      <c r="B460" s="55"/>
      <c r="C460" s="54"/>
      <c r="D460" s="63"/>
      <c r="E460" s="54"/>
      <c r="F460" s="54"/>
      <c r="G460" s="54"/>
      <c r="H460" s="54"/>
      <c r="I460" s="54"/>
      <c r="J460" s="54"/>
      <c r="K460" s="54"/>
      <c r="L460" s="54"/>
      <c r="M460" s="54"/>
      <c r="N460" s="54"/>
      <c r="O460" s="54"/>
      <c r="P460" s="54"/>
      <c r="Q460" s="54"/>
      <c r="R460" s="54"/>
      <c r="S460" s="54"/>
      <c r="T460" s="54"/>
      <c r="U460" s="54"/>
      <c r="V460" s="54"/>
      <c r="W460" s="54"/>
      <c r="X460" s="54"/>
      <c r="Y460" s="54"/>
      <c r="Z460" s="54"/>
    </row>
    <row r="461">
      <c r="A461" s="54"/>
      <c r="B461" s="55"/>
      <c r="C461" s="54"/>
      <c r="D461" s="63"/>
      <c r="E461" s="54"/>
      <c r="F461" s="54"/>
      <c r="G461" s="54"/>
      <c r="H461" s="54"/>
      <c r="I461" s="54"/>
      <c r="J461" s="54"/>
      <c r="K461" s="54"/>
      <c r="L461" s="54"/>
      <c r="M461" s="54"/>
      <c r="N461" s="54"/>
      <c r="O461" s="54"/>
      <c r="P461" s="54"/>
      <c r="Q461" s="54"/>
      <c r="R461" s="54"/>
      <c r="S461" s="54"/>
      <c r="T461" s="54"/>
      <c r="U461" s="54"/>
      <c r="V461" s="54"/>
      <c r="W461" s="54"/>
      <c r="X461" s="54"/>
      <c r="Y461" s="54"/>
      <c r="Z461" s="54"/>
    </row>
    <row r="462">
      <c r="A462" s="54"/>
      <c r="B462" s="55"/>
      <c r="C462" s="54"/>
      <c r="D462" s="63"/>
      <c r="E462" s="54"/>
      <c r="F462" s="54"/>
      <c r="G462" s="54"/>
      <c r="H462" s="54"/>
      <c r="I462" s="54"/>
      <c r="J462" s="54"/>
      <c r="K462" s="54"/>
      <c r="L462" s="54"/>
      <c r="M462" s="54"/>
      <c r="N462" s="54"/>
      <c r="O462" s="54"/>
      <c r="P462" s="54"/>
      <c r="Q462" s="54"/>
      <c r="R462" s="54"/>
      <c r="S462" s="54"/>
      <c r="T462" s="54"/>
      <c r="U462" s="54"/>
      <c r="V462" s="54"/>
      <c r="W462" s="54"/>
      <c r="X462" s="54"/>
      <c r="Y462" s="54"/>
      <c r="Z462" s="54"/>
    </row>
    <row r="463">
      <c r="A463" s="54"/>
      <c r="B463" s="55"/>
      <c r="C463" s="54"/>
      <c r="D463" s="63"/>
      <c r="E463" s="54"/>
      <c r="F463" s="54"/>
      <c r="G463" s="54"/>
      <c r="H463" s="54"/>
      <c r="I463" s="54"/>
      <c r="J463" s="54"/>
      <c r="K463" s="54"/>
      <c r="L463" s="54"/>
      <c r="M463" s="54"/>
      <c r="N463" s="54"/>
      <c r="O463" s="54"/>
      <c r="P463" s="54"/>
      <c r="Q463" s="54"/>
      <c r="R463" s="54"/>
      <c r="S463" s="54"/>
      <c r="T463" s="54"/>
      <c r="U463" s="54"/>
      <c r="V463" s="54"/>
      <c r="W463" s="54"/>
      <c r="X463" s="54"/>
      <c r="Y463" s="54"/>
      <c r="Z463" s="54"/>
    </row>
    <row r="464">
      <c r="A464" s="54"/>
      <c r="B464" s="55"/>
      <c r="C464" s="54"/>
      <c r="D464" s="63"/>
      <c r="E464" s="54"/>
      <c r="F464" s="54"/>
      <c r="G464" s="54"/>
      <c r="H464" s="54"/>
      <c r="I464" s="54"/>
      <c r="J464" s="54"/>
      <c r="K464" s="54"/>
      <c r="L464" s="54"/>
      <c r="M464" s="54"/>
      <c r="N464" s="54"/>
      <c r="O464" s="54"/>
      <c r="P464" s="54"/>
      <c r="Q464" s="54"/>
      <c r="R464" s="54"/>
      <c r="S464" s="54"/>
      <c r="T464" s="54"/>
      <c r="U464" s="54"/>
      <c r="V464" s="54"/>
      <c r="W464" s="54"/>
      <c r="X464" s="54"/>
      <c r="Y464" s="54"/>
      <c r="Z464" s="54"/>
    </row>
    <row r="465">
      <c r="A465" s="54"/>
      <c r="B465" s="55"/>
      <c r="C465" s="54"/>
      <c r="D465" s="63"/>
      <c r="E465" s="54"/>
      <c r="F465" s="54"/>
      <c r="G465" s="54"/>
      <c r="H465" s="54"/>
      <c r="I465" s="54"/>
      <c r="J465" s="54"/>
      <c r="K465" s="54"/>
      <c r="L465" s="54"/>
      <c r="M465" s="54"/>
      <c r="N465" s="54"/>
      <c r="O465" s="54"/>
      <c r="P465" s="54"/>
      <c r="Q465" s="54"/>
      <c r="R465" s="54"/>
      <c r="S465" s="54"/>
      <c r="T465" s="54"/>
      <c r="U465" s="54"/>
      <c r="V465" s="54"/>
      <c r="W465" s="54"/>
      <c r="X465" s="54"/>
      <c r="Y465" s="54"/>
      <c r="Z465" s="54"/>
    </row>
    <row r="466">
      <c r="A466" s="54"/>
      <c r="B466" s="55"/>
      <c r="C466" s="54"/>
      <c r="D466" s="63"/>
      <c r="E466" s="54"/>
      <c r="F466" s="54"/>
      <c r="G466" s="54"/>
      <c r="H466" s="54"/>
      <c r="I466" s="54"/>
      <c r="J466" s="54"/>
      <c r="K466" s="54"/>
      <c r="L466" s="54"/>
      <c r="M466" s="54"/>
      <c r="N466" s="54"/>
      <c r="O466" s="54"/>
      <c r="P466" s="54"/>
      <c r="Q466" s="54"/>
      <c r="R466" s="54"/>
      <c r="S466" s="54"/>
      <c r="T466" s="54"/>
      <c r="U466" s="54"/>
      <c r="V466" s="54"/>
      <c r="W466" s="54"/>
      <c r="X466" s="54"/>
      <c r="Y466" s="54"/>
      <c r="Z466" s="54"/>
    </row>
    <row r="467">
      <c r="A467" s="54"/>
      <c r="B467" s="55"/>
      <c r="C467" s="54"/>
      <c r="D467" s="63"/>
      <c r="E467" s="54"/>
      <c r="F467" s="54"/>
      <c r="G467" s="54"/>
      <c r="H467" s="54"/>
      <c r="I467" s="54"/>
      <c r="J467" s="54"/>
      <c r="K467" s="54"/>
      <c r="L467" s="54"/>
      <c r="M467" s="54"/>
      <c r="N467" s="54"/>
      <c r="O467" s="54"/>
      <c r="P467" s="54"/>
      <c r="Q467" s="54"/>
      <c r="R467" s="54"/>
      <c r="S467" s="54"/>
      <c r="T467" s="54"/>
      <c r="U467" s="54"/>
      <c r="V467" s="54"/>
      <c r="W467" s="54"/>
      <c r="X467" s="54"/>
      <c r="Y467" s="54"/>
      <c r="Z467" s="54"/>
    </row>
    <row r="468">
      <c r="A468" s="54"/>
      <c r="B468" s="55"/>
      <c r="C468" s="54"/>
      <c r="D468" s="63"/>
      <c r="E468" s="54"/>
      <c r="F468" s="54"/>
      <c r="G468" s="54"/>
      <c r="H468" s="54"/>
      <c r="I468" s="54"/>
      <c r="J468" s="54"/>
      <c r="K468" s="54"/>
      <c r="L468" s="54"/>
      <c r="M468" s="54"/>
      <c r="N468" s="54"/>
      <c r="O468" s="54"/>
      <c r="P468" s="54"/>
      <c r="Q468" s="54"/>
      <c r="R468" s="54"/>
      <c r="S468" s="54"/>
      <c r="T468" s="54"/>
      <c r="U468" s="54"/>
      <c r="V468" s="54"/>
      <c r="W468" s="54"/>
      <c r="X468" s="54"/>
      <c r="Y468" s="54"/>
      <c r="Z468" s="54"/>
    </row>
    <row r="469">
      <c r="A469" s="54"/>
      <c r="B469" s="55"/>
      <c r="C469" s="54"/>
      <c r="D469" s="63"/>
      <c r="E469" s="54"/>
      <c r="F469" s="54"/>
      <c r="G469" s="54"/>
      <c r="H469" s="54"/>
      <c r="I469" s="54"/>
      <c r="J469" s="54"/>
      <c r="K469" s="54"/>
      <c r="L469" s="54"/>
      <c r="M469" s="54"/>
      <c r="N469" s="54"/>
      <c r="O469" s="54"/>
      <c r="P469" s="54"/>
      <c r="Q469" s="54"/>
      <c r="R469" s="54"/>
      <c r="S469" s="54"/>
      <c r="T469" s="54"/>
      <c r="U469" s="54"/>
      <c r="V469" s="54"/>
      <c r="W469" s="54"/>
      <c r="X469" s="54"/>
      <c r="Y469" s="54"/>
      <c r="Z469" s="54"/>
    </row>
    <row r="470">
      <c r="A470" s="54"/>
      <c r="B470" s="55"/>
      <c r="C470" s="54"/>
      <c r="D470" s="63"/>
      <c r="E470" s="54"/>
      <c r="F470" s="54"/>
      <c r="G470" s="54"/>
      <c r="H470" s="54"/>
      <c r="I470" s="54"/>
      <c r="J470" s="54"/>
      <c r="K470" s="54"/>
      <c r="L470" s="54"/>
      <c r="M470" s="54"/>
      <c r="N470" s="54"/>
      <c r="O470" s="54"/>
      <c r="P470" s="54"/>
      <c r="Q470" s="54"/>
      <c r="R470" s="54"/>
      <c r="S470" s="54"/>
      <c r="T470" s="54"/>
      <c r="U470" s="54"/>
      <c r="V470" s="54"/>
      <c r="W470" s="54"/>
      <c r="X470" s="54"/>
      <c r="Y470" s="54"/>
      <c r="Z470" s="54"/>
    </row>
    <row r="471">
      <c r="A471" s="54"/>
      <c r="B471" s="55"/>
      <c r="C471" s="54"/>
      <c r="D471" s="63"/>
      <c r="E471" s="54"/>
      <c r="F471" s="54"/>
      <c r="G471" s="54"/>
      <c r="H471" s="54"/>
      <c r="I471" s="54"/>
      <c r="J471" s="54"/>
      <c r="K471" s="54"/>
      <c r="L471" s="54"/>
      <c r="M471" s="54"/>
      <c r="N471" s="54"/>
      <c r="O471" s="54"/>
      <c r="P471" s="54"/>
      <c r="Q471" s="54"/>
      <c r="R471" s="54"/>
      <c r="S471" s="54"/>
      <c r="T471" s="54"/>
      <c r="U471" s="54"/>
      <c r="V471" s="54"/>
      <c r="W471" s="54"/>
      <c r="X471" s="54"/>
      <c r="Y471" s="54"/>
      <c r="Z471" s="54"/>
    </row>
    <row r="472">
      <c r="A472" s="54"/>
      <c r="B472" s="55"/>
      <c r="C472" s="54"/>
      <c r="D472" s="63"/>
      <c r="E472" s="54"/>
      <c r="F472" s="54"/>
      <c r="G472" s="54"/>
      <c r="H472" s="54"/>
      <c r="I472" s="54"/>
      <c r="J472" s="54"/>
      <c r="K472" s="54"/>
      <c r="L472" s="54"/>
      <c r="M472" s="54"/>
      <c r="N472" s="54"/>
      <c r="O472" s="54"/>
      <c r="P472" s="54"/>
      <c r="Q472" s="54"/>
      <c r="R472" s="54"/>
      <c r="S472" s="54"/>
      <c r="T472" s="54"/>
      <c r="U472" s="54"/>
      <c r="V472" s="54"/>
      <c r="W472" s="54"/>
      <c r="X472" s="54"/>
      <c r="Y472" s="54"/>
      <c r="Z472" s="54"/>
    </row>
    <row r="473">
      <c r="A473" s="54"/>
      <c r="B473" s="55"/>
      <c r="C473" s="54"/>
      <c r="D473" s="63"/>
      <c r="E473" s="54"/>
      <c r="F473" s="54"/>
      <c r="G473" s="54"/>
      <c r="H473" s="54"/>
      <c r="I473" s="54"/>
      <c r="J473" s="54"/>
      <c r="K473" s="54"/>
      <c r="L473" s="54"/>
      <c r="M473" s="54"/>
      <c r="N473" s="54"/>
      <c r="O473" s="54"/>
      <c r="P473" s="54"/>
      <c r="Q473" s="54"/>
      <c r="R473" s="54"/>
      <c r="S473" s="54"/>
      <c r="T473" s="54"/>
      <c r="U473" s="54"/>
      <c r="V473" s="54"/>
      <c r="W473" s="54"/>
      <c r="X473" s="54"/>
      <c r="Y473" s="54"/>
      <c r="Z473" s="54"/>
    </row>
    <row r="474">
      <c r="A474" s="54"/>
      <c r="B474" s="55"/>
      <c r="C474" s="54"/>
      <c r="D474" s="63"/>
      <c r="E474" s="54"/>
      <c r="F474" s="54"/>
      <c r="G474" s="54"/>
      <c r="H474" s="54"/>
      <c r="I474" s="54"/>
      <c r="J474" s="54"/>
      <c r="K474" s="54"/>
      <c r="L474" s="54"/>
      <c r="M474" s="54"/>
      <c r="N474" s="54"/>
      <c r="O474" s="54"/>
      <c r="P474" s="54"/>
      <c r="Q474" s="54"/>
      <c r="R474" s="54"/>
      <c r="S474" s="54"/>
      <c r="T474" s="54"/>
      <c r="U474" s="54"/>
      <c r="V474" s="54"/>
      <c r="W474" s="54"/>
      <c r="X474" s="54"/>
      <c r="Y474" s="54"/>
      <c r="Z474" s="54"/>
    </row>
    <row r="475">
      <c r="A475" s="54"/>
      <c r="B475" s="55"/>
      <c r="C475" s="54"/>
      <c r="D475" s="63"/>
      <c r="E475" s="54"/>
      <c r="F475" s="54"/>
      <c r="G475" s="54"/>
      <c r="H475" s="54"/>
      <c r="I475" s="54"/>
      <c r="J475" s="54"/>
      <c r="K475" s="54"/>
      <c r="L475" s="54"/>
      <c r="M475" s="54"/>
      <c r="N475" s="54"/>
      <c r="O475" s="54"/>
      <c r="P475" s="54"/>
      <c r="Q475" s="54"/>
      <c r="R475" s="54"/>
      <c r="S475" s="54"/>
      <c r="T475" s="54"/>
      <c r="U475" s="54"/>
      <c r="V475" s="54"/>
      <c r="W475" s="54"/>
      <c r="X475" s="54"/>
      <c r="Y475" s="54"/>
      <c r="Z475" s="54"/>
    </row>
    <row r="476">
      <c r="A476" s="54"/>
      <c r="B476" s="55"/>
      <c r="C476" s="54"/>
      <c r="D476" s="63"/>
      <c r="E476" s="54"/>
      <c r="F476" s="54"/>
      <c r="G476" s="54"/>
      <c r="H476" s="54"/>
      <c r="I476" s="54"/>
      <c r="J476" s="54"/>
      <c r="K476" s="54"/>
      <c r="L476" s="54"/>
      <c r="M476" s="54"/>
      <c r="N476" s="54"/>
      <c r="O476" s="54"/>
      <c r="P476" s="54"/>
      <c r="Q476" s="54"/>
      <c r="R476" s="54"/>
      <c r="S476" s="54"/>
      <c r="T476" s="54"/>
      <c r="U476" s="54"/>
      <c r="V476" s="54"/>
      <c r="W476" s="54"/>
      <c r="X476" s="54"/>
      <c r="Y476" s="54"/>
      <c r="Z476" s="54"/>
    </row>
    <row r="477">
      <c r="A477" s="54"/>
      <c r="B477" s="55"/>
      <c r="C477" s="54"/>
      <c r="D477" s="63"/>
      <c r="E477" s="54"/>
      <c r="F477" s="54"/>
      <c r="G477" s="54"/>
      <c r="H477" s="54"/>
      <c r="I477" s="54"/>
      <c r="J477" s="54"/>
      <c r="K477" s="54"/>
      <c r="L477" s="54"/>
      <c r="M477" s="54"/>
      <c r="N477" s="54"/>
      <c r="O477" s="54"/>
      <c r="P477" s="54"/>
      <c r="Q477" s="54"/>
      <c r="R477" s="54"/>
      <c r="S477" s="54"/>
      <c r="T477" s="54"/>
      <c r="U477" s="54"/>
      <c r="V477" s="54"/>
      <c r="W477" s="54"/>
      <c r="X477" s="54"/>
      <c r="Y477" s="54"/>
      <c r="Z477" s="54"/>
    </row>
    <row r="478">
      <c r="A478" s="54"/>
      <c r="B478" s="55"/>
      <c r="C478" s="54"/>
      <c r="D478" s="63"/>
      <c r="E478" s="54"/>
      <c r="F478" s="54"/>
      <c r="G478" s="54"/>
      <c r="H478" s="54"/>
      <c r="I478" s="54"/>
      <c r="J478" s="54"/>
      <c r="K478" s="54"/>
      <c r="L478" s="54"/>
      <c r="M478" s="54"/>
      <c r="N478" s="54"/>
      <c r="O478" s="54"/>
      <c r="P478" s="54"/>
      <c r="Q478" s="54"/>
      <c r="R478" s="54"/>
      <c r="S478" s="54"/>
      <c r="T478" s="54"/>
      <c r="U478" s="54"/>
      <c r="V478" s="54"/>
      <c r="W478" s="54"/>
      <c r="X478" s="54"/>
      <c r="Y478" s="54"/>
      <c r="Z478" s="54"/>
    </row>
    <row r="479">
      <c r="A479" s="54"/>
      <c r="B479" s="55"/>
      <c r="C479" s="54"/>
      <c r="D479" s="63"/>
      <c r="E479" s="54"/>
      <c r="F479" s="54"/>
      <c r="G479" s="54"/>
      <c r="H479" s="54"/>
      <c r="I479" s="54"/>
      <c r="J479" s="54"/>
      <c r="K479" s="54"/>
      <c r="L479" s="54"/>
      <c r="M479" s="54"/>
      <c r="N479" s="54"/>
      <c r="O479" s="54"/>
      <c r="P479" s="54"/>
      <c r="Q479" s="54"/>
      <c r="R479" s="54"/>
      <c r="S479" s="54"/>
      <c r="T479" s="54"/>
      <c r="U479" s="54"/>
      <c r="V479" s="54"/>
      <c r="W479" s="54"/>
      <c r="X479" s="54"/>
      <c r="Y479" s="54"/>
      <c r="Z479" s="54"/>
    </row>
    <row r="480">
      <c r="A480" s="54"/>
      <c r="B480" s="55"/>
      <c r="C480" s="54"/>
      <c r="D480" s="63"/>
      <c r="E480" s="54"/>
      <c r="F480" s="54"/>
      <c r="G480" s="54"/>
      <c r="H480" s="54"/>
      <c r="I480" s="54"/>
      <c r="J480" s="54"/>
      <c r="K480" s="54"/>
      <c r="L480" s="54"/>
      <c r="M480" s="54"/>
      <c r="N480" s="54"/>
      <c r="O480" s="54"/>
      <c r="P480" s="54"/>
      <c r="Q480" s="54"/>
      <c r="R480" s="54"/>
      <c r="S480" s="54"/>
      <c r="T480" s="54"/>
      <c r="U480" s="54"/>
      <c r="V480" s="54"/>
      <c r="W480" s="54"/>
      <c r="X480" s="54"/>
      <c r="Y480" s="54"/>
      <c r="Z480" s="54"/>
    </row>
    <row r="481">
      <c r="A481" s="54"/>
      <c r="B481" s="55"/>
      <c r="C481" s="54"/>
      <c r="D481" s="63"/>
      <c r="E481" s="54"/>
      <c r="F481" s="54"/>
      <c r="G481" s="54"/>
      <c r="H481" s="54"/>
      <c r="I481" s="54"/>
      <c r="J481" s="54"/>
      <c r="K481" s="54"/>
      <c r="L481" s="54"/>
      <c r="M481" s="54"/>
      <c r="N481" s="54"/>
      <c r="O481" s="54"/>
      <c r="P481" s="54"/>
      <c r="Q481" s="54"/>
      <c r="R481" s="54"/>
      <c r="S481" s="54"/>
      <c r="T481" s="54"/>
      <c r="U481" s="54"/>
      <c r="V481" s="54"/>
      <c r="W481" s="54"/>
      <c r="X481" s="54"/>
      <c r="Y481" s="54"/>
      <c r="Z481" s="54"/>
    </row>
    <row r="482">
      <c r="A482" s="54"/>
      <c r="B482" s="55"/>
      <c r="C482" s="54"/>
      <c r="D482" s="63"/>
      <c r="E482" s="54"/>
      <c r="F482" s="54"/>
      <c r="G482" s="54"/>
      <c r="H482" s="54"/>
      <c r="I482" s="54"/>
      <c r="J482" s="54"/>
      <c r="K482" s="54"/>
      <c r="L482" s="54"/>
      <c r="M482" s="54"/>
      <c r="N482" s="54"/>
      <c r="O482" s="54"/>
      <c r="P482" s="54"/>
      <c r="Q482" s="54"/>
      <c r="R482" s="54"/>
      <c r="S482" s="54"/>
      <c r="T482" s="54"/>
      <c r="U482" s="54"/>
      <c r="V482" s="54"/>
      <c r="W482" s="54"/>
      <c r="X482" s="54"/>
      <c r="Y482" s="54"/>
      <c r="Z482" s="54"/>
    </row>
    <row r="483">
      <c r="A483" s="54"/>
      <c r="B483" s="55"/>
      <c r="C483" s="54"/>
      <c r="D483" s="63"/>
      <c r="E483" s="54"/>
      <c r="F483" s="54"/>
      <c r="G483" s="54"/>
      <c r="H483" s="54"/>
      <c r="I483" s="54"/>
      <c r="J483" s="54"/>
      <c r="K483" s="54"/>
      <c r="L483" s="54"/>
      <c r="M483" s="54"/>
      <c r="N483" s="54"/>
      <c r="O483" s="54"/>
      <c r="P483" s="54"/>
      <c r="Q483" s="54"/>
      <c r="R483" s="54"/>
      <c r="S483" s="54"/>
      <c r="T483" s="54"/>
      <c r="U483" s="54"/>
      <c r="V483" s="54"/>
      <c r="W483" s="54"/>
      <c r="X483" s="54"/>
      <c r="Y483" s="54"/>
      <c r="Z483" s="54"/>
    </row>
    <row r="484">
      <c r="A484" s="54"/>
      <c r="B484" s="55"/>
      <c r="C484" s="54"/>
      <c r="D484" s="63"/>
      <c r="E484" s="54"/>
      <c r="F484" s="54"/>
      <c r="G484" s="54"/>
      <c r="H484" s="54"/>
      <c r="I484" s="54"/>
      <c r="J484" s="54"/>
      <c r="K484" s="54"/>
      <c r="L484" s="54"/>
      <c r="M484" s="54"/>
      <c r="N484" s="54"/>
      <c r="O484" s="54"/>
      <c r="P484" s="54"/>
      <c r="Q484" s="54"/>
      <c r="R484" s="54"/>
      <c r="S484" s="54"/>
      <c r="T484" s="54"/>
      <c r="U484" s="54"/>
      <c r="V484" s="54"/>
      <c r="W484" s="54"/>
      <c r="X484" s="54"/>
      <c r="Y484" s="54"/>
      <c r="Z484" s="54"/>
    </row>
    <row r="485">
      <c r="A485" s="54"/>
      <c r="B485" s="55"/>
      <c r="C485" s="54"/>
      <c r="D485" s="63"/>
      <c r="E485" s="54"/>
      <c r="F485" s="54"/>
      <c r="G485" s="54"/>
      <c r="H485" s="54"/>
      <c r="I485" s="54"/>
      <c r="J485" s="54"/>
      <c r="K485" s="54"/>
      <c r="L485" s="54"/>
      <c r="M485" s="54"/>
      <c r="N485" s="54"/>
      <c r="O485" s="54"/>
      <c r="P485" s="54"/>
      <c r="Q485" s="54"/>
      <c r="R485" s="54"/>
      <c r="S485" s="54"/>
      <c r="T485" s="54"/>
      <c r="U485" s="54"/>
      <c r="V485" s="54"/>
      <c r="W485" s="54"/>
      <c r="X485" s="54"/>
      <c r="Y485" s="54"/>
      <c r="Z485" s="54"/>
    </row>
    <row r="486">
      <c r="A486" s="54"/>
      <c r="B486" s="55"/>
      <c r="C486" s="54"/>
      <c r="D486" s="63"/>
      <c r="E486" s="54"/>
      <c r="F486" s="54"/>
      <c r="G486" s="54"/>
      <c r="H486" s="54"/>
      <c r="I486" s="54"/>
      <c r="J486" s="54"/>
      <c r="K486" s="54"/>
      <c r="L486" s="54"/>
      <c r="M486" s="54"/>
      <c r="N486" s="54"/>
      <c r="O486" s="54"/>
      <c r="P486" s="54"/>
      <c r="Q486" s="54"/>
      <c r="R486" s="54"/>
      <c r="S486" s="54"/>
      <c r="T486" s="54"/>
      <c r="U486" s="54"/>
      <c r="V486" s="54"/>
      <c r="W486" s="54"/>
      <c r="X486" s="54"/>
      <c r="Y486" s="54"/>
      <c r="Z486" s="54"/>
    </row>
    <row r="487">
      <c r="A487" s="54"/>
      <c r="B487" s="55"/>
      <c r="C487" s="54"/>
      <c r="D487" s="63"/>
      <c r="E487" s="54"/>
      <c r="F487" s="54"/>
      <c r="G487" s="54"/>
      <c r="H487" s="54"/>
      <c r="I487" s="54"/>
      <c r="J487" s="54"/>
      <c r="K487" s="54"/>
      <c r="L487" s="54"/>
      <c r="M487" s="54"/>
      <c r="N487" s="54"/>
      <c r="O487" s="54"/>
      <c r="P487" s="54"/>
      <c r="Q487" s="54"/>
      <c r="R487" s="54"/>
      <c r="S487" s="54"/>
      <c r="T487" s="54"/>
      <c r="U487" s="54"/>
      <c r="V487" s="54"/>
      <c r="W487" s="54"/>
      <c r="X487" s="54"/>
      <c r="Y487" s="54"/>
      <c r="Z487" s="54"/>
    </row>
    <row r="488">
      <c r="A488" s="54"/>
      <c r="B488" s="55"/>
      <c r="C488" s="54"/>
      <c r="D488" s="63"/>
      <c r="E488" s="54"/>
      <c r="F488" s="54"/>
      <c r="G488" s="54"/>
      <c r="H488" s="54"/>
      <c r="I488" s="54"/>
      <c r="J488" s="54"/>
      <c r="K488" s="54"/>
      <c r="L488" s="54"/>
      <c r="M488" s="54"/>
      <c r="N488" s="54"/>
      <c r="O488" s="54"/>
      <c r="P488" s="54"/>
      <c r="Q488" s="54"/>
      <c r="R488" s="54"/>
      <c r="S488" s="54"/>
      <c r="T488" s="54"/>
      <c r="U488" s="54"/>
      <c r="V488" s="54"/>
      <c r="W488" s="54"/>
      <c r="X488" s="54"/>
      <c r="Y488" s="54"/>
      <c r="Z488" s="54"/>
    </row>
    <row r="489">
      <c r="A489" s="54"/>
      <c r="B489" s="55"/>
      <c r="C489" s="54"/>
      <c r="D489" s="63"/>
      <c r="E489" s="54"/>
      <c r="F489" s="54"/>
      <c r="G489" s="54"/>
      <c r="H489" s="54"/>
      <c r="I489" s="54"/>
      <c r="J489" s="54"/>
      <c r="K489" s="54"/>
      <c r="L489" s="54"/>
      <c r="M489" s="54"/>
      <c r="N489" s="54"/>
      <c r="O489" s="54"/>
      <c r="P489" s="54"/>
      <c r="Q489" s="54"/>
      <c r="R489" s="54"/>
      <c r="S489" s="54"/>
      <c r="T489" s="54"/>
      <c r="U489" s="54"/>
      <c r="V489" s="54"/>
      <c r="W489" s="54"/>
      <c r="X489" s="54"/>
      <c r="Y489" s="54"/>
      <c r="Z489" s="54"/>
    </row>
    <row r="490">
      <c r="A490" s="54"/>
      <c r="B490" s="55"/>
      <c r="C490" s="54"/>
      <c r="D490" s="63"/>
      <c r="E490" s="54"/>
      <c r="F490" s="54"/>
      <c r="G490" s="54"/>
      <c r="H490" s="54"/>
      <c r="I490" s="54"/>
      <c r="J490" s="54"/>
      <c r="K490" s="54"/>
      <c r="L490" s="54"/>
      <c r="M490" s="54"/>
      <c r="N490" s="54"/>
      <c r="O490" s="54"/>
      <c r="P490" s="54"/>
      <c r="Q490" s="54"/>
      <c r="R490" s="54"/>
      <c r="S490" s="54"/>
      <c r="T490" s="54"/>
      <c r="U490" s="54"/>
      <c r="V490" s="54"/>
      <c r="W490" s="54"/>
      <c r="X490" s="54"/>
      <c r="Y490" s="54"/>
      <c r="Z490" s="54"/>
    </row>
    <row r="491">
      <c r="A491" s="54"/>
      <c r="B491" s="55"/>
      <c r="C491" s="54"/>
      <c r="D491" s="63"/>
      <c r="E491" s="54"/>
      <c r="F491" s="54"/>
      <c r="G491" s="54"/>
      <c r="H491" s="54"/>
      <c r="I491" s="54"/>
      <c r="J491" s="54"/>
      <c r="K491" s="54"/>
      <c r="L491" s="54"/>
      <c r="M491" s="54"/>
      <c r="N491" s="54"/>
      <c r="O491" s="54"/>
      <c r="P491" s="54"/>
      <c r="Q491" s="54"/>
      <c r="R491" s="54"/>
      <c r="S491" s="54"/>
      <c r="T491" s="54"/>
      <c r="U491" s="54"/>
      <c r="V491" s="54"/>
      <c r="W491" s="54"/>
      <c r="X491" s="54"/>
      <c r="Y491" s="54"/>
      <c r="Z491" s="54"/>
    </row>
    <row r="492">
      <c r="A492" s="54"/>
      <c r="B492" s="55"/>
      <c r="C492" s="54"/>
      <c r="D492" s="63"/>
      <c r="E492" s="54"/>
      <c r="F492" s="54"/>
      <c r="G492" s="54"/>
      <c r="H492" s="54"/>
      <c r="I492" s="54"/>
      <c r="J492" s="54"/>
      <c r="K492" s="54"/>
      <c r="L492" s="54"/>
      <c r="M492" s="54"/>
      <c r="N492" s="54"/>
      <c r="O492" s="54"/>
      <c r="P492" s="54"/>
      <c r="Q492" s="54"/>
      <c r="R492" s="54"/>
      <c r="S492" s="54"/>
      <c r="T492" s="54"/>
      <c r="U492" s="54"/>
      <c r="V492" s="54"/>
      <c r="W492" s="54"/>
      <c r="X492" s="54"/>
      <c r="Y492" s="54"/>
      <c r="Z492" s="54"/>
    </row>
    <row r="493">
      <c r="A493" s="54"/>
      <c r="B493" s="55"/>
      <c r="C493" s="54"/>
      <c r="D493" s="63"/>
      <c r="E493" s="54"/>
      <c r="F493" s="54"/>
      <c r="G493" s="54"/>
      <c r="H493" s="54"/>
      <c r="I493" s="54"/>
      <c r="J493" s="54"/>
      <c r="K493" s="54"/>
      <c r="L493" s="54"/>
      <c r="M493" s="54"/>
      <c r="N493" s="54"/>
      <c r="O493" s="54"/>
      <c r="P493" s="54"/>
      <c r="Q493" s="54"/>
      <c r="R493" s="54"/>
      <c r="S493" s="54"/>
      <c r="T493" s="54"/>
      <c r="U493" s="54"/>
      <c r="V493" s="54"/>
      <c r="W493" s="54"/>
      <c r="X493" s="54"/>
      <c r="Y493" s="54"/>
      <c r="Z493" s="54"/>
    </row>
    <row r="494">
      <c r="A494" s="54"/>
      <c r="B494" s="55"/>
      <c r="C494" s="54"/>
      <c r="D494" s="63"/>
      <c r="E494" s="54"/>
      <c r="F494" s="54"/>
      <c r="G494" s="54"/>
      <c r="H494" s="54"/>
      <c r="I494" s="54"/>
      <c r="J494" s="54"/>
      <c r="K494" s="54"/>
      <c r="L494" s="54"/>
      <c r="M494" s="54"/>
      <c r="N494" s="54"/>
      <c r="O494" s="54"/>
      <c r="P494" s="54"/>
      <c r="Q494" s="54"/>
      <c r="R494" s="54"/>
      <c r="S494" s="54"/>
      <c r="T494" s="54"/>
      <c r="U494" s="54"/>
      <c r="V494" s="54"/>
      <c r="W494" s="54"/>
      <c r="X494" s="54"/>
      <c r="Y494" s="54"/>
      <c r="Z494" s="54"/>
    </row>
    <row r="495">
      <c r="A495" s="54"/>
      <c r="B495" s="55"/>
      <c r="C495" s="54"/>
      <c r="D495" s="63"/>
      <c r="E495" s="54"/>
      <c r="F495" s="54"/>
      <c r="G495" s="54"/>
      <c r="H495" s="54"/>
      <c r="I495" s="54"/>
      <c r="J495" s="54"/>
      <c r="K495" s="54"/>
      <c r="L495" s="54"/>
      <c r="M495" s="54"/>
      <c r="N495" s="54"/>
      <c r="O495" s="54"/>
      <c r="P495" s="54"/>
      <c r="Q495" s="54"/>
      <c r="R495" s="54"/>
      <c r="S495" s="54"/>
      <c r="T495" s="54"/>
      <c r="U495" s="54"/>
      <c r="V495" s="54"/>
      <c r="W495" s="54"/>
      <c r="X495" s="54"/>
      <c r="Y495" s="54"/>
      <c r="Z495" s="54"/>
    </row>
    <row r="496">
      <c r="A496" s="54"/>
      <c r="B496" s="55"/>
      <c r="C496" s="54"/>
      <c r="D496" s="63"/>
      <c r="E496" s="54"/>
      <c r="F496" s="54"/>
      <c r="G496" s="54"/>
      <c r="H496" s="54"/>
      <c r="I496" s="54"/>
      <c r="J496" s="54"/>
      <c r="K496" s="54"/>
      <c r="L496" s="54"/>
      <c r="M496" s="54"/>
      <c r="N496" s="54"/>
      <c r="O496" s="54"/>
      <c r="P496" s="54"/>
      <c r="Q496" s="54"/>
      <c r="R496" s="54"/>
      <c r="S496" s="54"/>
      <c r="T496" s="54"/>
      <c r="U496" s="54"/>
      <c r="V496" s="54"/>
      <c r="W496" s="54"/>
      <c r="X496" s="54"/>
      <c r="Y496" s="54"/>
      <c r="Z496" s="54"/>
    </row>
    <row r="497">
      <c r="A497" s="54"/>
      <c r="B497" s="55"/>
      <c r="C497" s="54"/>
      <c r="D497" s="63"/>
      <c r="E497" s="54"/>
      <c r="F497" s="54"/>
      <c r="G497" s="54"/>
      <c r="H497" s="54"/>
      <c r="I497" s="54"/>
      <c r="J497" s="54"/>
      <c r="K497" s="54"/>
      <c r="L497" s="54"/>
      <c r="M497" s="54"/>
      <c r="N497" s="54"/>
      <c r="O497" s="54"/>
      <c r="P497" s="54"/>
      <c r="Q497" s="54"/>
      <c r="R497" s="54"/>
      <c r="S497" s="54"/>
      <c r="T497" s="54"/>
      <c r="U497" s="54"/>
      <c r="V497" s="54"/>
      <c r="W497" s="54"/>
      <c r="X497" s="54"/>
      <c r="Y497" s="54"/>
      <c r="Z497" s="54"/>
    </row>
    <row r="498">
      <c r="A498" s="54"/>
      <c r="B498" s="55"/>
      <c r="C498" s="54"/>
      <c r="D498" s="63"/>
      <c r="E498" s="54"/>
      <c r="F498" s="54"/>
      <c r="G498" s="54"/>
      <c r="H498" s="54"/>
      <c r="I498" s="54"/>
      <c r="J498" s="54"/>
      <c r="K498" s="54"/>
      <c r="L498" s="54"/>
      <c r="M498" s="54"/>
      <c r="N498" s="54"/>
      <c r="O498" s="54"/>
      <c r="P498" s="54"/>
      <c r="Q498" s="54"/>
      <c r="R498" s="54"/>
      <c r="S498" s="54"/>
      <c r="T498" s="54"/>
      <c r="U498" s="54"/>
      <c r="V498" s="54"/>
      <c r="W498" s="54"/>
      <c r="X498" s="54"/>
      <c r="Y498" s="54"/>
      <c r="Z498" s="54"/>
    </row>
    <row r="499">
      <c r="A499" s="54"/>
      <c r="B499" s="55"/>
      <c r="C499" s="54"/>
      <c r="D499" s="63"/>
      <c r="E499" s="54"/>
      <c r="F499" s="54"/>
      <c r="G499" s="54"/>
      <c r="H499" s="54"/>
      <c r="I499" s="54"/>
      <c r="J499" s="54"/>
      <c r="K499" s="54"/>
      <c r="L499" s="54"/>
      <c r="M499" s="54"/>
      <c r="N499" s="54"/>
      <c r="O499" s="54"/>
      <c r="P499" s="54"/>
      <c r="Q499" s="54"/>
      <c r="R499" s="54"/>
      <c r="S499" s="54"/>
      <c r="T499" s="54"/>
      <c r="U499" s="54"/>
      <c r="V499" s="54"/>
      <c r="W499" s="54"/>
      <c r="X499" s="54"/>
      <c r="Y499" s="54"/>
      <c r="Z499" s="54"/>
    </row>
    <row r="500">
      <c r="A500" s="54"/>
      <c r="B500" s="55"/>
      <c r="C500" s="54"/>
      <c r="D500" s="63"/>
      <c r="E500" s="54"/>
      <c r="F500" s="54"/>
      <c r="G500" s="54"/>
      <c r="H500" s="54"/>
      <c r="I500" s="54"/>
      <c r="J500" s="54"/>
      <c r="K500" s="54"/>
      <c r="L500" s="54"/>
      <c r="M500" s="54"/>
      <c r="N500" s="54"/>
      <c r="O500" s="54"/>
      <c r="P500" s="54"/>
      <c r="Q500" s="54"/>
      <c r="R500" s="54"/>
      <c r="S500" s="54"/>
      <c r="T500" s="54"/>
      <c r="U500" s="54"/>
      <c r="V500" s="54"/>
      <c r="W500" s="54"/>
      <c r="X500" s="54"/>
      <c r="Y500" s="54"/>
      <c r="Z500" s="54"/>
    </row>
    <row r="501">
      <c r="A501" s="54"/>
      <c r="B501" s="55"/>
      <c r="C501" s="54"/>
      <c r="D501" s="63"/>
      <c r="E501" s="54"/>
      <c r="F501" s="54"/>
      <c r="G501" s="54"/>
      <c r="H501" s="54"/>
      <c r="I501" s="54"/>
      <c r="J501" s="54"/>
      <c r="K501" s="54"/>
      <c r="L501" s="54"/>
      <c r="M501" s="54"/>
      <c r="N501" s="54"/>
      <c r="O501" s="54"/>
      <c r="P501" s="54"/>
      <c r="Q501" s="54"/>
      <c r="R501" s="54"/>
      <c r="S501" s="54"/>
      <c r="T501" s="54"/>
      <c r="U501" s="54"/>
      <c r="V501" s="54"/>
      <c r="W501" s="54"/>
      <c r="X501" s="54"/>
      <c r="Y501" s="54"/>
      <c r="Z501" s="54"/>
    </row>
    <row r="502">
      <c r="A502" s="54"/>
      <c r="B502" s="55"/>
      <c r="C502" s="54"/>
      <c r="D502" s="63"/>
      <c r="E502" s="54"/>
      <c r="F502" s="54"/>
      <c r="G502" s="54"/>
      <c r="H502" s="54"/>
      <c r="I502" s="54"/>
      <c r="J502" s="54"/>
      <c r="K502" s="54"/>
      <c r="L502" s="54"/>
      <c r="M502" s="54"/>
      <c r="N502" s="54"/>
      <c r="O502" s="54"/>
      <c r="P502" s="54"/>
      <c r="Q502" s="54"/>
      <c r="R502" s="54"/>
      <c r="S502" s="54"/>
      <c r="T502" s="54"/>
      <c r="U502" s="54"/>
      <c r="V502" s="54"/>
      <c r="W502" s="54"/>
      <c r="X502" s="54"/>
      <c r="Y502" s="54"/>
      <c r="Z502" s="54"/>
    </row>
    <row r="503">
      <c r="A503" s="54"/>
      <c r="B503" s="55"/>
      <c r="C503" s="54"/>
      <c r="D503" s="63"/>
      <c r="E503" s="54"/>
      <c r="F503" s="54"/>
      <c r="G503" s="54"/>
      <c r="H503" s="54"/>
      <c r="I503" s="54"/>
      <c r="J503" s="54"/>
      <c r="K503" s="54"/>
      <c r="L503" s="54"/>
      <c r="M503" s="54"/>
      <c r="N503" s="54"/>
      <c r="O503" s="54"/>
      <c r="P503" s="54"/>
      <c r="Q503" s="54"/>
      <c r="R503" s="54"/>
      <c r="S503" s="54"/>
      <c r="T503" s="54"/>
      <c r="U503" s="54"/>
      <c r="V503" s="54"/>
      <c r="W503" s="54"/>
      <c r="X503" s="54"/>
      <c r="Y503" s="54"/>
      <c r="Z503" s="54"/>
    </row>
    <row r="504">
      <c r="A504" s="54"/>
      <c r="B504" s="55"/>
      <c r="C504" s="54"/>
      <c r="D504" s="63"/>
      <c r="E504" s="54"/>
      <c r="F504" s="54"/>
      <c r="G504" s="54"/>
      <c r="H504" s="54"/>
      <c r="I504" s="54"/>
      <c r="J504" s="54"/>
      <c r="K504" s="54"/>
      <c r="L504" s="54"/>
      <c r="M504" s="54"/>
      <c r="N504" s="54"/>
      <c r="O504" s="54"/>
      <c r="P504" s="54"/>
      <c r="Q504" s="54"/>
      <c r="R504" s="54"/>
      <c r="S504" s="54"/>
      <c r="T504" s="54"/>
      <c r="U504" s="54"/>
      <c r="V504" s="54"/>
      <c r="W504" s="54"/>
      <c r="X504" s="54"/>
      <c r="Y504" s="54"/>
      <c r="Z504" s="54"/>
    </row>
    <row r="505">
      <c r="A505" s="54"/>
      <c r="B505" s="55"/>
      <c r="C505" s="54"/>
      <c r="D505" s="63"/>
      <c r="E505" s="54"/>
      <c r="F505" s="54"/>
      <c r="G505" s="54"/>
      <c r="H505" s="54"/>
      <c r="I505" s="54"/>
      <c r="J505" s="54"/>
      <c r="K505" s="54"/>
      <c r="L505" s="54"/>
      <c r="M505" s="54"/>
      <c r="N505" s="54"/>
      <c r="O505" s="54"/>
      <c r="P505" s="54"/>
      <c r="Q505" s="54"/>
      <c r="R505" s="54"/>
      <c r="S505" s="54"/>
      <c r="T505" s="54"/>
      <c r="U505" s="54"/>
      <c r="V505" s="54"/>
      <c r="W505" s="54"/>
      <c r="X505" s="54"/>
      <c r="Y505" s="54"/>
      <c r="Z505" s="54"/>
    </row>
    <row r="506">
      <c r="A506" s="54"/>
      <c r="B506" s="55"/>
      <c r="C506" s="54"/>
      <c r="D506" s="63"/>
      <c r="E506" s="54"/>
      <c r="F506" s="54"/>
      <c r="G506" s="54"/>
      <c r="H506" s="54"/>
      <c r="I506" s="54"/>
      <c r="J506" s="54"/>
      <c r="K506" s="54"/>
      <c r="L506" s="54"/>
      <c r="M506" s="54"/>
      <c r="N506" s="54"/>
      <c r="O506" s="54"/>
      <c r="P506" s="54"/>
      <c r="Q506" s="54"/>
      <c r="R506" s="54"/>
      <c r="S506" s="54"/>
      <c r="T506" s="54"/>
      <c r="U506" s="54"/>
      <c r="V506" s="54"/>
      <c r="W506" s="54"/>
      <c r="X506" s="54"/>
      <c r="Y506" s="54"/>
      <c r="Z506" s="54"/>
    </row>
    <row r="507">
      <c r="A507" s="54"/>
      <c r="B507" s="55"/>
      <c r="C507" s="54"/>
      <c r="D507" s="63"/>
      <c r="E507" s="54"/>
      <c r="F507" s="54"/>
      <c r="G507" s="54"/>
      <c r="H507" s="54"/>
      <c r="I507" s="54"/>
      <c r="J507" s="54"/>
      <c r="K507" s="54"/>
      <c r="L507" s="54"/>
      <c r="M507" s="54"/>
      <c r="N507" s="54"/>
      <c r="O507" s="54"/>
      <c r="P507" s="54"/>
      <c r="Q507" s="54"/>
      <c r="R507" s="54"/>
      <c r="S507" s="54"/>
      <c r="T507" s="54"/>
      <c r="U507" s="54"/>
      <c r="V507" s="54"/>
      <c r="W507" s="54"/>
      <c r="X507" s="54"/>
      <c r="Y507" s="54"/>
      <c r="Z507" s="54"/>
    </row>
    <row r="508">
      <c r="A508" s="54"/>
      <c r="B508" s="55"/>
      <c r="C508" s="54"/>
      <c r="D508" s="63"/>
      <c r="E508" s="54"/>
      <c r="F508" s="54"/>
      <c r="G508" s="54"/>
      <c r="H508" s="54"/>
      <c r="I508" s="54"/>
      <c r="J508" s="54"/>
      <c r="K508" s="54"/>
      <c r="L508" s="54"/>
      <c r="M508" s="54"/>
      <c r="N508" s="54"/>
      <c r="O508" s="54"/>
      <c r="P508" s="54"/>
      <c r="Q508" s="54"/>
      <c r="R508" s="54"/>
      <c r="S508" s="54"/>
      <c r="T508" s="54"/>
      <c r="U508" s="54"/>
      <c r="V508" s="54"/>
      <c r="W508" s="54"/>
      <c r="X508" s="54"/>
      <c r="Y508" s="54"/>
      <c r="Z508" s="54"/>
    </row>
    <row r="509">
      <c r="A509" s="54"/>
      <c r="B509" s="55"/>
      <c r="C509" s="54"/>
      <c r="D509" s="63"/>
      <c r="E509" s="54"/>
      <c r="F509" s="54"/>
      <c r="G509" s="54"/>
      <c r="H509" s="54"/>
      <c r="I509" s="54"/>
      <c r="J509" s="54"/>
      <c r="K509" s="54"/>
      <c r="L509" s="54"/>
      <c r="M509" s="54"/>
      <c r="N509" s="54"/>
      <c r="O509" s="54"/>
      <c r="P509" s="54"/>
      <c r="Q509" s="54"/>
      <c r="R509" s="54"/>
      <c r="S509" s="54"/>
      <c r="T509" s="54"/>
      <c r="U509" s="54"/>
      <c r="V509" s="54"/>
      <c r="W509" s="54"/>
      <c r="X509" s="54"/>
      <c r="Y509" s="54"/>
      <c r="Z509" s="54"/>
    </row>
    <row r="510">
      <c r="A510" s="54"/>
      <c r="B510" s="55"/>
      <c r="C510" s="54"/>
      <c r="D510" s="63"/>
      <c r="E510" s="54"/>
      <c r="F510" s="54"/>
      <c r="G510" s="54"/>
      <c r="H510" s="54"/>
      <c r="I510" s="54"/>
      <c r="J510" s="54"/>
      <c r="K510" s="54"/>
      <c r="L510" s="54"/>
      <c r="M510" s="54"/>
      <c r="N510" s="54"/>
      <c r="O510" s="54"/>
      <c r="P510" s="54"/>
      <c r="Q510" s="54"/>
      <c r="R510" s="54"/>
      <c r="S510" s="54"/>
      <c r="T510" s="54"/>
      <c r="U510" s="54"/>
      <c r="V510" s="54"/>
      <c r="W510" s="54"/>
      <c r="X510" s="54"/>
      <c r="Y510" s="54"/>
      <c r="Z510" s="54"/>
    </row>
    <row r="511">
      <c r="A511" s="54"/>
      <c r="B511" s="55"/>
      <c r="C511" s="54"/>
      <c r="D511" s="63"/>
      <c r="E511" s="54"/>
      <c r="F511" s="54"/>
      <c r="G511" s="54"/>
      <c r="H511" s="54"/>
      <c r="I511" s="54"/>
      <c r="J511" s="54"/>
      <c r="K511" s="54"/>
      <c r="L511" s="54"/>
      <c r="M511" s="54"/>
      <c r="N511" s="54"/>
      <c r="O511" s="54"/>
      <c r="P511" s="54"/>
      <c r="Q511" s="54"/>
      <c r="R511" s="54"/>
      <c r="S511" s="54"/>
      <c r="T511" s="54"/>
      <c r="U511" s="54"/>
      <c r="V511" s="54"/>
      <c r="W511" s="54"/>
      <c r="X511" s="54"/>
      <c r="Y511" s="54"/>
      <c r="Z511" s="54"/>
    </row>
    <row r="512">
      <c r="A512" s="54"/>
      <c r="B512" s="55"/>
      <c r="C512" s="54"/>
      <c r="D512" s="63"/>
      <c r="E512" s="54"/>
      <c r="F512" s="54"/>
      <c r="G512" s="54"/>
      <c r="H512" s="54"/>
      <c r="I512" s="54"/>
      <c r="J512" s="54"/>
      <c r="K512" s="54"/>
      <c r="L512" s="54"/>
      <c r="M512" s="54"/>
      <c r="N512" s="54"/>
      <c r="O512" s="54"/>
      <c r="P512" s="54"/>
      <c r="Q512" s="54"/>
      <c r="R512" s="54"/>
      <c r="S512" s="54"/>
      <c r="T512" s="54"/>
      <c r="U512" s="54"/>
      <c r="V512" s="54"/>
      <c r="W512" s="54"/>
      <c r="X512" s="54"/>
      <c r="Y512" s="54"/>
      <c r="Z512" s="54"/>
    </row>
    <row r="513">
      <c r="A513" s="54"/>
      <c r="B513" s="55"/>
      <c r="C513" s="54"/>
      <c r="D513" s="63"/>
      <c r="E513" s="54"/>
      <c r="F513" s="54"/>
      <c r="G513" s="54"/>
      <c r="H513" s="54"/>
      <c r="I513" s="54"/>
      <c r="J513" s="54"/>
      <c r="K513" s="54"/>
      <c r="L513" s="54"/>
      <c r="M513" s="54"/>
      <c r="N513" s="54"/>
      <c r="O513" s="54"/>
      <c r="P513" s="54"/>
      <c r="Q513" s="54"/>
      <c r="R513" s="54"/>
      <c r="S513" s="54"/>
      <c r="T513" s="54"/>
      <c r="U513" s="54"/>
      <c r="V513" s="54"/>
      <c r="W513" s="54"/>
      <c r="X513" s="54"/>
      <c r="Y513" s="54"/>
      <c r="Z513" s="54"/>
    </row>
    <row r="514">
      <c r="A514" s="54"/>
      <c r="B514" s="55"/>
      <c r="C514" s="54"/>
      <c r="D514" s="63"/>
      <c r="E514" s="54"/>
      <c r="F514" s="54"/>
      <c r="G514" s="54"/>
      <c r="H514" s="54"/>
      <c r="I514" s="54"/>
      <c r="J514" s="54"/>
      <c r="K514" s="54"/>
      <c r="L514" s="54"/>
      <c r="M514" s="54"/>
      <c r="N514" s="54"/>
      <c r="O514" s="54"/>
      <c r="P514" s="54"/>
      <c r="Q514" s="54"/>
      <c r="R514" s="54"/>
      <c r="S514" s="54"/>
      <c r="T514" s="54"/>
      <c r="U514" s="54"/>
      <c r="V514" s="54"/>
      <c r="W514" s="54"/>
      <c r="X514" s="54"/>
      <c r="Y514" s="54"/>
      <c r="Z514" s="54"/>
    </row>
    <row r="515">
      <c r="A515" s="54"/>
      <c r="B515" s="55"/>
      <c r="C515" s="54"/>
      <c r="D515" s="63"/>
      <c r="E515" s="54"/>
      <c r="F515" s="54"/>
      <c r="G515" s="54"/>
      <c r="H515" s="54"/>
      <c r="I515" s="54"/>
      <c r="J515" s="54"/>
      <c r="K515" s="54"/>
      <c r="L515" s="54"/>
      <c r="M515" s="54"/>
      <c r="N515" s="54"/>
      <c r="O515" s="54"/>
      <c r="P515" s="54"/>
      <c r="Q515" s="54"/>
      <c r="R515" s="54"/>
      <c r="S515" s="54"/>
      <c r="T515" s="54"/>
      <c r="U515" s="54"/>
      <c r="V515" s="54"/>
      <c r="W515" s="54"/>
      <c r="X515" s="54"/>
      <c r="Y515" s="54"/>
      <c r="Z515" s="54"/>
    </row>
    <row r="516">
      <c r="A516" s="54"/>
      <c r="B516" s="55"/>
      <c r="C516" s="54"/>
      <c r="D516" s="63"/>
      <c r="E516" s="54"/>
      <c r="F516" s="54"/>
      <c r="G516" s="54"/>
      <c r="H516" s="54"/>
      <c r="I516" s="54"/>
      <c r="J516" s="54"/>
      <c r="K516" s="54"/>
      <c r="L516" s="54"/>
      <c r="M516" s="54"/>
      <c r="N516" s="54"/>
      <c r="O516" s="54"/>
      <c r="P516" s="54"/>
      <c r="Q516" s="54"/>
      <c r="R516" s="54"/>
      <c r="S516" s="54"/>
      <c r="T516" s="54"/>
      <c r="U516" s="54"/>
      <c r="V516" s="54"/>
      <c r="W516" s="54"/>
      <c r="X516" s="54"/>
      <c r="Y516" s="54"/>
      <c r="Z516" s="54"/>
    </row>
    <row r="517">
      <c r="A517" s="54"/>
      <c r="B517" s="55"/>
      <c r="C517" s="54"/>
      <c r="D517" s="63"/>
      <c r="E517" s="54"/>
      <c r="F517" s="54"/>
      <c r="G517" s="54"/>
      <c r="H517" s="54"/>
      <c r="I517" s="54"/>
      <c r="J517" s="54"/>
      <c r="K517" s="54"/>
      <c r="L517" s="54"/>
      <c r="M517" s="54"/>
      <c r="N517" s="54"/>
      <c r="O517" s="54"/>
      <c r="P517" s="54"/>
      <c r="Q517" s="54"/>
      <c r="R517" s="54"/>
      <c r="S517" s="54"/>
      <c r="T517" s="54"/>
      <c r="U517" s="54"/>
      <c r="V517" s="54"/>
      <c r="W517" s="54"/>
      <c r="X517" s="54"/>
      <c r="Y517" s="54"/>
      <c r="Z517" s="54"/>
    </row>
    <row r="518">
      <c r="A518" s="54"/>
      <c r="B518" s="55"/>
      <c r="C518" s="54"/>
      <c r="D518" s="63"/>
      <c r="E518" s="54"/>
      <c r="F518" s="54"/>
      <c r="G518" s="54"/>
      <c r="H518" s="54"/>
      <c r="I518" s="54"/>
      <c r="J518" s="54"/>
      <c r="K518" s="54"/>
      <c r="L518" s="54"/>
      <c r="M518" s="54"/>
      <c r="N518" s="54"/>
      <c r="O518" s="54"/>
      <c r="P518" s="54"/>
      <c r="Q518" s="54"/>
      <c r="R518" s="54"/>
      <c r="S518" s="54"/>
      <c r="T518" s="54"/>
      <c r="U518" s="54"/>
      <c r="V518" s="54"/>
      <c r="W518" s="54"/>
      <c r="X518" s="54"/>
      <c r="Y518" s="54"/>
      <c r="Z518" s="54"/>
    </row>
    <row r="519">
      <c r="A519" s="54"/>
      <c r="B519" s="55"/>
      <c r="C519" s="54"/>
      <c r="D519" s="63"/>
      <c r="E519" s="54"/>
      <c r="F519" s="54"/>
      <c r="G519" s="54"/>
      <c r="H519" s="54"/>
      <c r="I519" s="54"/>
      <c r="J519" s="54"/>
      <c r="K519" s="54"/>
      <c r="L519" s="54"/>
      <c r="M519" s="54"/>
      <c r="N519" s="54"/>
      <c r="O519" s="54"/>
      <c r="P519" s="54"/>
      <c r="Q519" s="54"/>
      <c r="R519" s="54"/>
      <c r="S519" s="54"/>
      <c r="T519" s="54"/>
      <c r="U519" s="54"/>
      <c r="V519" s="54"/>
      <c r="W519" s="54"/>
      <c r="X519" s="54"/>
      <c r="Y519" s="54"/>
      <c r="Z519" s="54"/>
    </row>
    <row r="520">
      <c r="A520" s="54"/>
      <c r="B520" s="55"/>
      <c r="C520" s="54"/>
      <c r="D520" s="63"/>
      <c r="E520" s="54"/>
      <c r="F520" s="54"/>
      <c r="G520" s="54"/>
      <c r="H520" s="54"/>
      <c r="I520" s="54"/>
      <c r="J520" s="54"/>
      <c r="K520" s="54"/>
      <c r="L520" s="54"/>
      <c r="M520" s="54"/>
      <c r="N520" s="54"/>
      <c r="O520" s="54"/>
      <c r="P520" s="54"/>
      <c r="Q520" s="54"/>
      <c r="R520" s="54"/>
      <c r="S520" s="54"/>
      <c r="T520" s="54"/>
      <c r="U520" s="54"/>
      <c r="V520" s="54"/>
      <c r="W520" s="54"/>
      <c r="X520" s="54"/>
      <c r="Y520" s="54"/>
      <c r="Z520" s="54"/>
    </row>
    <row r="521">
      <c r="A521" s="54"/>
      <c r="B521" s="55"/>
      <c r="C521" s="54"/>
      <c r="D521" s="63"/>
      <c r="E521" s="54"/>
      <c r="F521" s="54"/>
      <c r="G521" s="54"/>
      <c r="H521" s="54"/>
      <c r="I521" s="54"/>
      <c r="J521" s="54"/>
      <c r="K521" s="54"/>
      <c r="L521" s="54"/>
      <c r="M521" s="54"/>
      <c r="N521" s="54"/>
      <c r="O521" s="54"/>
      <c r="P521" s="54"/>
      <c r="Q521" s="54"/>
      <c r="R521" s="54"/>
      <c r="S521" s="54"/>
      <c r="T521" s="54"/>
      <c r="U521" s="54"/>
      <c r="V521" s="54"/>
      <c r="W521" s="54"/>
      <c r="X521" s="54"/>
      <c r="Y521" s="54"/>
      <c r="Z521" s="54"/>
    </row>
    <row r="522">
      <c r="A522" s="54"/>
      <c r="B522" s="55"/>
      <c r="C522" s="54"/>
      <c r="D522" s="63"/>
      <c r="E522" s="54"/>
      <c r="F522" s="54"/>
      <c r="G522" s="54"/>
      <c r="H522" s="54"/>
      <c r="I522" s="54"/>
      <c r="J522" s="54"/>
      <c r="K522" s="54"/>
      <c r="L522" s="54"/>
      <c r="M522" s="54"/>
      <c r="N522" s="54"/>
      <c r="O522" s="54"/>
      <c r="P522" s="54"/>
      <c r="Q522" s="54"/>
      <c r="R522" s="54"/>
      <c r="S522" s="54"/>
      <c r="T522" s="54"/>
      <c r="U522" s="54"/>
      <c r="V522" s="54"/>
      <c r="W522" s="54"/>
      <c r="X522" s="54"/>
      <c r="Y522" s="54"/>
      <c r="Z522" s="54"/>
    </row>
    <row r="523">
      <c r="A523" s="54"/>
      <c r="B523" s="55"/>
      <c r="C523" s="54"/>
      <c r="D523" s="63"/>
      <c r="E523" s="54"/>
      <c r="F523" s="54"/>
      <c r="G523" s="54"/>
      <c r="H523" s="54"/>
      <c r="I523" s="54"/>
      <c r="J523" s="54"/>
      <c r="K523" s="54"/>
      <c r="L523" s="54"/>
      <c r="M523" s="54"/>
      <c r="N523" s="54"/>
      <c r="O523" s="54"/>
      <c r="P523" s="54"/>
      <c r="Q523" s="54"/>
      <c r="R523" s="54"/>
      <c r="S523" s="54"/>
      <c r="T523" s="54"/>
      <c r="U523" s="54"/>
      <c r="V523" s="54"/>
      <c r="W523" s="54"/>
      <c r="X523" s="54"/>
      <c r="Y523" s="54"/>
      <c r="Z523" s="54"/>
    </row>
    <row r="524">
      <c r="A524" s="54"/>
      <c r="B524" s="55"/>
      <c r="C524" s="54"/>
      <c r="D524" s="63"/>
      <c r="E524" s="54"/>
      <c r="F524" s="54"/>
      <c r="G524" s="54"/>
      <c r="H524" s="54"/>
      <c r="I524" s="54"/>
      <c r="J524" s="54"/>
      <c r="K524" s="54"/>
      <c r="L524" s="54"/>
      <c r="M524" s="54"/>
      <c r="N524" s="54"/>
      <c r="O524" s="54"/>
      <c r="P524" s="54"/>
      <c r="Q524" s="54"/>
      <c r="R524" s="54"/>
      <c r="S524" s="54"/>
      <c r="T524" s="54"/>
      <c r="U524" s="54"/>
      <c r="V524" s="54"/>
      <c r="W524" s="54"/>
      <c r="X524" s="54"/>
      <c r="Y524" s="54"/>
      <c r="Z524" s="54"/>
    </row>
    <row r="525">
      <c r="A525" s="54"/>
      <c r="B525" s="55"/>
      <c r="C525" s="54"/>
      <c r="D525" s="63"/>
      <c r="E525" s="54"/>
      <c r="F525" s="54"/>
      <c r="G525" s="54"/>
      <c r="H525" s="54"/>
      <c r="I525" s="54"/>
      <c r="J525" s="54"/>
      <c r="K525" s="54"/>
      <c r="L525" s="54"/>
      <c r="M525" s="54"/>
      <c r="N525" s="54"/>
      <c r="O525" s="54"/>
      <c r="P525" s="54"/>
      <c r="Q525" s="54"/>
      <c r="R525" s="54"/>
      <c r="S525" s="54"/>
      <c r="T525" s="54"/>
      <c r="U525" s="54"/>
      <c r="V525" s="54"/>
      <c r="W525" s="54"/>
      <c r="X525" s="54"/>
      <c r="Y525" s="54"/>
      <c r="Z525" s="54"/>
    </row>
    <row r="526">
      <c r="A526" s="54"/>
      <c r="B526" s="55"/>
      <c r="C526" s="54"/>
      <c r="D526" s="63"/>
      <c r="E526" s="54"/>
      <c r="F526" s="54"/>
      <c r="G526" s="54"/>
      <c r="H526" s="54"/>
      <c r="I526" s="54"/>
      <c r="J526" s="54"/>
      <c r="K526" s="54"/>
      <c r="L526" s="54"/>
      <c r="M526" s="54"/>
      <c r="N526" s="54"/>
      <c r="O526" s="54"/>
      <c r="P526" s="54"/>
      <c r="Q526" s="54"/>
      <c r="R526" s="54"/>
      <c r="S526" s="54"/>
      <c r="T526" s="54"/>
      <c r="U526" s="54"/>
      <c r="V526" s="54"/>
      <c r="W526" s="54"/>
      <c r="X526" s="54"/>
      <c r="Y526" s="54"/>
      <c r="Z526" s="54"/>
    </row>
    <row r="527">
      <c r="A527" s="54"/>
      <c r="B527" s="55"/>
      <c r="C527" s="54"/>
      <c r="D527" s="63"/>
      <c r="E527" s="54"/>
      <c r="F527" s="54"/>
      <c r="G527" s="54"/>
      <c r="H527" s="54"/>
      <c r="I527" s="54"/>
      <c r="J527" s="54"/>
      <c r="K527" s="54"/>
      <c r="L527" s="54"/>
      <c r="M527" s="54"/>
      <c r="N527" s="54"/>
      <c r="O527" s="54"/>
      <c r="P527" s="54"/>
      <c r="Q527" s="54"/>
      <c r="R527" s="54"/>
      <c r="S527" s="54"/>
      <c r="T527" s="54"/>
      <c r="U527" s="54"/>
      <c r="V527" s="54"/>
      <c r="W527" s="54"/>
      <c r="X527" s="54"/>
      <c r="Y527" s="54"/>
      <c r="Z527" s="54"/>
    </row>
    <row r="528">
      <c r="A528" s="54"/>
      <c r="B528" s="55"/>
      <c r="C528" s="54"/>
      <c r="D528" s="63"/>
      <c r="E528" s="54"/>
      <c r="F528" s="54"/>
      <c r="G528" s="54"/>
      <c r="H528" s="54"/>
      <c r="I528" s="54"/>
      <c r="J528" s="54"/>
      <c r="K528" s="54"/>
      <c r="L528" s="54"/>
      <c r="M528" s="54"/>
      <c r="N528" s="54"/>
      <c r="O528" s="54"/>
      <c r="P528" s="54"/>
      <c r="Q528" s="54"/>
      <c r="R528" s="54"/>
      <c r="S528" s="54"/>
      <c r="T528" s="54"/>
      <c r="U528" s="54"/>
      <c r="V528" s="54"/>
      <c r="W528" s="54"/>
      <c r="X528" s="54"/>
      <c r="Y528" s="54"/>
      <c r="Z528" s="54"/>
    </row>
    <row r="529">
      <c r="A529" s="54"/>
      <c r="B529" s="55"/>
      <c r="C529" s="54"/>
      <c r="D529" s="63"/>
      <c r="E529" s="54"/>
      <c r="F529" s="54"/>
      <c r="G529" s="54"/>
      <c r="H529" s="54"/>
      <c r="I529" s="54"/>
      <c r="J529" s="54"/>
      <c r="K529" s="54"/>
      <c r="L529" s="54"/>
      <c r="M529" s="54"/>
      <c r="N529" s="54"/>
      <c r="O529" s="54"/>
      <c r="P529" s="54"/>
      <c r="Q529" s="54"/>
      <c r="R529" s="54"/>
      <c r="S529" s="54"/>
      <c r="T529" s="54"/>
      <c r="U529" s="54"/>
      <c r="V529" s="54"/>
      <c r="W529" s="54"/>
      <c r="X529" s="54"/>
      <c r="Y529" s="54"/>
      <c r="Z529" s="54"/>
    </row>
    <row r="530">
      <c r="A530" s="54"/>
      <c r="B530" s="55"/>
      <c r="C530" s="54"/>
      <c r="D530" s="63"/>
      <c r="E530" s="54"/>
      <c r="F530" s="54"/>
      <c r="G530" s="54"/>
      <c r="H530" s="54"/>
      <c r="I530" s="54"/>
      <c r="J530" s="54"/>
      <c r="K530" s="54"/>
      <c r="L530" s="54"/>
      <c r="M530" s="54"/>
      <c r="N530" s="54"/>
      <c r="O530" s="54"/>
      <c r="P530" s="54"/>
      <c r="Q530" s="54"/>
      <c r="R530" s="54"/>
      <c r="S530" s="54"/>
      <c r="T530" s="54"/>
      <c r="U530" s="54"/>
      <c r="V530" s="54"/>
      <c r="W530" s="54"/>
      <c r="X530" s="54"/>
      <c r="Y530" s="54"/>
      <c r="Z530" s="54"/>
    </row>
    <row r="531">
      <c r="A531" s="54"/>
      <c r="B531" s="55"/>
      <c r="C531" s="54"/>
      <c r="D531" s="63"/>
      <c r="E531" s="54"/>
      <c r="F531" s="54"/>
      <c r="G531" s="54"/>
      <c r="H531" s="54"/>
      <c r="I531" s="54"/>
      <c r="J531" s="54"/>
      <c r="K531" s="54"/>
      <c r="L531" s="54"/>
      <c r="M531" s="54"/>
      <c r="N531" s="54"/>
      <c r="O531" s="54"/>
      <c r="P531" s="54"/>
      <c r="Q531" s="54"/>
      <c r="R531" s="54"/>
      <c r="S531" s="54"/>
      <c r="T531" s="54"/>
      <c r="U531" s="54"/>
      <c r="V531" s="54"/>
      <c r="W531" s="54"/>
      <c r="X531" s="54"/>
      <c r="Y531" s="54"/>
      <c r="Z531" s="54"/>
    </row>
    <row r="532">
      <c r="A532" s="54"/>
      <c r="B532" s="55"/>
      <c r="C532" s="54"/>
      <c r="D532" s="63"/>
      <c r="E532" s="54"/>
      <c r="F532" s="54"/>
      <c r="G532" s="54"/>
      <c r="H532" s="54"/>
      <c r="I532" s="54"/>
      <c r="J532" s="54"/>
      <c r="K532" s="54"/>
      <c r="L532" s="54"/>
      <c r="M532" s="54"/>
      <c r="N532" s="54"/>
      <c r="O532" s="54"/>
      <c r="P532" s="54"/>
      <c r="Q532" s="54"/>
      <c r="R532" s="54"/>
      <c r="S532" s="54"/>
      <c r="T532" s="54"/>
      <c r="U532" s="54"/>
      <c r="V532" s="54"/>
      <c r="W532" s="54"/>
      <c r="X532" s="54"/>
      <c r="Y532" s="54"/>
      <c r="Z532" s="54"/>
    </row>
    <row r="533">
      <c r="A533" s="54"/>
      <c r="B533" s="55"/>
      <c r="C533" s="54"/>
      <c r="D533" s="63"/>
      <c r="E533" s="54"/>
      <c r="F533" s="54"/>
      <c r="G533" s="54"/>
      <c r="H533" s="54"/>
      <c r="I533" s="54"/>
      <c r="J533" s="54"/>
      <c r="K533" s="54"/>
      <c r="L533" s="54"/>
      <c r="M533" s="54"/>
      <c r="N533" s="54"/>
      <c r="O533" s="54"/>
      <c r="P533" s="54"/>
      <c r="Q533" s="54"/>
      <c r="R533" s="54"/>
      <c r="S533" s="54"/>
      <c r="T533" s="54"/>
      <c r="U533" s="54"/>
      <c r="V533" s="54"/>
      <c r="W533" s="54"/>
      <c r="X533" s="54"/>
      <c r="Y533" s="54"/>
      <c r="Z533" s="54"/>
    </row>
    <row r="534">
      <c r="A534" s="54"/>
      <c r="B534" s="55"/>
      <c r="C534" s="54"/>
      <c r="D534" s="63"/>
      <c r="E534" s="54"/>
      <c r="F534" s="54"/>
      <c r="G534" s="54"/>
      <c r="H534" s="54"/>
      <c r="I534" s="54"/>
      <c r="J534" s="54"/>
      <c r="K534" s="54"/>
      <c r="L534" s="54"/>
      <c r="M534" s="54"/>
      <c r="N534" s="54"/>
      <c r="O534" s="54"/>
      <c r="P534" s="54"/>
      <c r="Q534" s="54"/>
      <c r="R534" s="54"/>
      <c r="S534" s="54"/>
      <c r="T534" s="54"/>
      <c r="U534" s="54"/>
      <c r="V534" s="54"/>
      <c r="W534" s="54"/>
      <c r="X534" s="54"/>
      <c r="Y534" s="54"/>
      <c r="Z534" s="54"/>
    </row>
    <row r="535">
      <c r="A535" s="54"/>
      <c r="B535" s="55"/>
      <c r="C535" s="54"/>
      <c r="D535" s="63"/>
      <c r="E535" s="54"/>
      <c r="F535" s="54"/>
      <c r="G535" s="54"/>
      <c r="H535" s="54"/>
      <c r="I535" s="54"/>
      <c r="J535" s="54"/>
      <c r="K535" s="54"/>
      <c r="L535" s="54"/>
      <c r="M535" s="54"/>
      <c r="N535" s="54"/>
      <c r="O535" s="54"/>
      <c r="P535" s="54"/>
      <c r="Q535" s="54"/>
      <c r="R535" s="54"/>
      <c r="S535" s="54"/>
      <c r="T535" s="54"/>
      <c r="U535" s="54"/>
      <c r="V535" s="54"/>
      <c r="W535" s="54"/>
      <c r="X535" s="54"/>
      <c r="Y535" s="54"/>
      <c r="Z535" s="54"/>
    </row>
    <row r="536">
      <c r="A536" s="54"/>
      <c r="B536" s="55"/>
      <c r="C536" s="54"/>
      <c r="D536" s="63"/>
      <c r="E536" s="54"/>
      <c r="F536" s="54"/>
      <c r="G536" s="54"/>
      <c r="H536" s="54"/>
      <c r="I536" s="54"/>
      <c r="J536" s="54"/>
      <c r="K536" s="54"/>
      <c r="L536" s="54"/>
      <c r="M536" s="54"/>
      <c r="N536" s="54"/>
      <c r="O536" s="54"/>
      <c r="P536" s="54"/>
      <c r="Q536" s="54"/>
      <c r="R536" s="54"/>
      <c r="S536" s="54"/>
      <c r="T536" s="54"/>
      <c r="U536" s="54"/>
      <c r="V536" s="54"/>
      <c r="W536" s="54"/>
      <c r="X536" s="54"/>
      <c r="Y536" s="54"/>
      <c r="Z536" s="54"/>
    </row>
    <row r="537">
      <c r="A537" s="54"/>
      <c r="B537" s="55"/>
      <c r="C537" s="54"/>
      <c r="D537" s="63"/>
      <c r="E537" s="54"/>
      <c r="F537" s="54"/>
      <c r="G537" s="54"/>
      <c r="H537" s="54"/>
      <c r="I537" s="54"/>
      <c r="J537" s="54"/>
      <c r="K537" s="54"/>
      <c r="L537" s="54"/>
      <c r="M537" s="54"/>
      <c r="N537" s="54"/>
      <c r="O537" s="54"/>
      <c r="P537" s="54"/>
      <c r="Q537" s="54"/>
      <c r="R537" s="54"/>
      <c r="S537" s="54"/>
      <c r="T537" s="54"/>
      <c r="U537" s="54"/>
      <c r="V537" s="54"/>
      <c r="W537" s="54"/>
      <c r="X537" s="54"/>
      <c r="Y537" s="54"/>
      <c r="Z537" s="54"/>
    </row>
    <row r="538">
      <c r="A538" s="54"/>
      <c r="B538" s="55"/>
      <c r="C538" s="54"/>
      <c r="D538" s="63"/>
      <c r="E538" s="54"/>
      <c r="F538" s="54"/>
      <c r="G538" s="54"/>
      <c r="H538" s="54"/>
      <c r="I538" s="54"/>
      <c r="J538" s="54"/>
      <c r="K538" s="54"/>
      <c r="L538" s="54"/>
      <c r="M538" s="54"/>
      <c r="N538" s="54"/>
      <c r="O538" s="54"/>
      <c r="P538" s="54"/>
      <c r="Q538" s="54"/>
      <c r="R538" s="54"/>
      <c r="S538" s="54"/>
      <c r="T538" s="54"/>
      <c r="U538" s="54"/>
      <c r="V538" s="54"/>
      <c r="W538" s="54"/>
      <c r="X538" s="54"/>
      <c r="Y538" s="54"/>
      <c r="Z538" s="54"/>
    </row>
    <row r="539">
      <c r="A539" s="54"/>
      <c r="B539" s="55"/>
      <c r="C539" s="54"/>
      <c r="D539" s="63"/>
      <c r="E539" s="54"/>
      <c r="F539" s="54"/>
      <c r="G539" s="54"/>
      <c r="H539" s="54"/>
      <c r="I539" s="54"/>
      <c r="J539" s="54"/>
      <c r="K539" s="54"/>
      <c r="L539" s="54"/>
      <c r="M539" s="54"/>
      <c r="N539" s="54"/>
      <c r="O539" s="54"/>
      <c r="P539" s="54"/>
      <c r="Q539" s="54"/>
      <c r="R539" s="54"/>
      <c r="S539" s="54"/>
      <c r="T539" s="54"/>
      <c r="U539" s="54"/>
      <c r="V539" s="54"/>
      <c r="W539" s="54"/>
      <c r="X539" s="54"/>
      <c r="Y539" s="54"/>
      <c r="Z539" s="54"/>
    </row>
    <row r="540">
      <c r="A540" s="54"/>
      <c r="B540" s="55"/>
      <c r="C540" s="54"/>
      <c r="D540" s="63"/>
      <c r="E540" s="54"/>
      <c r="F540" s="54"/>
      <c r="G540" s="54"/>
      <c r="H540" s="54"/>
      <c r="I540" s="54"/>
      <c r="J540" s="54"/>
      <c r="K540" s="54"/>
      <c r="L540" s="54"/>
      <c r="M540" s="54"/>
      <c r="N540" s="54"/>
      <c r="O540" s="54"/>
      <c r="P540" s="54"/>
      <c r="Q540" s="54"/>
      <c r="R540" s="54"/>
      <c r="S540" s="54"/>
      <c r="T540" s="54"/>
      <c r="U540" s="54"/>
      <c r="V540" s="54"/>
      <c r="W540" s="54"/>
      <c r="X540" s="54"/>
      <c r="Y540" s="54"/>
      <c r="Z540" s="54"/>
    </row>
    <row r="541">
      <c r="A541" s="54"/>
      <c r="B541" s="55"/>
      <c r="C541" s="54"/>
      <c r="D541" s="63"/>
      <c r="E541" s="54"/>
      <c r="F541" s="54"/>
      <c r="G541" s="54"/>
      <c r="H541" s="54"/>
      <c r="I541" s="54"/>
      <c r="J541" s="54"/>
      <c r="K541" s="54"/>
      <c r="L541" s="54"/>
      <c r="M541" s="54"/>
      <c r="N541" s="54"/>
      <c r="O541" s="54"/>
      <c r="P541" s="54"/>
      <c r="Q541" s="54"/>
      <c r="R541" s="54"/>
      <c r="S541" s="54"/>
      <c r="T541" s="54"/>
      <c r="U541" s="54"/>
      <c r="V541" s="54"/>
      <c r="W541" s="54"/>
      <c r="X541" s="54"/>
      <c r="Y541" s="54"/>
      <c r="Z541" s="54"/>
    </row>
    <row r="542">
      <c r="A542" s="54"/>
      <c r="B542" s="55"/>
      <c r="C542" s="54"/>
      <c r="D542" s="63"/>
      <c r="E542" s="54"/>
      <c r="F542" s="54"/>
      <c r="G542" s="54"/>
      <c r="H542" s="54"/>
      <c r="I542" s="54"/>
      <c r="J542" s="54"/>
      <c r="K542" s="54"/>
      <c r="L542" s="54"/>
      <c r="M542" s="54"/>
      <c r="N542" s="54"/>
      <c r="O542" s="54"/>
      <c r="P542" s="54"/>
      <c r="Q542" s="54"/>
      <c r="R542" s="54"/>
      <c r="S542" s="54"/>
      <c r="T542" s="54"/>
      <c r="U542" s="54"/>
      <c r="V542" s="54"/>
      <c r="W542" s="54"/>
      <c r="X542" s="54"/>
      <c r="Y542" s="54"/>
      <c r="Z542" s="54"/>
    </row>
    <row r="543">
      <c r="A543" s="54"/>
      <c r="B543" s="55"/>
      <c r="C543" s="54"/>
      <c r="D543" s="63"/>
      <c r="E543" s="54"/>
      <c r="F543" s="54"/>
      <c r="G543" s="54"/>
      <c r="H543" s="54"/>
      <c r="I543" s="54"/>
      <c r="J543" s="54"/>
      <c r="K543" s="54"/>
      <c r="L543" s="54"/>
      <c r="M543" s="54"/>
      <c r="N543" s="54"/>
      <c r="O543" s="54"/>
      <c r="P543" s="54"/>
      <c r="Q543" s="54"/>
      <c r="R543" s="54"/>
      <c r="S543" s="54"/>
      <c r="T543" s="54"/>
      <c r="U543" s="54"/>
      <c r="V543" s="54"/>
      <c r="W543" s="54"/>
      <c r="X543" s="54"/>
      <c r="Y543" s="54"/>
      <c r="Z543" s="54"/>
    </row>
    <row r="544">
      <c r="A544" s="54"/>
      <c r="B544" s="55"/>
      <c r="C544" s="54"/>
      <c r="D544" s="63"/>
      <c r="E544" s="54"/>
      <c r="F544" s="54"/>
      <c r="G544" s="54"/>
      <c r="H544" s="54"/>
      <c r="I544" s="54"/>
      <c r="J544" s="54"/>
      <c r="K544" s="54"/>
      <c r="L544" s="54"/>
      <c r="M544" s="54"/>
      <c r="N544" s="54"/>
      <c r="O544" s="54"/>
      <c r="P544" s="54"/>
      <c r="Q544" s="54"/>
      <c r="R544" s="54"/>
      <c r="S544" s="54"/>
      <c r="T544" s="54"/>
      <c r="U544" s="54"/>
      <c r="V544" s="54"/>
      <c r="W544" s="54"/>
      <c r="X544" s="54"/>
      <c r="Y544" s="54"/>
      <c r="Z544" s="54"/>
    </row>
    <row r="545">
      <c r="A545" s="54"/>
      <c r="B545" s="55"/>
      <c r="C545" s="54"/>
      <c r="D545" s="63"/>
      <c r="E545" s="54"/>
      <c r="F545" s="54"/>
      <c r="G545" s="54"/>
      <c r="H545" s="54"/>
      <c r="I545" s="54"/>
      <c r="J545" s="54"/>
      <c r="K545" s="54"/>
      <c r="L545" s="54"/>
      <c r="M545" s="54"/>
      <c r="N545" s="54"/>
      <c r="O545" s="54"/>
      <c r="P545" s="54"/>
      <c r="Q545" s="54"/>
      <c r="R545" s="54"/>
      <c r="S545" s="54"/>
      <c r="T545" s="54"/>
      <c r="U545" s="54"/>
      <c r="V545" s="54"/>
      <c r="W545" s="54"/>
      <c r="X545" s="54"/>
      <c r="Y545" s="54"/>
      <c r="Z545" s="54"/>
    </row>
    <row r="546">
      <c r="A546" s="54"/>
      <c r="B546" s="55"/>
      <c r="C546" s="54"/>
      <c r="D546" s="63"/>
      <c r="E546" s="54"/>
      <c r="F546" s="54"/>
      <c r="G546" s="54"/>
      <c r="H546" s="54"/>
      <c r="I546" s="54"/>
      <c r="J546" s="54"/>
      <c r="K546" s="54"/>
      <c r="L546" s="54"/>
      <c r="M546" s="54"/>
      <c r="N546" s="54"/>
      <c r="O546" s="54"/>
      <c r="P546" s="54"/>
      <c r="Q546" s="54"/>
      <c r="R546" s="54"/>
      <c r="S546" s="54"/>
      <c r="T546" s="54"/>
      <c r="U546" s="54"/>
      <c r="V546" s="54"/>
      <c r="W546" s="54"/>
      <c r="X546" s="54"/>
      <c r="Y546" s="54"/>
      <c r="Z546" s="54"/>
    </row>
    <row r="547">
      <c r="A547" s="54"/>
      <c r="B547" s="55"/>
      <c r="C547" s="54"/>
      <c r="D547" s="63"/>
      <c r="E547" s="54"/>
      <c r="F547" s="54"/>
      <c r="G547" s="54"/>
      <c r="H547" s="54"/>
      <c r="I547" s="54"/>
      <c r="J547" s="54"/>
      <c r="K547" s="54"/>
      <c r="L547" s="54"/>
      <c r="M547" s="54"/>
      <c r="N547" s="54"/>
      <c r="O547" s="54"/>
      <c r="P547" s="54"/>
      <c r="Q547" s="54"/>
      <c r="R547" s="54"/>
      <c r="S547" s="54"/>
      <c r="T547" s="54"/>
      <c r="U547" s="54"/>
      <c r="V547" s="54"/>
      <c r="W547" s="54"/>
      <c r="X547" s="54"/>
      <c r="Y547" s="54"/>
      <c r="Z547" s="54"/>
    </row>
    <row r="548">
      <c r="A548" s="54"/>
      <c r="B548" s="55"/>
      <c r="C548" s="54"/>
      <c r="D548" s="63"/>
      <c r="E548" s="54"/>
      <c r="F548" s="54"/>
      <c r="G548" s="54"/>
      <c r="H548" s="54"/>
      <c r="I548" s="54"/>
      <c r="J548" s="54"/>
      <c r="K548" s="54"/>
      <c r="L548" s="54"/>
      <c r="M548" s="54"/>
      <c r="N548" s="54"/>
      <c r="O548" s="54"/>
      <c r="P548" s="54"/>
      <c r="Q548" s="54"/>
      <c r="R548" s="54"/>
      <c r="S548" s="54"/>
      <c r="T548" s="54"/>
      <c r="U548" s="54"/>
      <c r="V548" s="54"/>
      <c r="W548" s="54"/>
      <c r="X548" s="54"/>
      <c r="Y548" s="54"/>
      <c r="Z548" s="54"/>
    </row>
    <row r="549">
      <c r="A549" s="54"/>
      <c r="B549" s="55"/>
      <c r="C549" s="54"/>
      <c r="D549" s="63"/>
      <c r="E549" s="54"/>
      <c r="F549" s="54"/>
      <c r="G549" s="54"/>
      <c r="H549" s="54"/>
      <c r="I549" s="54"/>
      <c r="J549" s="54"/>
      <c r="K549" s="54"/>
      <c r="L549" s="54"/>
      <c r="M549" s="54"/>
      <c r="N549" s="54"/>
      <c r="O549" s="54"/>
      <c r="P549" s="54"/>
      <c r="Q549" s="54"/>
      <c r="R549" s="54"/>
      <c r="S549" s="54"/>
      <c r="T549" s="54"/>
      <c r="U549" s="54"/>
      <c r="V549" s="54"/>
      <c r="W549" s="54"/>
      <c r="X549" s="54"/>
      <c r="Y549" s="54"/>
      <c r="Z549" s="54"/>
    </row>
    <row r="550">
      <c r="A550" s="54"/>
      <c r="B550" s="55"/>
      <c r="C550" s="54"/>
      <c r="D550" s="63"/>
      <c r="E550" s="54"/>
      <c r="F550" s="54"/>
      <c r="G550" s="54"/>
      <c r="H550" s="54"/>
      <c r="I550" s="54"/>
      <c r="J550" s="54"/>
      <c r="K550" s="54"/>
      <c r="L550" s="54"/>
      <c r="M550" s="54"/>
      <c r="N550" s="54"/>
      <c r="O550" s="54"/>
      <c r="P550" s="54"/>
      <c r="Q550" s="54"/>
      <c r="R550" s="54"/>
      <c r="S550" s="54"/>
      <c r="T550" s="54"/>
      <c r="U550" s="54"/>
      <c r="V550" s="54"/>
      <c r="W550" s="54"/>
      <c r="X550" s="54"/>
      <c r="Y550" s="54"/>
      <c r="Z550" s="54"/>
    </row>
    <row r="551">
      <c r="A551" s="54"/>
      <c r="B551" s="55"/>
      <c r="C551" s="54"/>
      <c r="D551" s="63"/>
      <c r="E551" s="54"/>
      <c r="F551" s="54"/>
      <c r="G551" s="54"/>
      <c r="H551" s="54"/>
      <c r="I551" s="54"/>
      <c r="J551" s="54"/>
      <c r="K551" s="54"/>
      <c r="L551" s="54"/>
      <c r="M551" s="54"/>
      <c r="N551" s="54"/>
      <c r="O551" s="54"/>
      <c r="P551" s="54"/>
      <c r="Q551" s="54"/>
      <c r="R551" s="54"/>
      <c r="S551" s="54"/>
      <c r="T551" s="54"/>
      <c r="U551" s="54"/>
      <c r="V551" s="54"/>
      <c r="W551" s="54"/>
      <c r="X551" s="54"/>
      <c r="Y551" s="54"/>
      <c r="Z551" s="54"/>
    </row>
    <row r="552">
      <c r="A552" s="54"/>
      <c r="B552" s="55"/>
      <c r="C552" s="54"/>
      <c r="D552" s="63"/>
      <c r="E552" s="54"/>
      <c r="F552" s="54"/>
      <c r="G552" s="54"/>
      <c r="H552" s="54"/>
      <c r="I552" s="54"/>
      <c r="J552" s="54"/>
      <c r="K552" s="54"/>
      <c r="L552" s="54"/>
      <c r="M552" s="54"/>
      <c r="N552" s="54"/>
      <c r="O552" s="54"/>
      <c r="P552" s="54"/>
      <c r="Q552" s="54"/>
      <c r="R552" s="54"/>
      <c r="S552" s="54"/>
      <c r="T552" s="54"/>
      <c r="U552" s="54"/>
      <c r="V552" s="54"/>
      <c r="W552" s="54"/>
      <c r="X552" s="54"/>
      <c r="Y552" s="54"/>
      <c r="Z552" s="54"/>
    </row>
    <row r="553">
      <c r="A553" s="54"/>
      <c r="B553" s="55"/>
      <c r="C553" s="54"/>
      <c r="D553" s="63"/>
      <c r="E553" s="54"/>
      <c r="F553" s="54"/>
      <c r="G553" s="54"/>
      <c r="H553" s="54"/>
      <c r="I553" s="54"/>
      <c r="J553" s="54"/>
      <c r="K553" s="54"/>
      <c r="L553" s="54"/>
      <c r="M553" s="54"/>
      <c r="N553" s="54"/>
      <c r="O553" s="54"/>
      <c r="P553" s="54"/>
      <c r="Q553" s="54"/>
      <c r="R553" s="54"/>
      <c r="S553" s="54"/>
      <c r="T553" s="54"/>
      <c r="U553" s="54"/>
      <c r="V553" s="54"/>
      <c r="W553" s="54"/>
      <c r="X553" s="54"/>
      <c r="Y553" s="54"/>
      <c r="Z553" s="54"/>
    </row>
    <row r="554">
      <c r="A554" s="54"/>
      <c r="B554" s="55"/>
      <c r="C554" s="54"/>
      <c r="D554" s="63"/>
      <c r="E554" s="54"/>
      <c r="F554" s="54"/>
      <c r="G554" s="54"/>
      <c r="H554" s="54"/>
      <c r="I554" s="54"/>
      <c r="J554" s="54"/>
      <c r="K554" s="54"/>
      <c r="L554" s="54"/>
      <c r="M554" s="54"/>
      <c r="N554" s="54"/>
      <c r="O554" s="54"/>
      <c r="P554" s="54"/>
      <c r="Q554" s="54"/>
      <c r="R554" s="54"/>
      <c r="S554" s="54"/>
      <c r="T554" s="54"/>
      <c r="U554" s="54"/>
      <c r="V554" s="54"/>
      <c r="W554" s="54"/>
      <c r="X554" s="54"/>
      <c r="Y554" s="54"/>
      <c r="Z554" s="54"/>
    </row>
    <row r="555">
      <c r="A555" s="54"/>
      <c r="B555" s="55"/>
      <c r="C555" s="54"/>
      <c r="D555" s="63"/>
      <c r="E555" s="54"/>
      <c r="F555" s="54"/>
      <c r="G555" s="54"/>
      <c r="H555" s="54"/>
      <c r="I555" s="54"/>
      <c r="J555" s="54"/>
      <c r="K555" s="54"/>
      <c r="L555" s="54"/>
      <c r="M555" s="54"/>
      <c r="N555" s="54"/>
      <c r="O555" s="54"/>
      <c r="P555" s="54"/>
      <c r="Q555" s="54"/>
      <c r="R555" s="54"/>
      <c r="S555" s="54"/>
      <c r="T555" s="54"/>
      <c r="U555" s="54"/>
      <c r="V555" s="54"/>
      <c r="W555" s="54"/>
      <c r="X555" s="54"/>
      <c r="Y555" s="54"/>
      <c r="Z555" s="54"/>
    </row>
    <row r="556">
      <c r="A556" s="54"/>
      <c r="B556" s="55"/>
      <c r="C556" s="54"/>
      <c r="D556" s="63"/>
      <c r="E556" s="54"/>
      <c r="F556" s="54"/>
      <c r="G556" s="54"/>
      <c r="H556" s="54"/>
      <c r="I556" s="54"/>
      <c r="J556" s="54"/>
      <c r="K556" s="54"/>
      <c r="L556" s="54"/>
      <c r="M556" s="54"/>
      <c r="N556" s="54"/>
      <c r="O556" s="54"/>
      <c r="P556" s="54"/>
      <c r="Q556" s="54"/>
      <c r="R556" s="54"/>
      <c r="S556" s="54"/>
      <c r="T556" s="54"/>
      <c r="U556" s="54"/>
      <c r="V556" s="54"/>
      <c r="W556" s="54"/>
      <c r="X556" s="54"/>
      <c r="Y556" s="54"/>
      <c r="Z556" s="54"/>
    </row>
    <row r="557">
      <c r="A557" s="54"/>
      <c r="B557" s="55"/>
      <c r="C557" s="54"/>
      <c r="D557" s="63"/>
      <c r="E557" s="54"/>
      <c r="F557" s="54"/>
      <c r="G557" s="54"/>
      <c r="H557" s="54"/>
      <c r="I557" s="54"/>
      <c r="J557" s="54"/>
      <c r="K557" s="54"/>
      <c r="L557" s="54"/>
      <c r="M557" s="54"/>
      <c r="N557" s="54"/>
      <c r="O557" s="54"/>
      <c r="P557" s="54"/>
      <c r="Q557" s="54"/>
      <c r="R557" s="54"/>
      <c r="S557" s="54"/>
      <c r="T557" s="54"/>
      <c r="U557" s="54"/>
      <c r="V557" s="54"/>
      <c r="W557" s="54"/>
      <c r="X557" s="54"/>
      <c r="Y557" s="54"/>
      <c r="Z557" s="54"/>
    </row>
    <row r="558">
      <c r="A558" s="54"/>
      <c r="B558" s="55"/>
      <c r="C558" s="54"/>
      <c r="D558" s="63"/>
      <c r="E558" s="54"/>
      <c r="F558" s="54"/>
      <c r="G558" s="54"/>
      <c r="H558" s="54"/>
      <c r="I558" s="54"/>
      <c r="J558" s="54"/>
      <c r="K558" s="54"/>
      <c r="L558" s="54"/>
      <c r="M558" s="54"/>
      <c r="N558" s="54"/>
      <c r="O558" s="54"/>
      <c r="P558" s="54"/>
      <c r="Q558" s="54"/>
      <c r="R558" s="54"/>
      <c r="S558" s="54"/>
      <c r="T558" s="54"/>
      <c r="U558" s="54"/>
      <c r="V558" s="54"/>
      <c r="W558" s="54"/>
      <c r="X558" s="54"/>
      <c r="Y558" s="54"/>
      <c r="Z558" s="54"/>
    </row>
    <row r="559">
      <c r="A559" s="54"/>
      <c r="B559" s="55"/>
      <c r="C559" s="54"/>
      <c r="D559" s="63"/>
      <c r="E559" s="54"/>
      <c r="F559" s="54"/>
      <c r="G559" s="54"/>
      <c r="H559" s="54"/>
      <c r="I559" s="54"/>
      <c r="J559" s="54"/>
      <c r="K559" s="54"/>
      <c r="L559" s="54"/>
      <c r="M559" s="54"/>
      <c r="N559" s="54"/>
      <c r="O559" s="54"/>
      <c r="P559" s="54"/>
      <c r="Q559" s="54"/>
      <c r="R559" s="54"/>
      <c r="S559" s="54"/>
      <c r="T559" s="54"/>
      <c r="U559" s="54"/>
      <c r="V559" s="54"/>
      <c r="W559" s="54"/>
      <c r="X559" s="54"/>
      <c r="Y559" s="54"/>
      <c r="Z559" s="54"/>
    </row>
    <row r="560">
      <c r="A560" s="54"/>
      <c r="B560" s="55"/>
      <c r="C560" s="54"/>
      <c r="D560" s="63"/>
      <c r="E560" s="54"/>
      <c r="F560" s="54"/>
      <c r="G560" s="54"/>
      <c r="H560" s="54"/>
      <c r="I560" s="54"/>
      <c r="J560" s="54"/>
      <c r="K560" s="54"/>
      <c r="L560" s="54"/>
      <c r="M560" s="54"/>
      <c r="N560" s="54"/>
      <c r="O560" s="54"/>
      <c r="P560" s="54"/>
      <c r="Q560" s="54"/>
      <c r="R560" s="54"/>
      <c r="S560" s="54"/>
      <c r="T560" s="54"/>
      <c r="U560" s="54"/>
      <c r="V560" s="54"/>
      <c r="W560" s="54"/>
      <c r="X560" s="54"/>
      <c r="Y560" s="54"/>
      <c r="Z560" s="54"/>
    </row>
    <row r="561">
      <c r="A561" s="54"/>
      <c r="B561" s="55"/>
      <c r="C561" s="54"/>
      <c r="D561" s="63"/>
      <c r="E561" s="54"/>
      <c r="F561" s="54"/>
      <c r="G561" s="54"/>
      <c r="H561" s="54"/>
      <c r="I561" s="54"/>
      <c r="J561" s="54"/>
      <c r="K561" s="54"/>
      <c r="L561" s="54"/>
      <c r="M561" s="54"/>
      <c r="N561" s="54"/>
      <c r="O561" s="54"/>
      <c r="P561" s="54"/>
      <c r="Q561" s="54"/>
      <c r="R561" s="54"/>
      <c r="S561" s="54"/>
      <c r="T561" s="54"/>
      <c r="U561" s="54"/>
      <c r="V561" s="54"/>
      <c r="W561" s="54"/>
      <c r="X561" s="54"/>
      <c r="Y561" s="54"/>
      <c r="Z561" s="54"/>
    </row>
    <row r="562">
      <c r="A562" s="54"/>
      <c r="B562" s="55"/>
      <c r="C562" s="54"/>
      <c r="D562" s="63"/>
      <c r="E562" s="54"/>
      <c r="F562" s="54"/>
      <c r="G562" s="54"/>
      <c r="H562" s="54"/>
      <c r="I562" s="54"/>
      <c r="J562" s="54"/>
      <c r="K562" s="54"/>
      <c r="L562" s="54"/>
      <c r="M562" s="54"/>
      <c r="N562" s="54"/>
      <c r="O562" s="54"/>
      <c r="P562" s="54"/>
      <c r="Q562" s="54"/>
      <c r="R562" s="54"/>
      <c r="S562" s="54"/>
      <c r="T562" s="54"/>
      <c r="U562" s="54"/>
      <c r="V562" s="54"/>
      <c r="W562" s="54"/>
      <c r="X562" s="54"/>
      <c r="Y562" s="54"/>
      <c r="Z562" s="54"/>
    </row>
    <row r="563">
      <c r="A563" s="54"/>
      <c r="B563" s="55"/>
      <c r="C563" s="54"/>
      <c r="D563" s="63"/>
      <c r="E563" s="54"/>
      <c r="F563" s="54"/>
      <c r="G563" s="54"/>
      <c r="H563" s="54"/>
      <c r="I563" s="54"/>
      <c r="J563" s="54"/>
      <c r="K563" s="54"/>
      <c r="L563" s="54"/>
      <c r="M563" s="54"/>
      <c r="N563" s="54"/>
      <c r="O563" s="54"/>
      <c r="P563" s="54"/>
      <c r="Q563" s="54"/>
      <c r="R563" s="54"/>
      <c r="S563" s="54"/>
      <c r="T563" s="54"/>
      <c r="U563" s="54"/>
      <c r="V563" s="54"/>
      <c r="W563" s="54"/>
      <c r="X563" s="54"/>
      <c r="Y563" s="54"/>
      <c r="Z563" s="54"/>
    </row>
    <row r="564">
      <c r="A564" s="54"/>
      <c r="B564" s="55"/>
      <c r="C564" s="54"/>
      <c r="D564" s="63"/>
      <c r="E564" s="54"/>
      <c r="F564" s="54"/>
      <c r="G564" s="54"/>
      <c r="H564" s="54"/>
      <c r="I564" s="54"/>
      <c r="J564" s="54"/>
      <c r="K564" s="54"/>
      <c r="L564" s="54"/>
      <c r="M564" s="54"/>
      <c r="N564" s="54"/>
      <c r="O564" s="54"/>
      <c r="P564" s="54"/>
      <c r="Q564" s="54"/>
      <c r="R564" s="54"/>
      <c r="S564" s="54"/>
      <c r="T564" s="54"/>
      <c r="U564" s="54"/>
      <c r="V564" s="54"/>
      <c r="W564" s="54"/>
      <c r="X564" s="54"/>
      <c r="Y564" s="54"/>
      <c r="Z564" s="54"/>
    </row>
    <row r="565">
      <c r="A565" s="54"/>
      <c r="B565" s="55"/>
      <c r="C565" s="54"/>
      <c r="D565" s="63"/>
      <c r="E565" s="54"/>
      <c r="F565" s="54"/>
      <c r="G565" s="54"/>
      <c r="H565" s="54"/>
      <c r="I565" s="54"/>
      <c r="J565" s="54"/>
      <c r="K565" s="54"/>
      <c r="L565" s="54"/>
      <c r="M565" s="54"/>
      <c r="N565" s="54"/>
      <c r="O565" s="54"/>
      <c r="P565" s="54"/>
      <c r="Q565" s="54"/>
      <c r="R565" s="54"/>
      <c r="S565" s="54"/>
      <c r="T565" s="54"/>
      <c r="U565" s="54"/>
      <c r="V565" s="54"/>
      <c r="W565" s="54"/>
      <c r="X565" s="54"/>
      <c r="Y565" s="54"/>
      <c r="Z565" s="54"/>
    </row>
    <row r="566">
      <c r="A566" s="54"/>
      <c r="B566" s="55"/>
      <c r="C566" s="54"/>
      <c r="D566" s="63"/>
      <c r="E566" s="54"/>
      <c r="F566" s="54"/>
      <c r="G566" s="54"/>
      <c r="H566" s="54"/>
      <c r="I566" s="54"/>
      <c r="J566" s="54"/>
      <c r="K566" s="54"/>
      <c r="L566" s="54"/>
      <c r="M566" s="54"/>
      <c r="N566" s="54"/>
      <c r="O566" s="54"/>
      <c r="P566" s="54"/>
      <c r="Q566" s="54"/>
      <c r="R566" s="54"/>
      <c r="S566" s="54"/>
      <c r="T566" s="54"/>
      <c r="U566" s="54"/>
      <c r="V566" s="54"/>
      <c r="W566" s="54"/>
      <c r="X566" s="54"/>
      <c r="Y566" s="54"/>
      <c r="Z566" s="54"/>
    </row>
    <row r="567">
      <c r="A567" s="54"/>
      <c r="B567" s="55"/>
      <c r="C567" s="54"/>
      <c r="D567" s="63"/>
      <c r="E567" s="54"/>
      <c r="F567" s="54"/>
      <c r="G567" s="54"/>
      <c r="H567" s="54"/>
      <c r="I567" s="54"/>
      <c r="J567" s="54"/>
      <c r="K567" s="54"/>
      <c r="L567" s="54"/>
      <c r="M567" s="54"/>
      <c r="N567" s="54"/>
      <c r="O567" s="54"/>
      <c r="P567" s="54"/>
      <c r="Q567" s="54"/>
      <c r="R567" s="54"/>
      <c r="S567" s="54"/>
      <c r="T567" s="54"/>
      <c r="U567" s="54"/>
      <c r="V567" s="54"/>
      <c r="W567" s="54"/>
      <c r="X567" s="54"/>
      <c r="Y567" s="54"/>
      <c r="Z567" s="54"/>
    </row>
    <row r="568">
      <c r="A568" s="54"/>
      <c r="B568" s="55"/>
      <c r="C568" s="54"/>
      <c r="D568" s="63"/>
      <c r="E568" s="54"/>
      <c r="F568" s="54"/>
      <c r="G568" s="54"/>
      <c r="H568" s="54"/>
      <c r="I568" s="54"/>
      <c r="J568" s="54"/>
      <c r="K568" s="54"/>
      <c r="L568" s="54"/>
      <c r="M568" s="54"/>
      <c r="N568" s="54"/>
      <c r="O568" s="54"/>
      <c r="P568" s="54"/>
      <c r="Q568" s="54"/>
      <c r="R568" s="54"/>
      <c r="S568" s="54"/>
      <c r="T568" s="54"/>
      <c r="U568" s="54"/>
      <c r="V568" s="54"/>
      <c r="W568" s="54"/>
      <c r="X568" s="54"/>
      <c r="Y568" s="54"/>
      <c r="Z568" s="54"/>
    </row>
    <row r="569">
      <c r="A569" s="54"/>
      <c r="B569" s="55"/>
      <c r="C569" s="54"/>
      <c r="D569" s="63"/>
      <c r="E569" s="54"/>
      <c r="F569" s="54"/>
      <c r="G569" s="54"/>
      <c r="H569" s="54"/>
      <c r="I569" s="54"/>
      <c r="J569" s="54"/>
      <c r="K569" s="54"/>
      <c r="L569" s="54"/>
      <c r="M569" s="54"/>
      <c r="N569" s="54"/>
      <c r="O569" s="54"/>
      <c r="P569" s="54"/>
      <c r="Q569" s="54"/>
      <c r="R569" s="54"/>
      <c r="S569" s="54"/>
      <c r="T569" s="54"/>
      <c r="U569" s="54"/>
      <c r="V569" s="54"/>
      <c r="W569" s="54"/>
      <c r="X569" s="54"/>
      <c r="Y569" s="54"/>
      <c r="Z569" s="54"/>
    </row>
    <row r="570">
      <c r="A570" s="54"/>
      <c r="B570" s="55"/>
      <c r="C570" s="54"/>
      <c r="D570" s="63"/>
      <c r="E570" s="54"/>
      <c r="F570" s="54"/>
      <c r="G570" s="54"/>
      <c r="H570" s="54"/>
      <c r="I570" s="54"/>
      <c r="J570" s="54"/>
      <c r="K570" s="54"/>
      <c r="L570" s="54"/>
      <c r="M570" s="54"/>
      <c r="N570" s="54"/>
      <c r="O570" s="54"/>
      <c r="P570" s="54"/>
      <c r="Q570" s="54"/>
      <c r="R570" s="54"/>
      <c r="S570" s="54"/>
      <c r="T570" s="54"/>
      <c r="U570" s="54"/>
      <c r="V570" s="54"/>
      <c r="W570" s="54"/>
      <c r="X570" s="54"/>
      <c r="Y570" s="54"/>
      <c r="Z570" s="54"/>
    </row>
    <row r="571">
      <c r="A571" s="54"/>
      <c r="B571" s="55"/>
      <c r="C571" s="54"/>
      <c r="D571" s="63"/>
      <c r="E571" s="54"/>
      <c r="F571" s="54"/>
      <c r="G571" s="54"/>
      <c r="H571" s="54"/>
      <c r="I571" s="54"/>
      <c r="J571" s="54"/>
      <c r="K571" s="54"/>
      <c r="L571" s="54"/>
      <c r="M571" s="54"/>
      <c r="N571" s="54"/>
      <c r="O571" s="54"/>
      <c r="P571" s="54"/>
      <c r="Q571" s="54"/>
      <c r="R571" s="54"/>
      <c r="S571" s="54"/>
      <c r="T571" s="54"/>
      <c r="U571" s="54"/>
      <c r="V571" s="54"/>
      <c r="W571" s="54"/>
      <c r="X571" s="54"/>
      <c r="Y571" s="54"/>
      <c r="Z571" s="54"/>
    </row>
    <row r="572">
      <c r="A572" s="54"/>
      <c r="B572" s="55"/>
      <c r="C572" s="54"/>
      <c r="D572" s="63"/>
      <c r="E572" s="54"/>
      <c r="F572" s="54"/>
      <c r="G572" s="54"/>
      <c r="H572" s="54"/>
      <c r="I572" s="54"/>
      <c r="J572" s="54"/>
      <c r="K572" s="54"/>
      <c r="L572" s="54"/>
      <c r="M572" s="54"/>
      <c r="N572" s="54"/>
      <c r="O572" s="54"/>
      <c r="P572" s="54"/>
      <c r="Q572" s="54"/>
      <c r="R572" s="54"/>
      <c r="S572" s="54"/>
      <c r="T572" s="54"/>
      <c r="U572" s="54"/>
      <c r="V572" s="54"/>
      <c r="W572" s="54"/>
      <c r="X572" s="54"/>
      <c r="Y572" s="54"/>
      <c r="Z572" s="54"/>
    </row>
    <row r="573">
      <c r="A573" s="54"/>
      <c r="B573" s="55"/>
      <c r="C573" s="54"/>
      <c r="D573" s="63"/>
      <c r="E573" s="54"/>
      <c r="F573" s="54"/>
      <c r="G573" s="54"/>
      <c r="H573" s="54"/>
      <c r="I573" s="54"/>
      <c r="J573" s="54"/>
      <c r="K573" s="54"/>
      <c r="L573" s="54"/>
      <c r="M573" s="54"/>
      <c r="N573" s="54"/>
      <c r="O573" s="54"/>
      <c r="P573" s="54"/>
      <c r="Q573" s="54"/>
      <c r="R573" s="54"/>
      <c r="S573" s="54"/>
      <c r="T573" s="54"/>
      <c r="U573" s="54"/>
      <c r="V573" s="54"/>
      <c r="W573" s="54"/>
      <c r="X573" s="54"/>
      <c r="Y573" s="54"/>
      <c r="Z573" s="54"/>
    </row>
    <row r="574">
      <c r="A574" s="54"/>
      <c r="B574" s="55"/>
      <c r="C574" s="54"/>
      <c r="D574" s="63"/>
      <c r="E574" s="54"/>
      <c r="F574" s="54"/>
      <c r="G574" s="54"/>
      <c r="H574" s="54"/>
      <c r="I574" s="54"/>
      <c r="J574" s="54"/>
      <c r="K574" s="54"/>
      <c r="L574" s="54"/>
      <c r="M574" s="54"/>
      <c r="N574" s="54"/>
      <c r="O574" s="54"/>
      <c r="P574" s="54"/>
      <c r="Q574" s="54"/>
      <c r="R574" s="54"/>
      <c r="S574" s="54"/>
      <c r="T574" s="54"/>
      <c r="U574" s="54"/>
      <c r="V574" s="54"/>
      <c r="W574" s="54"/>
      <c r="X574" s="54"/>
      <c r="Y574" s="54"/>
      <c r="Z574" s="54"/>
    </row>
    <row r="575">
      <c r="A575" s="54"/>
      <c r="B575" s="55"/>
      <c r="C575" s="54"/>
      <c r="D575" s="63"/>
      <c r="E575" s="54"/>
      <c r="F575" s="54"/>
      <c r="G575" s="54"/>
      <c r="H575" s="54"/>
      <c r="I575" s="54"/>
      <c r="J575" s="54"/>
      <c r="K575" s="54"/>
      <c r="L575" s="54"/>
      <c r="M575" s="54"/>
      <c r="N575" s="54"/>
      <c r="O575" s="54"/>
      <c r="P575" s="54"/>
      <c r="Q575" s="54"/>
      <c r="R575" s="54"/>
      <c r="S575" s="54"/>
      <c r="T575" s="54"/>
      <c r="U575" s="54"/>
      <c r="V575" s="54"/>
      <c r="W575" s="54"/>
      <c r="X575" s="54"/>
      <c r="Y575" s="54"/>
      <c r="Z575" s="54"/>
    </row>
    <row r="576">
      <c r="A576" s="54"/>
      <c r="B576" s="55"/>
      <c r="C576" s="54"/>
      <c r="D576" s="63"/>
      <c r="E576" s="54"/>
      <c r="F576" s="54"/>
      <c r="G576" s="54"/>
      <c r="H576" s="54"/>
      <c r="I576" s="54"/>
      <c r="J576" s="54"/>
      <c r="K576" s="54"/>
      <c r="L576" s="54"/>
      <c r="M576" s="54"/>
      <c r="N576" s="54"/>
      <c r="O576" s="54"/>
      <c r="P576" s="54"/>
      <c r="Q576" s="54"/>
      <c r="R576" s="54"/>
      <c r="S576" s="54"/>
      <c r="T576" s="54"/>
      <c r="U576" s="54"/>
      <c r="V576" s="54"/>
      <c r="W576" s="54"/>
      <c r="X576" s="54"/>
      <c r="Y576" s="54"/>
      <c r="Z576" s="54"/>
    </row>
    <row r="577">
      <c r="A577" s="54"/>
      <c r="B577" s="55"/>
      <c r="C577" s="54"/>
      <c r="D577" s="63"/>
      <c r="E577" s="54"/>
      <c r="F577" s="54"/>
      <c r="G577" s="54"/>
      <c r="H577" s="54"/>
      <c r="I577" s="54"/>
      <c r="J577" s="54"/>
      <c r="K577" s="54"/>
      <c r="L577" s="54"/>
      <c r="M577" s="54"/>
      <c r="N577" s="54"/>
      <c r="O577" s="54"/>
      <c r="P577" s="54"/>
      <c r="Q577" s="54"/>
      <c r="R577" s="54"/>
      <c r="S577" s="54"/>
      <c r="T577" s="54"/>
      <c r="U577" s="54"/>
      <c r="V577" s="54"/>
      <c r="W577" s="54"/>
      <c r="X577" s="54"/>
      <c r="Y577" s="54"/>
      <c r="Z577" s="54"/>
    </row>
    <row r="578">
      <c r="A578" s="54"/>
      <c r="B578" s="55"/>
      <c r="C578" s="54"/>
      <c r="D578" s="63"/>
      <c r="E578" s="54"/>
      <c r="F578" s="54"/>
      <c r="G578" s="54"/>
      <c r="H578" s="54"/>
      <c r="I578" s="54"/>
      <c r="J578" s="54"/>
      <c r="K578" s="54"/>
      <c r="L578" s="54"/>
      <c r="M578" s="54"/>
      <c r="N578" s="54"/>
      <c r="O578" s="54"/>
      <c r="P578" s="54"/>
      <c r="Q578" s="54"/>
      <c r="R578" s="54"/>
      <c r="S578" s="54"/>
      <c r="T578" s="54"/>
      <c r="U578" s="54"/>
      <c r="V578" s="54"/>
      <c r="W578" s="54"/>
      <c r="X578" s="54"/>
      <c r="Y578" s="54"/>
      <c r="Z578" s="54"/>
    </row>
    <row r="579">
      <c r="A579" s="54"/>
      <c r="B579" s="55"/>
      <c r="C579" s="54"/>
      <c r="D579" s="63"/>
      <c r="E579" s="54"/>
      <c r="F579" s="54"/>
      <c r="G579" s="54"/>
      <c r="H579" s="54"/>
      <c r="I579" s="54"/>
      <c r="J579" s="54"/>
      <c r="K579" s="54"/>
      <c r="L579" s="54"/>
      <c r="M579" s="54"/>
      <c r="N579" s="54"/>
      <c r="O579" s="54"/>
      <c r="P579" s="54"/>
      <c r="Q579" s="54"/>
      <c r="R579" s="54"/>
      <c r="S579" s="54"/>
      <c r="T579" s="54"/>
      <c r="U579" s="54"/>
      <c r="V579" s="54"/>
      <c r="W579" s="54"/>
      <c r="X579" s="54"/>
      <c r="Y579" s="54"/>
      <c r="Z579" s="54"/>
    </row>
    <row r="580">
      <c r="A580" s="54"/>
      <c r="B580" s="55"/>
      <c r="C580" s="54"/>
      <c r="D580" s="63"/>
      <c r="E580" s="54"/>
      <c r="F580" s="54"/>
      <c r="G580" s="54"/>
      <c r="H580" s="54"/>
      <c r="I580" s="54"/>
      <c r="J580" s="54"/>
      <c r="K580" s="54"/>
      <c r="L580" s="54"/>
      <c r="M580" s="54"/>
      <c r="N580" s="54"/>
      <c r="O580" s="54"/>
      <c r="P580" s="54"/>
      <c r="Q580" s="54"/>
      <c r="R580" s="54"/>
      <c r="S580" s="54"/>
      <c r="T580" s="54"/>
      <c r="U580" s="54"/>
      <c r="V580" s="54"/>
      <c r="W580" s="54"/>
      <c r="X580" s="54"/>
      <c r="Y580" s="54"/>
      <c r="Z580" s="54"/>
    </row>
    <row r="581">
      <c r="A581" s="54"/>
      <c r="B581" s="55"/>
      <c r="C581" s="54"/>
      <c r="D581" s="63"/>
      <c r="E581" s="54"/>
      <c r="F581" s="54"/>
      <c r="G581" s="54"/>
      <c r="H581" s="54"/>
      <c r="I581" s="54"/>
      <c r="J581" s="54"/>
      <c r="K581" s="54"/>
      <c r="L581" s="54"/>
      <c r="M581" s="54"/>
      <c r="N581" s="54"/>
      <c r="O581" s="54"/>
      <c r="P581" s="54"/>
      <c r="Q581" s="54"/>
      <c r="R581" s="54"/>
      <c r="S581" s="54"/>
      <c r="T581" s="54"/>
      <c r="U581" s="54"/>
      <c r="V581" s="54"/>
      <c r="W581" s="54"/>
      <c r="X581" s="54"/>
      <c r="Y581" s="54"/>
      <c r="Z581" s="54"/>
    </row>
    <row r="582">
      <c r="A582" s="54"/>
      <c r="B582" s="55"/>
      <c r="C582" s="54"/>
      <c r="D582" s="63"/>
      <c r="E582" s="54"/>
      <c r="F582" s="54"/>
      <c r="G582" s="54"/>
      <c r="H582" s="54"/>
      <c r="I582" s="54"/>
      <c r="J582" s="54"/>
      <c r="K582" s="54"/>
      <c r="L582" s="54"/>
      <c r="M582" s="54"/>
      <c r="N582" s="54"/>
      <c r="O582" s="54"/>
      <c r="P582" s="54"/>
      <c r="Q582" s="54"/>
      <c r="R582" s="54"/>
      <c r="S582" s="54"/>
      <c r="T582" s="54"/>
      <c r="U582" s="54"/>
      <c r="V582" s="54"/>
      <c r="W582" s="54"/>
      <c r="X582" s="54"/>
      <c r="Y582" s="54"/>
      <c r="Z582" s="54"/>
    </row>
    <row r="583">
      <c r="A583" s="54"/>
      <c r="B583" s="55"/>
      <c r="C583" s="54"/>
      <c r="D583" s="63"/>
      <c r="E583" s="54"/>
      <c r="F583" s="54"/>
      <c r="G583" s="54"/>
      <c r="H583" s="54"/>
      <c r="I583" s="54"/>
      <c r="J583" s="54"/>
      <c r="K583" s="54"/>
      <c r="L583" s="54"/>
      <c r="M583" s="54"/>
      <c r="N583" s="54"/>
      <c r="O583" s="54"/>
      <c r="P583" s="54"/>
      <c r="Q583" s="54"/>
      <c r="R583" s="54"/>
      <c r="S583" s="54"/>
      <c r="T583" s="54"/>
      <c r="U583" s="54"/>
      <c r="V583" s="54"/>
      <c r="W583" s="54"/>
      <c r="X583" s="54"/>
      <c r="Y583" s="54"/>
      <c r="Z583" s="54"/>
    </row>
    <row r="584">
      <c r="A584" s="54"/>
      <c r="B584" s="55"/>
      <c r="C584" s="54"/>
      <c r="D584" s="63"/>
      <c r="E584" s="54"/>
      <c r="F584" s="54"/>
      <c r="G584" s="54"/>
      <c r="H584" s="54"/>
      <c r="I584" s="54"/>
      <c r="J584" s="54"/>
      <c r="K584" s="54"/>
      <c r="L584" s="54"/>
      <c r="M584" s="54"/>
      <c r="N584" s="54"/>
      <c r="O584" s="54"/>
      <c r="P584" s="54"/>
      <c r="Q584" s="54"/>
      <c r="R584" s="54"/>
      <c r="S584" s="54"/>
      <c r="T584" s="54"/>
      <c r="U584" s="54"/>
      <c r="V584" s="54"/>
      <c r="W584" s="54"/>
      <c r="X584" s="54"/>
      <c r="Y584" s="54"/>
      <c r="Z584" s="54"/>
    </row>
    <row r="585">
      <c r="A585" s="54"/>
      <c r="B585" s="55"/>
      <c r="C585" s="54"/>
      <c r="D585" s="63"/>
      <c r="E585" s="54"/>
      <c r="F585" s="54"/>
      <c r="G585" s="54"/>
      <c r="H585" s="54"/>
      <c r="I585" s="54"/>
      <c r="J585" s="54"/>
      <c r="K585" s="54"/>
      <c r="L585" s="54"/>
      <c r="M585" s="54"/>
      <c r="N585" s="54"/>
      <c r="O585" s="54"/>
      <c r="P585" s="54"/>
      <c r="Q585" s="54"/>
      <c r="R585" s="54"/>
      <c r="S585" s="54"/>
      <c r="T585" s="54"/>
      <c r="U585" s="54"/>
      <c r="V585" s="54"/>
      <c r="W585" s="54"/>
      <c r="X585" s="54"/>
      <c r="Y585" s="54"/>
      <c r="Z585" s="54"/>
    </row>
    <row r="586">
      <c r="A586" s="54"/>
      <c r="B586" s="55"/>
      <c r="C586" s="54"/>
      <c r="D586" s="63"/>
      <c r="E586" s="54"/>
      <c r="F586" s="54"/>
      <c r="G586" s="54"/>
      <c r="H586" s="54"/>
      <c r="I586" s="54"/>
      <c r="J586" s="54"/>
      <c r="K586" s="54"/>
      <c r="L586" s="54"/>
      <c r="M586" s="54"/>
      <c r="N586" s="54"/>
      <c r="O586" s="54"/>
      <c r="P586" s="54"/>
      <c r="Q586" s="54"/>
      <c r="R586" s="54"/>
      <c r="S586" s="54"/>
      <c r="T586" s="54"/>
      <c r="U586" s="54"/>
      <c r="V586" s="54"/>
      <c r="W586" s="54"/>
      <c r="X586" s="54"/>
      <c r="Y586" s="54"/>
      <c r="Z586" s="54"/>
    </row>
    <row r="587">
      <c r="A587" s="54"/>
      <c r="B587" s="55"/>
      <c r="C587" s="54"/>
      <c r="D587" s="63"/>
      <c r="E587" s="54"/>
      <c r="F587" s="54"/>
      <c r="G587" s="54"/>
      <c r="H587" s="54"/>
      <c r="I587" s="54"/>
      <c r="J587" s="54"/>
      <c r="K587" s="54"/>
      <c r="L587" s="54"/>
      <c r="M587" s="54"/>
      <c r="N587" s="54"/>
      <c r="O587" s="54"/>
      <c r="P587" s="54"/>
      <c r="Q587" s="54"/>
      <c r="R587" s="54"/>
      <c r="S587" s="54"/>
      <c r="T587" s="54"/>
      <c r="U587" s="54"/>
      <c r="V587" s="54"/>
      <c r="W587" s="54"/>
      <c r="X587" s="54"/>
      <c r="Y587" s="54"/>
      <c r="Z587" s="54"/>
    </row>
    <row r="588">
      <c r="A588" s="54"/>
      <c r="B588" s="55"/>
      <c r="C588" s="54"/>
      <c r="D588" s="63"/>
      <c r="E588" s="54"/>
      <c r="F588" s="54"/>
      <c r="G588" s="54"/>
      <c r="H588" s="54"/>
      <c r="I588" s="54"/>
      <c r="J588" s="54"/>
      <c r="K588" s="54"/>
      <c r="L588" s="54"/>
      <c r="M588" s="54"/>
      <c r="N588" s="54"/>
      <c r="O588" s="54"/>
      <c r="P588" s="54"/>
      <c r="Q588" s="54"/>
      <c r="R588" s="54"/>
      <c r="S588" s="54"/>
      <c r="T588" s="54"/>
      <c r="U588" s="54"/>
      <c r="V588" s="54"/>
      <c r="W588" s="54"/>
      <c r="X588" s="54"/>
      <c r="Y588" s="54"/>
      <c r="Z588" s="54"/>
    </row>
    <row r="589">
      <c r="A589" s="54"/>
      <c r="B589" s="55"/>
      <c r="C589" s="54"/>
      <c r="D589" s="63"/>
      <c r="E589" s="54"/>
      <c r="F589" s="54"/>
      <c r="G589" s="54"/>
      <c r="H589" s="54"/>
      <c r="I589" s="54"/>
      <c r="J589" s="54"/>
      <c r="K589" s="54"/>
      <c r="L589" s="54"/>
      <c r="M589" s="54"/>
      <c r="N589" s="54"/>
      <c r="O589" s="54"/>
      <c r="P589" s="54"/>
      <c r="Q589" s="54"/>
      <c r="R589" s="54"/>
      <c r="S589" s="54"/>
      <c r="T589" s="54"/>
      <c r="U589" s="54"/>
      <c r="V589" s="54"/>
      <c r="W589" s="54"/>
      <c r="X589" s="54"/>
      <c r="Y589" s="54"/>
      <c r="Z589" s="54"/>
    </row>
    <row r="590">
      <c r="A590" s="54"/>
      <c r="B590" s="55"/>
      <c r="C590" s="54"/>
      <c r="D590" s="63"/>
      <c r="E590" s="54"/>
      <c r="F590" s="54"/>
      <c r="G590" s="54"/>
      <c r="H590" s="54"/>
      <c r="I590" s="54"/>
      <c r="J590" s="54"/>
      <c r="K590" s="54"/>
      <c r="L590" s="54"/>
      <c r="M590" s="54"/>
      <c r="N590" s="54"/>
      <c r="O590" s="54"/>
      <c r="P590" s="54"/>
      <c r="Q590" s="54"/>
      <c r="R590" s="54"/>
      <c r="S590" s="54"/>
      <c r="T590" s="54"/>
      <c r="U590" s="54"/>
      <c r="V590" s="54"/>
      <c r="W590" s="54"/>
      <c r="X590" s="54"/>
      <c r="Y590" s="54"/>
      <c r="Z590" s="54"/>
    </row>
    <row r="591">
      <c r="A591" s="54"/>
      <c r="B591" s="55"/>
      <c r="C591" s="54"/>
      <c r="D591" s="63"/>
      <c r="E591" s="54"/>
      <c r="F591" s="54"/>
      <c r="G591" s="54"/>
      <c r="H591" s="54"/>
      <c r="I591" s="54"/>
      <c r="J591" s="54"/>
      <c r="K591" s="54"/>
      <c r="L591" s="54"/>
      <c r="M591" s="54"/>
      <c r="N591" s="54"/>
      <c r="O591" s="54"/>
      <c r="P591" s="54"/>
      <c r="Q591" s="54"/>
      <c r="R591" s="54"/>
      <c r="S591" s="54"/>
      <c r="T591" s="54"/>
      <c r="U591" s="54"/>
      <c r="V591" s="54"/>
      <c r="W591" s="54"/>
      <c r="X591" s="54"/>
      <c r="Y591" s="54"/>
      <c r="Z591" s="54"/>
    </row>
    <row r="592">
      <c r="A592" s="54"/>
      <c r="B592" s="55"/>
      <c r="C592" s="54"/>
      <c r="D592" s="63"/>
      <c r="E592" s="54"/>
      <c r="F592" s="54"/>
      <c r="G592" s="54"/>
      <c r="H592" s="54"/>
      <c r="I592" s="54"/>
      <c r="J592" s="54"/>
      <c r="K592" s="54"/>
      <c r="L592" s="54"/>
      <c r="M592" s="54"/>
      <c r="N592" s="54"/>
      <c r="O592" s="54"/>
      <c r="P592" s="54"/>
      <c r="Q592" s="54"/>
      <c r="R592" s="54"/>
      <c r="S592" s="54"/>
      <c r="T592" s="54"/>
      <c r="U592" s="54"/>
      <c r="V592" s="54"/>
      <c r="W592" s="54"/>
      <c r="X592" s="54"/>
      <c r="Y592" s="54"/>
      <c r="Z592" s="54"/>
    </row>
    <row r="593">
      <c r="A593" s="54"/>
      <c r="B593" s="55"/>
      <c r="C593" s="54"/>
      <c r="D593" s="63"/>
      <c r="E593" s="54"/>
      <c r="F593" s="54"/>
      <c r="G593" s="54"/>
      <c r="H593" s="54"/>
      <c r="I593" s="54"/>
      <c r="J593" s="54"/>
      <c r="K593" s="54"/>
      <c r="L593" s="54"/>
      <c r="M593" s="54"/>
      <c r="N593" s="54"/>
      <c r="O593" s="54"/>
      <c r="P593" s="54"/>
      <c r="Q593" s="54"/>
      <c r="R593" s="54"/>
      <c r="S593" s="54"/>
      <c r="T593" s="54"/>
      <c r="U593" s="54"/>
      <c r="V593" s="54"/>
      <c r="W593" s="54"/>
      <c r="X593" s="54"/>
      <c r="Y593" s="54"/>
      <c r="Z593" s="54"/>
    </row>
    <row r="594">
      <c r="A594" s="54"/>
      <c r="B594" s="55"/>
      <c r="C594" s="54"/>
      <c r="D594" s="63"/>
      <c r="E594" s="54"/>
      <c r="F594" s="54"/>
      <c r="G594" s="54"/>
      <c r="H594" s="54"/>
      <c r="I594" s="54"/>
      <c r="J594" s="54"/>
      <c r="K594" s="54"/>
      <c r="L594" s="54"/>
      <c r="M594" s="54"/>
      <c r="N594" s="54"/>
      <c r="O594" s="54"/>
      <c r="P594" s="54"/>
      <c r="Q594" s="54"/>
      <c r="R594" s="54"/>
      <c r="S594" s="54"/>
      <c r="T594" s="54"/>
      <c r="U594" s="54"/>
      <c r="V594" s="54"/>
      <c r="W594" s="54"/>
      <c r="X594" s="54"/>
      <c r="Y594" s="54"/>
      <c r="Z594" s="54"/>
    </row>
    <row r="595">
      <c r="A595" s="54"/>
      <c r="B595" s="55"/>
      <c r="C595" s="54"/>
      <c r="D595" s="63"/>
      <c r="E595" s="54"/>
      <c r="F595" s="54"/>
      <c r="G595" s="54"/>
      <c r="H595" s="54"/>
      <c r="I595" s="54"/>
      <c r="J595" s="54"/>
      <c r="K595" s="54"/>
      <c r="L595" s="54"/>
      <c r="M595" s="54"/>
      <c r="N595" s="54"/>
      <c r="O595" s="54"/>
      <c r="P595" s="54"/>
      <c r="Q595" s="54"/>
      <c r="R595" s="54"/>
      <c r="S595" s="54"/>
      <c r="T595" s="54"/>
      <c r="U595" s="54"/>
      <c r="V595" s="54"/>
      <c r="W595" s="54"/>
      <c r="X595" s="54"/>
      <c r="Y595" s="54"/>
      <c r="Z595" s="54"/>
    </row>
    <row r="596">
      <c r="A596" s="54"/>
      <c r="B596" s="55"/>
      <c r="C596" s="54"/>
      <c r="D596" s="63"/>
      <c r="E596" s="54"/>
      <c r="F596" s="54"/>
      <c r="G596" s="54"/>
      <c r="H596" s="54"/>
      <c r="I596" s="54"/>
      <c r="J596" s="54"/>
      <c r="K596" s="54"/>
      <c r="L596" s="54"/>
      <c r="M596" s="54"/>
      <c r="N596" s="54"/>
      <c r="O596" s="54"/>
      <c r="P596" s="54"/>
      <c r="Q596" s="54"/>
      <c r="R596" s="54"/>
      <c r="S596" s="54"/>
      <c r="T596" s="54"/>
      <c r="U596" s="54"/>
      <c r="V596" s="54"/>
      <c r="W596" s="54"/>
      <c r="X596" s="54"/>
      <c r="Y596" s="54"/>
      <c r="Z596" s="54"/>
    </row>
    <row r="597">
      <c r="A597" s="54"/>
      <c r="B597" s="55"/>
      <c r="C597" s="54"/>
      <c r="D597" s="63"/>
      <c r="E597" s="54"/>
      <c r="F597" s="54"/>
      <c r="G597" s="54"/>
      <c r="H597" s="54"/>
      <c r="I597" s="54"/>
      <c r="J597" s="54"/>
      <c r="K597" s="54"/>
      <c r="L597" s="54"/>
      <c r="M597" s="54"/>
      <c r="N597" s="54"/>
      <c r="O597" s="54"/>
      <c r="P597" s="54"/>
      <c r="Q597" s="54"/>
      <c r="R597" s="54"/>
      <c r="S597" s="54"/>
      <c r="T597" s="54"/>
      <c r="U597" s="54"/>
      <c r="V597" s="54"/>
      <c r="W597" s="54"/>
      <c r="X597" s="54"/>
      <c r="Y597" s="54"/>
      <c r="Z597" s="54"/>
    </row>
    <row r="598">
      <c r="A598" s="54"/>
      <c r="B598" s="55"/>
      <c r="C598" s="54"/>
      <c r="D598" s="63"/>
      <c r="E598" s="54"/>
      <c r="F598" s="54"/>
      <c r="G598" s="54"/>
      <c r="H598" s="54"/>
      <c r="I598" s="54"/>
      <c r="J598" s="54"/>
      <c r="K598" s="54"/>
      <c r="L598" s="54"/>
      <c r="M598" s="54"/>
      <c r="N598" s="54"/>
      <c r="O598" s="54"/>
      <c r="P598" s="54"/>
      <c r="Q598" s="54"/>
      <c r="R598" s="54"/>
      <c r="S598" s="54"/>
      <c r="T598" s="54"/>
      <c r="U598" s="54"/>
      <c r="V598" s="54"/>
      <c r="W598" s="54"/>
      <c r="X598" s="54"/>
      <c r="Y598" s="54"/>
      <c r="Z598" s="54"/>
    </row>
    <row r="599">
      <c r="A599" s="54"/>
      <c r="B599" s="55"/>
      <c r="C599" s="54"/>
      <c r="D599" s="63"/>
      <c r="E599" s="54"/>
      <c r="F599" s="54"/>
      <c r="G599" s="54"/>
      <c r="H599" s="54"/>
      <c r="I599" s="54"/>
      <c r="J599" s="54"/>
      <c r="K599" s="54"/>
      <c r="L599" s="54"/>
      <c r="M599" s="54"/>
      <c r="N599" s="54"/>
      <c r="O599" s="54"/>
      <c r="P599" s="54"/>
      <c r="Q599" s="54"/>
      <c r="R599" s="54"/>
      <c r="S599" s="54"/>
      <c r="T599" s="54"/>
      <c r="U599" s="54"/>
      <c r="V599" s="54"/>
      <c r="W599" s="54"/>
      <c r="X599" s="54"/>
      <c r="Y599" s="54"/>
      <c r="Z599" s="54"/>
    </row>
    <row r="600">
      <c r="A600" s="54"/>
      <c r="B600" s="55"/>
      <c r="C600" s="54"/>
      <c r="D600" s="63"/>
      <c r="E600" s="54"/>
      <c r="F600" s="54"/>
      <c r="G600" s="54"/>
      <c r="H600" s="54"/>
      <c r="I600" s="54"/>
      <c r="J600" s="54"/>
      <c r="K600" s="54"/>
      <c r="L600" s="54"/>
      <c r="M600" s="54"/>
      <c r="N600" s="54"/>
      <c r="O600" s="54"/>
      <c r="P600" s="54"/>
      <c r="Q600" s="54"/>
      <c r="R600" s="54"/>
      <c r="S600" s="54"/>
      <c r="T600" s="54"/>
      <c r="U600" s="54"/>
      <c r="V600" s="54"/>
      <c r="W600" s="54"/>
      <c r="X600" s="54"/>
      <c r="Y600" s="54"/>
      <c r="Z600" s="54"/>
    </row>
    <row r="601">
      <c r="A601" s="54"/>
      <c r="B601" s="55"/>
      <c r="C601" s="54"/>
      <c r="D601" s="63"/>
      <c r="E601" s="54"/>
      <c r="F601" s="54"/>
      <c r="G601" s="54"/>
      <c r="H601" s="54"/>
      <c r="I601" s="54"/>
      <c r="J601" s="54"/>
      <c r="K601" s="54"/>
      <c r="L601" s="54"/>
      <c r="M601" s="54"/>
      <c r="N601" s="54"/>
      <c r="O601" s="54"/>
      <c r="P601" s="54"/>
      <c r="Q601" s="54"/>
      <c r="R601" s="54"/>
      <c r="S601" s="54"/>
      <c r="T601" s="54"/>
      <c r="U601" s="54"/>
      <c r="V601" s="54"/>
      <c r="W601" s="54"/>
      <c r="X601" s="54"/>
      <c r="Y601" s="54"/>
      <c r="Z601" s="54"/>
    </row>
    <row r="602">
      <c r="A602" s="54"/>
      <c r="B602" s="55"/>
      <c r="C602" s="54"/>
      <c r="D602" s="63"/>
      <c r="E602" s="54"/>
      <c r="F602" s="54"/>
      <c r="G602" s="54"/>
      <c r="H602" s="54"/>
      <c r="I602" s="54"/>
      <c r="J602" s="54"/>
      <c r="K602" s="54"/>
      <c r="L602" s="54"/>
      <c r="M602" s="54"/>
      <c r="N602" s="54"/>
      <c r="O602" s="54"/>
      <c r="P602" s="54"/>
      <c r="Q602" s="54"/>
      <c r="R602" s="54"/>
      <c r="S602" s="54"/>
      <c r="T602" s="54"/>
      <c r="U602" s="54"/>
      <c r="V602" s="54"/>
      <c r="W602" s="54"/>
      <c r="X602" s="54"/>
      <c r="Y602" s="54"/>
      <c r="Z602" s="54"/>
    </row>
    <row r="603">
      <c r="A603" s="54"/>
      <c r="B603" s="55"/>
      <c r="C603" s="54"/>
      <c r="D603" s="63"/>
      <c r="E603" s="54"/>
      <c r="F603" s="54"/>
      <c r="G603" s="54"/>
      <c r="H603" s="54"/>
      <c r="I603" s="54"/>
      <c r="J603" s="54"/>
      <c r="K603" s="54"/>
      <c r="L603" s="54"/>
      <c r="M603" s="54"/>
      <c r="N603" s="54"/>
      <c r="O603" s="54"/>
      <c r="P603" s="54"/>
      <c r="Q603" s="54"/>
      <c r="R603" s="54"/>
      <c r="S603" s="54"/>
      <c r="T603" s="54"/>
      <c r="U603" s="54"/>
      <c r="V603" s="54"/>
      <c r="W603" s="54"/>
      <c r="X603" s="54"/>
      <c r="Y603" s="54"/>
      <c r="Z603" s="54"/>
    </row>
    <row r="604">
      <c r="A604" s="54"/>
      <c r="B604" s="55"/>
      <c r="C604" s="54"/>
      <c r="D604" s="63"/>
      <c r="E604" s="54"/>
      <c r="F604" s="54"/>
      <c r="G604" s="54"/>
      <c r="H604" s="54"/>
      <c r="I604" s="54"/>
      <c r="J604" s="54"/>
      <c r="K604" s="54"/>
      <c r="L604" s="54"/>
      <c r="M604" s="54"/>
      <c r="N604" s="54"/>
      <c r="O604" s="54"/>
      <c r="P604" s="54"/>
      <c r="Q604" s="54"/>
      <c r="R604" s="54"/>
      <c r="S604" s="54"/>
      <c r="T604" s="54"/>
      <c r="U604" s="54"/>
      <c r="V604" s="54"/>
      <c r="W604" s="54"/>
      <c r="X604" s="54"/>
      <c r="Y604" s="54"/>
      <c r="Z604" s="54"/>
    </row>
    <row r="605">
      <c r="A605" s="54"/>
      <c r="B605" s="55"/>
      <c r="C605" s="54"/>
      <c r="D605" s="63"/>
      <c r="E605" s="54"/>
      <c r="F605" s="54"/>
      <c r="G605" s="54"/>
      <c r="H605" s="54"/>
      <c r="I605" s="54"/>
      <c r="J605" s="54"/>
      <c r="K605" s="54"/>
      <c r="L605" s="54"/>
      <c r="M605" s="54"/>
      <c r="N605" s="54"/>
      <c r="O605" s="54"/>
      <c r="P605" s="54"/>
      <c r="Q605" s="54"/>
      <c r="R605" s="54"/>
      <c r="S605" s="54"/>
      <c r="T605" s="54"/>
      <c r="U605" s="54"/>
      <c r="V605" s="54"/>
      <c r="W605" s="54"/>
      <c r="X605" s="54"/>
      <c r="Y605" s="54"/>
      <c r="Z605" s="54"/>
    </row>
    <row r="606">
      <c r="A606" s="54"/>
      <c r="B606" s="55"/>
      <c r="C606" s="54"/>
      <c r="D606" s="63"/>
      <c r="E606" s="54"/>
      <c r="F606" s="54"/>
      <c r="G606" s="54"/>
      <c r="H606" s="54"/>
      <c r="I606" s="54"/>
      <c r="J606" s="54"/>
      <c r="K606" s="54"/>
      <c r="L606" s="54"/>
      <c r="M606" s="54"/>
      <c r="N606" s="54"/>
      <c r="O606" s="54"/>
      <c r="P606" s="54"/>
      <c r="Q606" s="54"/>
      <c r="R606" s="54"/>
      <c r="S606" s="54"/>
      <c r="T606" s="54"/>
      <c r="U606" s="54"/>
      <c r="V606" s="54"/>
      <c r="W606" s="54"/>
      <c r="X606" s="54"/>
      <c r="Y606" s="54"/>
      <c r="Z606" s="54"/>
    </row>
    <row r="607">
      <c r="A607" s="54"/>
      <c r="B607" s="55"/>
      <c r="C607" s="54"/>
      <c r="D607" s="63"/>
      <c r="E607" s="54"/>
      <c r="F607" s="54"/>
      <c r="G607" s="54"/>
      <c r="H607" s="54"/>
      <c r="I607" s="54"/>
      <c r="J607" s="54"/>
      <c r="K607" s="54"/>
      <c r="L607" s="54"/>
      <c r="M607" s="54"/>
      <c r="N607" s="54"/>
      <c r="O607" s="54"/>
      <c r="P607" s="54"/>
      <c r="Q607" s="54"/>
      <c r="R607" s="54"/>
      <c r="S607" s="54"/>
      <c r="T607" s="54"/>
      <c r="U607" s="54"/>
      <c r="V607" s="54"/>
      <c r="W607" s="54"/>
      <c r="X607" s="54"/>
      <c r="Y607" s="54"/>
      <c r="Z607" s="54"/>
    </row>
    <row r="608">
      <c r="A608" s="54"/>
      <c r="B608" s="55"/>
      <c r="C608" s="54"/>
      <c r="D608" s="63"/>
      <c r="E608" s="54"/>
      <c r="F608" s="54"/>
      <c r="G608" s="54"/>
      <c r="H608" s="54"/>
      <c r="I608" s="54"/>
      <c r="J608" s="54"/>
      <c r="K608" s="54"/>
      <c r="L608" s="54"/>
      <c r="M608" s="54"/>
      <c r="N608" s="54"/>
      <c r="O608" s="54"/>
      <c r="P608" s="54"/>
      <c r="Q608" s="54"/>
      <c r="R608" s="54"/>
      <c r="S608" s="54"/>
      <c r="T608" s="54"/>
      <c r="U608" s="54"/>
      <c r="V608" s="54"/>
      <c r="W608" s="54"/>
      <c r="X608" s="54"/>
      <c r="Y608" s="54"/>
      <c r="Z608" s="54"/>
    </row>
    <row r="609">
      <c r="A609" s="54"/>
      <c r="B609" s="55"/>
      <c r="C609" s="54"/>
      <c r="D609" s="63"/>
      <c r="E609" s="54"/>
      <c r="F609" s="54"/>
      <c r="G609" s="54"/>
      <c r="H609" s="54"/>
      <c r="I609" s="54"/>
      <c r="J609" s="54"/>
      <c r="K609" s="54"/>
      <c r="L609" s="54"/>
      <c r="M609" s="54"/>
      <c r="N609" s="54"/>
      <c r="O609" s="54"/>
      <c r="P609" s="54"/>
      <c r="Q609" s="54"/>
      <c r="R609" s="54"/>
      <c r="S609" s="54"/>
      <c r="T609" s="54"/>
      <c r="U609" s="54"/>
      <c r="V609" s="54"/>
      <c r="W609" s="54"/>
      <c r="X609" s="54"/>
      <c r="Y609" s="54"/>
      <c r="Z609" s="54"/>
    </row>
    <row r="610">
      <c r="A610" s="54"/>
      <c r="B610" s="55"/>
      <c r="C610" s="54"/>
      <c r="D610" s="63"/>
      <c r="E610" s="54"/>
      <c r="F610" s="54"/>
      <c r="G610" s="54"/>
      <c r="H610" s="54"/>
      <c r="I610" s="54"/>
      <c r="J610" s="54"/>
      <c r="K610" s="54"/>
      <c r="L610" s="54"/>
      <c r="M610" s="54"/>
      <c r="N610" s="54"/>
      <c r="O610" s="54"/>
      <c r="P610" s="54"/>
      <c r="Q610" s="54"/>
      <c r="R610" s="54"/>
      <c r="S610" s="54"/>
      <c r="T610" s="54"/>
      <c r="U610" s="54"/>
      <c r="V610" s="54"/>
      <c r="W610" s="54"/>
      <c r="X610" s="54"/>
      <c r="Y610" s="54"/>
      <c r="Z610" s="54"/>
    </row>
    <row r="611">
      <c r="A611" s="54"/>
      <c r="B611" s="55"/>
      <c r="C611" s="54"/>
      <c r="D611" s="63"/>
      <c r="E611" s="54"/>
      <c r="F611" s="54"/>
      <c r="G611" s="54"/>
      <c r="H611" s="54"/>
      <c r="I611" s="54"/>
      <c r="J611" s="54"/>
      <c r="K611" s="54"/>
      <c r="L611" s="54"/>
      <c r="M611" s="54"/>
      <c r="N611" s="54"/>
      <c r="O611" s="54"/>
      <c r="P611" s="54"/>
      <c r="Q611" s="54"/>
      <c r="R611" s="54"/>
      <c r="S611" s="54"/>
      <c r="T611" s="54"/>
      <c r="U611" s="54"/>
      <c r="V611" s="54"/>
      <c r="W611" s="54"/>
      <c r="X611" s="54"/>
      <c r="Y611" s="54"/>
      <c r="Z611" s="54"/>
    </row>
    <row r="612">
      <c r="A612" s="54"/>
      <c r="B612" s="55"/>
      <c r="C612" s="54"/>
      <c r="D612" s="63"/>
      <c r="E612" s="54"/>
      <c r="F612" s="54"/>
      <c r="G612" s="54"/>
      <c r="H612" s="54"/>
      <c r="I612" s="54"/>
      <c r="J612" s="54"/>
      <c r="K612" s="54"/>
      <c r="L612" s="54"/>
      <c r="M612" s="54"/>
      <c r="N612" s="54"/>
      <c r="O612" s="54"/>
      <c r="P612" s="54"/>
      <c r="Q612" s="54"/>
      <c r="R612" s="54"/>
      <c r="S612" s="54"/>
      <c r="T612" s="54"/>
      <c r="U612" s="54"/>
      <c r="V612" s="54"/>
      <c r="W612" s="54"/>
      <c r="X612" s="54"/>
      <c r="Y612" s="54"/>
      <c r="Z612" s="54"/>
    </row>
    <row r="613">
      <c r="A613" s="54"/>
      <c r="B613" s="55"/>
      <c r="C613" s="54"/>
      <c r="D613" s="63"/>
      <c r="E613" s="54"/>
      <c r="F613" s="54"/>
      <c r="G613" s="54"/>
      <c r="H613" s="54"/>
      <c r="I613" s="54"/>
      <c r="J613" s="54"/>
      <c r="K613" s="54"/>
      <c r="L613" s="54"/>
      <c r="M613" s="54"/>
      <c r="N613" s="54"/>
      <c r="O613" s="54"/>
      <c r="P613" s="54"/>
      <c r="Q613" s="54"/>
      <c r="R613" s="54"/>
      <c r="S613" s="54"/>
      <c r="T613" s="54"/>
      <c r="U613" s="54"/>
      <c r="V613" s="54"/>
      <c r="W613" s="54"/>
      <c r="X613" s="54"/>
      <c r="Y613" s="54"/>
      <c r="Z613" s="54"/>
    </row>
    <row r="614">
      <c r="A614" s="54"/>
      <c r="B614" s="55"/>
      <c r="C614" s="54"/>
      <c r="D614" s="63"/>
      <c r="E614" s="54"/>
      <c r="F614" s="54"/>
      <c r="G614" s="54"/>
      <c r="H614" s="54"/>
      <c r="I614" s="54"/>
      <c r="J614" s="54"/>
      <c r="K614" s="54"/>
      <c r="L614" s="54"/>
      <c r="M614" s="54"/>
      <c r="N614" s="54"/>
      <c r="O614" s="54"/>
      <c r="P614" s="54"/>
      <c r="Q614" s="54"/>
      <c r="R614" s="54"/>
      <c r="S614" s="54"/>
      <c r="T614" s="54"/>
      <c r="U614" s="54"/>
      <c r="V614" s="54"/>
      <c r="W614" s="54"/>
      <c r="X614" s="54"/>
      <c r="Y614" s="54"/>
      <c r="Z614" s="54"/>
    </row>
    <row r="615">
      <c r="A615" s="54"/>
      <c r="B615" s="55"/>
      <c r="C615" s="54"/>
      <c r="D615" s="63"/>
      <c r="E615" s="54"/>
      <c r="F615" s="54"/>
      <c r="G615" s="54"/>
      <c r="H615" s="54"/>
      <c r="I615" s="54"/>
      <c r="J615" s="54"/>
      <c r="K615" s="54"/>
      <c r="L615" s="54"/>
      <c r="M615" s="54"/>
      <c r="N615" s="54"/>
      <c r="O615" s="54"/>
      <c r="P615" s="54"/>
      <c r="Q615" s="54"/>
      <c r="R615" s="54"/>
      <c r="S615" s="54"/>
      <c r="T615" s="54"/>
      <c r="U615" s="54"/>
      <c r="V615" s="54"/>
      <c r="W615" s="54"/>
      <c r="X615" s="54"/>
      <c r="Y615" s="54"/>
      <c r="Z615" s="54"/>
    </row>
    <row r="616">
      <c r="A616" s="54"/>
      <c r="B616" s="55"/>
      <c r="C616" s="54"/>
      <c r="D616" s="63"/>
      <c r="E616" s="54"/>
      <c r="F616" s="54"/>
      <c r="G616" s="54"/>
      <c r="H616" s="54"/>
      <c r="I616" s="54"/>
      <c r="J616" s="54"/>
      <c r="K616" s="54"/>
      <c r="L616" s="54"/>
      <c r="M616" s="54"/>
      <c r="N616" s="54"/>
      <c r="O616" s="54"/>
      <c r="P616" s="54"/>
      <c r="Q616" s="54"/>
      <c r="R616" s="54"/>
      <c r="S616" s="54"/>
      <c r="T616" s="54"/>
      <c r="U616" s="54"/>
      <c r="V616" s="54"/>
      <c r="W616" s="54"/>
      <c r="X616" s="54"/>
      <c r="Y616" s="54"/>
      <c r="Z616" s="54"/>
    </row>
    <row r="617">
      <c r="A617" s="54"/>
      <c r="B617" s="55"/>
      <c r="C617" s="54"/>
      <c r="D617" s="63"/>
      <c r="E617" s="54"/>
      <c r="F617" s="54"/>
      <c r="G617" s="54"/>
      <c r="H617" s="54"/>
      <c r="I617" s="54"/>
      <c r="J617" s="54"/>
      <c r="K617" s="54"/>
      <c r="L617" s="54"/>
      <c r="M617" s="54"/>
      <c r="N617" s="54"/>
      <c r="O617" s="54"/>
      <c r="P617" s="54"/>
      <c r="Q617" s="54"/>
      <c r="R617" s="54"/>
      <c r="S617" s="54"/>
      <c r="T617" s="54"/>
      <c r="U617" s="54"/>
      <c r="V617" s="54"/>
      <c r="W617" s="54"/>
      <c r="X617" s="54"/>
      <c r="Y617" s="54"/>
      <c r="Z617" s="54"/>
    </row>
    <row r="618">
      <c r="A618" s="54"/>
      <c r="B618" s="55"/>
      <c r="C618" s="54"/>
      <c r="D618" s="63"/>
      <c r="E618" s="54"/>
      <c r="F618" s="54"/>
      <c r="G618" s="54"/>
      <c r="H618" s="54"/>
      <c r="I618" s="54"/>
      <c r="J618" s="54"/>
      <c r="K618" s="54"/>
      <c r="L618" s="54"/>
      <c r="M618" s="54"/>
      <c r="N618" s="54"/>
      <c r="O618" s="54"/>
      <c r="P618" s="54"/>
      <c r="Q618" s="54"/>
      <c r="R618" s="54"/>
      <c r="S618" s="54"/>
      <c r="T618" s="54"/>
      <c r="U618" s="54"/>
      <c r="V618" s="54"/>
      <c r="W618" s="54"/>
      <c r="X618" s="54"/>
      <c r="Y618" s="54"/>
      <c r="Z618" s="54"/>
    </row>
    <row r="619">
      <c r="A619" s="54"/>
      <c r="B619" s="55"/>
      <c r="C619" s="54"/>
      <c r="D619" s="63"/>
      <c r="E619" s="54"/>
      <c r="F619" s="54"/>
      <c r="G619" s="54"/>
      <c r="H619" s="54"/>
      <c r="I619" s="54"/>
      <c r="J619" s="54"/>
      <c r="K619" s="54"/>
      <c r="L619" s="54"/>
      <c r="M619" s="54"/>
      <c r="N619" s="54"/>
      <c r="O619" s="54"/>
      <c r="P619" s="54"/>
      <c r="Q619" s="54"/>
      <c r="R619" s="54"/>
      <c r="S619" s="54"/>
      <c r="T619" s="54"/>
      <c r="U619" s="54"/>
      <c r="V619" s="54"/>
      <c r="W619" s="54"/>
      <c r="X619" s="54"/>
      <c r="Y619" s="54"/>
      <c r="Z619" s="54"/>
    </row>
    <row r="620">
      <c r="A620" s="54"/>
      <c r="B620" s="55"/>
      <c r="C620" s="54"/>
      <c r="D620" s="63"/>
      <c r="E620" s="54"/>
      <c r="F620" s="54"/>
      <c r="G620" s="54"/>
      <c r="H620" s="54"/>
      <c r="I620" s="54"/>
      <c r="J620" s="54"/>
      <c r="K620" s="54"/>
      <c r="L620" s="54"/>
      <c r="M620" s="54"/>
      <c r="N620" s="54"/>
      <c r="O620" s="54"/>
      <c r="P620" s="54"/>
      <c r="Q620" s="54"/>
      <c r="R620" s="54"/>
      <c r="S620" s="54"/>
      <c r="T620" s="54"/>
      <c r="U620" s="54"/>
      <c r="V620" s="54"/>
      <c r="W620" s="54"/>
      <c r="X620" s="54"/>
      <c r="Y620" s="54"/>
      <c r="Z620" s="54"/>
    </row>
    <row r="621">
      <c r="A621" s="54"/>
      <c r="B621" s="55"/>
      <c r="C621" s="54"/>
      <c r="D621" s="63"/>
      <c r="E621" s="54"/>
      <c r="F621" s="54"/>
      <c r="G621" s="54"/>
      <c r="H621" s="54"/>
      <c r="I621" s="54"/>
      <c r="J621" s="54"/>
      <c r="K621" s="54"/>
      <c r="L621" s="54"/>
      <c r="M621" s="54"/>
      <c r="N621" s="54"/>
      <c r="O621" s="54"/>
      <c r="P621" s="54"/>
      <c r="Q621" s="54"/>
      <c r="R621" s="54"/>
      <c r="S621" s="54"/>
      <c r="T621" s="54"/>
      <c r="U621" s="54"/>
      <c r="V621" s="54"/>
      <c r="W621" s="54"/>
      <c r="X621" s="54"/>
      <c r="Y621" s="54"/>
      <c r="Z621" s="54"/>
    </row>
    <row r="622">
      <c r="A622" s="54"/>
      <c r="B622" s="55"/>
      <c r="C622" s="54"/>
      <c r="D622" s="63"/>
      <c r="E622" s="54"/>
      <c r="F622" s="54"/>
      <c r="G622" s="54"/>
      <c r="H622" s="54"/>
      <c r="I622" s="54"/>
      <c r="J622" s="54"/>
      <c r="K622" s="54"/>
      <c r="L622" s="54"/>
      <c r="M622" s="54"/>
      <c r="N622" s="54"/>
      <c r="O622" s="54"/>
      <c r="P622" s="54"/>
      <c r="Q622" s="54"/>
      <c r="R622" s="54"/>
      <c r="S622" s="54"/>
      <c r="T622" s="54"/>
      <c r="U622" s="54"/>
      <c r="V622" s="54"/>
      <c r="W622" s="54"/>
      <c r="X622" s="54"/>
      <c r="Y622" s="54"/>
      <c r="Z622" s="54"/>
    </row>
    <row r="623">
      <c r="A623" s="54"/>
      <c r="B623" s="55"/>
      <c r="C623" s="54"/>
      <c r="D623" s="63"/>
      <c r="E623" s="54"/>
      <c r="F623" s="54"/>
      <c r="G623" s="54"/>
      <c r="H623" s="54"/>
      <c r="I623" s="54"/>
      <c r="J623" s="54"/>
      <c r="K623" s="54"/>
      <c r="L623" s="54"/>
      <c r="M623" s="54"/>
      <c r="N623" s="54"/>
      <c r="O623" s="54"/>
      <c r="P623" s="54"/>
      <c r="Q623" s="54"/>
      <c r="R623" s="54"/>
      <c r="S623" s="54"/>
      <c r="T623" s="54"/>
      <c r="U623" s="54"/>
      <c r="V623" s="54"/>
      <c r="W623" s="54"/>
      <c r="X623" s="54"/>
      <c r="Y623" s="54"/>
      <c r="Z623" s="54"/>
    </row>
    <row r="624">
      <c r="A624" s="54"/>
      <c r="B624" s="55"/>
      <c r="C624" s="54"/>
      <c r="D624" s="63"/>
      <c r="E624" s="54"/>
      <c r="F624" s="54"/>
      <c r="G624" s="54"/>
      <c r="H624" s="54"/>
      <c r="I624" s="54"/>
      <c r="J624" s="54"/>
      <c r="K624" s="54"/>
      <c r="L624" s="54"/>
      <c r="M624" s="54"/>
      <c r="N624" s="54"/>
      <c r="O624" s="54"/>
      <c r="P624" s="54"/>
      <c r="Q624" s="54"/>
      <c r="R624" s="54"/>
      <c r="S624" s="54"/>
      <c r="T624" s="54"/>
      <c r="U624" s="54"/>
      <c r="V624" s="54"/>
      <c r="W624" s="54"/>
      <c r="X624" s="54"/>
      <c r="Y624" s="54"/>
      <c r="Z624" s="54"/>
    </row>
    <row r="625">
      <c r="A625" s="54"/>
      <c r="B625" s="55"/>
      <c r="C625" s="54"/>
      <c r="D625" s="63"/>
      <c r="E625" s="54"/>
      <c r="F625" s="54"/>
      <c r="G625" s="54"/>
      <c r="H625" s="54"/>
      <c r="I625" s="54"/>
      <c r="J625" s="54"/>
      <c r="K625" s="54"/>
      <c r="L625" s="54"/>
      <c r="M625" s="54"/>
      <c r="N625" s="54"/>
      <c r="O625" s="54"/>
      <c r="P625" s="54"/>
      <c r="Q625" s="54"/>
      <c r="R625" s="54"/>
      <c r="S625" s="54"/>
      <c r="T625" s="54"/>
      <c r="U625" s="54"/>
      <c r="V625" s="54"/>
      <c r="W625" s="54"/>
      <c r="X625" s="54"/>
      <c r="Y625" s="54"/>
      <c r="Z625" s="54"/>
    </row>
    <row r="626">
      <c r="A626" s="54"/>
      <c r="B626" s="55"/>
      <c r="C626" s="54"/>
      <c r="D626" s="63"/>
      <c r="E626" s="54"/>
      <c r="F626" s="54"/>
      <c r="G626" s="54"/>
      <c r="H626" s="54"/>
      <c r="I626" s="54"/>
      <c r="J626" s="54"/>
      <c r="K626" s="54"/>
      <c r="L626" s="54"/>
      <c r="M626" s="54"/>
      <c r="N626" s="54"/>
      <c r="O626" s="54"/>
      <c r="P626" s="54"/>
      <c r="Q626" s="54"/>
      <c r="R626" s="54"/>
      <c r="S626" s="54"/>
      <c r="T626" s="54"/>
      <c r="U626" s="54"/>
      <c r="V626" s="54"/>
      <c r="W626" s="54"/>
      <c r="X626" s="54"/>
      <c r="Y626" s="54"/>
      <c r="Z626" s="54"/>
    </row>
    <row r="627">
      <c r="A627" s="54"/>
      <c r="B627" s="55"/>
      <c r="C627" s="54"/>
      <c r="D627" s="63"/>
      <c r="E627" s="54"/>
      <c r="F627" s="54"/>
      <c r="G627" s="54"/>
      <c r="H627" s="54"/>
      <c r="I627" s="54"/>
      <c r="J627" s="54"/>
      <c r="K627" s="54"/>
      <c r="L627" s="54"/>
      <c r="M627" s="54"/>
      <c r="N627" s="54"/>
      <c r="O627" s="54"/>
      <c r="P627" s="54"/>
      <c r="Q627" s="54"/>
      <c r="R627" s="54"/>
      <c r="S627" s="54"/>
      <c r="T627" s="54"/>
      <c r="U627" s="54"/>
      <c r="V627" s="54"/>
      <c r="W627" s="54"/>
      <c r="X627" s="54"/>
      <c r="Y627" s="54"/>
      <c r="Z627" s="54"/>
    </row>
    <row r="628">
      <c r="A628" s="54"/>
      <c r="B628" s="55"/>
      <c r="C628" s="54"/>
      <c r="D628" s="63"/>
      <c r="E628" s="54"/>
      <c r="F628" s="54"/>
      <c r="G628" s="54"/>
      <c r="H628" s="54"/>
      <c r="I628" s="54"/>
      <c r="J628" s="54"/>
      <c r="K628" s="54"/>
      <c r="L628" s="54"/>
      <c r="M628" s="54"/>
      <c r="N628" s="54"/>
      <c r="O628" s="54"/>
      <c r="P628" s="54"/>
      <c r="Q628" s="54"/>
      <c r="R628" s="54"/>
      <c r="S628" s="54"/>
      <c r="T628" s="54"/>
      <c r="U628" s="54"/>
      <c r="V628" s="54"/>
      <c r="W628" s="54"/>
      <c r="X628" s="54"/>
      <c r="Y628" s="54"/>
      <c r="Z628" s="54"/>
    </row>
    <row r="629">
      <c r="A629" s="54"/>
      <c r="B629" s="55"/>
      <c r="C629" s="54"/>
      <c r="D629" s="63"/>
      <c r="E629" s="54"/>
      <c r="F629" s="54"/>
      <c r="G629" s="54"/>
      <c r="H629" s="54"/>
      <c r="I629" s="54"/>
      <c r="J629" s="54"/>
      <c r="K629" s="54"/>
      <c r="L629" s="54"/>
      <c r="M629" s="54"/>
      <c r="N629" s="54"/>
      <c r="O629" s="54"/>
      <c r="P629" s="54"/>
      <c r="Q629" s="54"/>
      <c r="R629" s="54"/>
      <c r="S629" s="54"/>
      <c r="T629" s="54"/>
      <c r="U629" s="54"/>
      <c r="V629" s="54"/>
      <c r="W629" s="54"/>
      <c r="X629" s="54"/>
      <c r="Y629" s="54"/>
      <c r="Z629" s="54"/>
    </row>
    <row r="630">
      <c r="A630" s="54"/>
      <c r="B630" s="55"/>
      <c r="C630" s="54"/>
      <c r="D630" s="63"/>
      <c r="E630" s="54"/>
      <c r="F630" s="54"/>
      <c r="G630" s="54"/>
      <c r="H630" s="54"/>
      <c r="I630" s="54"/>
      <c r="J630" s="54"/>
      <c r="K630" s="54"/>
      <c r="L630" s="54"/>
      <c r="M630" s="54"/>
      <c r="N630" s="54"/>
      <c r="O630" s="54"/>
      <c r="P630" s="54"/>
      <c r="Q630" s="54"/>
      <c r="R630" s="54"/>
      <c r="S630" s="54"/>
      <c r="T630" s="54"/>
      <c r="U630" s="54"/>
      <c r="V630" s="54"/>
      <c r="W630" s="54"/>
      <c r="X630" s="54"/>
      <c r="Y630" s="54"/>
      <c r="Z630" s="54"/>
    </row>
    <row r="631">
      <c r="A631" s="54"/>
      <c r="B631" s="55"/>
      <c r="C631" s="54"/>
      <c r="D631" s="63"/>
      <c r="E631" s="54"/>
      <c r="F631" s="54"/>
      <c r="G631" s="54"/>
      <c r="H631" s="54"/>
      <c r="I631" s="54"/>
      <c r="J631" s="54"/>
      <c r="K631" s="54"/>
      <c r="L631" s="54"/>
      <c r="M631" s="54"/>
      <c r="N631" s="54"/>
      <c r="O631" s="54"/>
      <c r="P631" s="54"/>
      <c r="Q631" s="54"/>
      <c r="R631" s="54"/>
      <c r="S631" s="54"/>
      <c r="T631" s="54"/>
      <c r="U631" s="54"/>
      <c r="V631" s="54"/>
      <c r="W631" s="54"/>
      <c r="X631" s="54"/>
      <c r="Y631" s="54"/>
      <c r="Z631" s="54"/>
    </row>
    <row r="632">
      <c r="A632" s="54"/>
      <c r="B632" s="55"/>
      <c r="C632" s="54"/>
      <c r="D632" s="63"/>
      <c r="E632" s="54"/>
      <c r="F632" s="54"/>
      <c r="G632" s="54"/>
      <c r="H632" s="54"/>
      <c r="I632" s="54"/>
      <c r="J632" s="54"/>
      <c r="K632" s="54"/>
      <c r="L632" s="54"/>
      <c r="M632" s="54"/>
      <c r="N632" s="54"/>
      <c r="O632" s="54"/>
      <c r="P632" s="54"/>
      <c r="Q632" s="54"/>
      <c r="R632" s="54"/>
      <c r="S632" s="54"/>
      <c r="T632" s="54"/>
      <c r="U632" s="54"/>
      <c r="V632" s="54"/>
      <c r="W632" s="54"/>
      <c r="X632" s="54"/>
      <c r="Y632" s="54"/>
      <c r="Z632" s="54"/>
    </row>
    <row r="633">
      <c r="A633" s="54"/>
      <c r="B633" s="55"/>
      <c r="C633" s="54"/>
      <c r="D633" s="63"/>
      <c r="E633" s="54"/>
      <c r="F633" s="54"/>
      <c r="G633" s="54"/>
      <c r="H633" s="54"/>
      <c r="I633" s="54"/>
      <c r="J633" s="54"/>
      <c r="K633" s="54"/>
      <c r="L633" s="54"/>
      <c r="M633" s="54"/>
      <c r="N633" s="54"/>
      <c r="O633" s="54"/>
      <c r="P633" s="54"/>
      <c r="Q633" s="54"/>
      <c r="R633" s="54"/>
      <c r="S633" s="54"/>
      <c r="T633" s="54"/>
      <c r="U633" s="54"/>
      <c r="V633" s="54"/>
      <c r="W633" s="54"/>
      <c r="X633" s="54"/>
      <c r="Y633" s="54"/>
      <c r="Z633" s="54"/>
    </row>
    <row r="634">
      <c r="A634" s="54"/>
      <c r="B634" s="55"/>
      <c r="C634" s="54"/>
      <c r="D634" s="63"/>
      <c r="E634" s="54"/>
      <c r="F634" s="54"/>
      <c r="G634" s="54"/>
      <c r="H634" s="54"/>
      <c r="I634" s="54"/>
      <c r="J634" s="54"/>
      <c r="K634" s="54"/>
      <c r="L634" s="54"/>
      <c r="M634" s="54"/>
      <c r="N634" s="54"/>
      <c r="O634" s="54"/>
      <c r="P634" s="54"/>
      <c r="Q634" s="54"/>
      <c r="R634" s="54"/>
      <c r="S634" s="54"/>
      <c r="T634" s="54"/>
      <c r="U634" s="54"/>
      <c r="V634" s="54"/>
      <c r="W634" s="54"/>
      <c r="X634" s="54"/>
      <c r="Y634" s="54"/>
      <c r="Z634" s="54"/>
    </row>
    <row r="635">
      <c r="A635" s="54"/>
      <c r="B635" s="55"/>
      <c r="C635" s="54"/>
      <c r="D635" s="63"/>
      <c r="E635" s="54"/>
      <c r="F635" s="54"/>
      <c r="G635" s="54"/>
      <c r="H635" s="54"/>
      <c r="I635" s="54"/>
      <c r="J635" s="54"/>
      <c r="K635" s="54"/>
      <c r="L635" s="54"/>
      <c r="M635" s="54"/>
      <c r="N635" s="54"/>
      <c r="O635" s="54"/>
      <c r="P635" s="54"/>
      <c r="Q635" s="54"/>
      <c r="R635" s="54"/>
      <c r="S635" s="54"/>
      <c r="T635" s="54"/>
      <c r="U635" s="54"/>
      <c r="V635" s="54"/>
      <c r="W635" s="54"/>
      <c r="X635" s="54"/>
      <c r="Y635" s="54"/>
      <c r="Z635" s="54"/>
    </row>
    <row r="636">
      <c r="A636" s="54"/>
      <c r="B636" s="55"/>
      <c r="C636" s="54"/>
      <c r="D636" s="63"/>
      <c r="E636" s="54"/>
      <c r="F636" s="54"/>
      <c r="G636" s="54"/>
      <c r="H636" s="54"/>
      <c r="I636" s="54"/>
      <c r="J636" s="54"/>
      <c r="K636" s="54"/>
      <c r="L636" s="54"/>
      <c r="M636" s="54"/>
      <c r="N636" s="54"/>
      <c r="O636" s="54"/>
      <c r="P636" s="54"/>
      <c r="Q636" s="54"/>
      <c r="R636" s="54"/>
      <c r="S636" s="54"/>
      <c r="T636" s="54"/>
      <c r="U636" s="54"/>
      <c r="V636" s="54"/>
      <c r="W636" s="54"/>
      <c r="X636" s="54"/>
      <c r="Y636" s="54"/>
      <c r="Z636" s="54"/>
    </row>
    <row r="637">
      <c r="A637" s="54"/>
      <c r="B637" s="55"/>
      <c r="C637" s="54"/>
      <c r="D637" s="63"/>
      <c r="E637" s="54"/>
      <c r="F637" s="54"/>
      <c r="G637" s="54"/>
      <c r="H637" s="54"/>
      <c r="I637" s="54"/>
      <c r="J637" s="54"/>
      <c r="K637" s="54"/>
      <c r="L637" s="54"/>
      <c r="M637" s="54"/>
      <c r="N637" s="54"/>
      <c r="O637" s="54"/>
      <c r="P637" s="54"/>
      <c r="Q637" s="54"/>
      <c r="R637" s="54"/>
      <c r="S637" s="54"/>
      <c r="T637" s="54"/>
      <c r="U637" s="54"/>
      <c r="V637" s="54"/>
      <c r="W637" s="54"/>
      <c r="X637" s="54"/>
      <c r="Y637" s="54"/>
      <c r="Z637" s="54"/>
    </row>
    <row r="638">
      <c r="A638" s="54"/>
      <c r="B638" s="55"/>
      <c r="C638" s="54"/>
      <c r="D638" s="63"/>
      <c r="E638" s="54"/>
      <c r="F638" s="54"/>
      <c r="G638" s="54"/>
      <c r="H638" s="54"/>
      <c r="I638" s="54"/>
      <c r="J638" s="54"/>
      <c r="K638" s="54"/>
      <c r="L638" s="54"/>
      <c r="M638" s="54"/>
      <c r="N638" s="54"/>
      <c r="O638" s="54"/>
      <c r="P638" s="54"/>
      <c r="Q638" s="54"/>
      <c r="R638" s="54"/>
      <c r="S638" s="54"/>
      <c r="T638" s="54"/>
      <c r="U638" s="54"/>
      <c r="V638" s="54"/>
      <c r="W638" s="54"/>
      <c r="X638" s="54"/>
      <c r="Y638" s="54"/>
      <c r="Z638" s="54"/>
    </row>
    <row r="639">
      <c r="A639" s="54"/>
      <c r="B639" s="55"/>
      <c r="C639" s="54"/>
      <c r="D639" s="63"/>
      <c r="E639" s="54"/>
      <c r="F639" s="54"/>
      <c r="G639" s="54"/>
      <c r="H639" s="54"/>
      <c r="I639" s="54"/>
      <c r="J639" s="54"/>
      <c r="K639" s="54"/>
      <c r="L639" s="54"/>
      <c r="M639" s="54"/>
      <c r="N639" s="54"/>
      <c r="O639" s="54"/>
      <c r="P639" s="54"/>
      <c r="Q639" s="54"/>
      <c r="R639" s="54"/>
      <c r="S639" s="54"/>
      <c r="T639" s="54"/>
      <c r="U639" s="54"/>
      <c r="V639" s="54"/>
      <c r="W639" s="54"/>
      <c r="X639" s="54"/>
      <c r="Y639" s="54"/>
      <c r="Z639" s="54"/>
    </row>
    <row r="640">
      <c r="A640" s="54"/>
      <c r="B640" s="55"/>
      <c r="C640" s="54"/>
      <c r="D640" s="63"/>
      <c r="E640" s="54"/>
      <c r="F640" s="54"/>
      <c r="G640" s="54"/>
      <c r="H640" s="54"/>
      <c r="I640" s="54"/>
      <c r="J640" s="54"/>
      <c r="K640" s="54"/>
      <c r="L640" s="54"/>
      <c r="M640" s="54"/>
      <c r="N640" s="54"/>
      <c r="O640" s="54"/>
      <c r="P640" s="54"/>
      <c r="Q640" s="54"/>
      <c r="R640" s="54"/>
      <c r="S640" s="54"/>
      <c r="T640" s="54"/>
      <c r="U640" s="54"/>
      <c r="V640" s="54"/>
      <c r="W640" s="54"/>
      <c r="X640" s="54"/>
      <c r="Y640" s="54"/>
      <c r="Z640" s="54"/>
    </row>
    <row r="641">
      <c r="A641" s="54"/>
      <c r="B641" s="55"/>
      <c r="C641" s="54"/>
      <c r="D641" s="63"/>
      <c r="E641" s="54"/>
      <c r="F641" s="54"/>
      <c r="G641" s="54"/>
      <c r="H641" s="54"/>
      <c r="I641" s="54"/>
      <c r="J641" s="54"/>
      <c r="K641" s="54"/>
      <c r="L641" s="54"/>
      <c r="M641" s="54"/>
      <c r="N641" s="54"/>
      <c r="O641" s="54"/>
      <c r="P641" s="54"/>
      <c r="Q641" s="54"/>
      <c r="R641" s="54"/>
      <c r="S641" s="54"/>
      <c r="T641" s="54"/>
      <c r="U641" s="54"/>
      <c r="V641" s="54"/>
      <c r="W641" s="54"/>
      <c r="X641" s="54"/>
      <c r="Y641" s="54"/>
      <c r="Z641" s="54"/>
    </row>
    <row r="642">
      <c r="A642" s="54"/>
      <c r="B642" s="55"/>
      <c r="C642" s="54"/>
      <c r="D642" s="63"/>
      <c r="E642" s="54"/>
      <c r="F642" s="54"/>
      <c r="G642" s="54"/>
      <c r="H642" s="54"/>
      <c r="I642" s="54"/>
      <c r="J642" s="54"/>
      <c r="K642" s="54"/>
      <c r="L642" s="54"/>
      <c r="M642" s="54"/>
      <c r="N642" s="54"/>
      <c r="O642" s="54"/>
      <c r="P642" s="54"/>
      <c r="Q642" s="54"/>
      <c r="R642" s="54"/>
      <c r="S642" s="54"/>
      <c r="T642" s="54"/>
      <c r="U642" s="54"/>
      <c r="V642" s="54"/>
      <c r="W642" s="54"/>
      <c r="X642" s="54"/>
      <c r="Y642" s="54"/>
      <c r="Z642" s="54"/>
    </row>
    <row r="643">
      <c r="A643" s="54"/>
      <c r="B643" s="55"/>
      <c r="C643" s="54"/>
      <c r="D643" s="63"/>
      <c r="E643" s="54"/>
      <c r="F643" s="54"/>
      <c r="G643" s="54"/>
      <c r="H643" s="54"/>
      <c r="I643" s="54"/>
      <c r="J643" s="54"/>
      <c r="K643" s="54"/>
      <c r="L643" s="54"/>
      <c r="M643" s="54"/>
      <c r="N643" s="54"/>
      <c r="O643" s="54"/>
      <c r="P643" s="54"/>
      <c r="Q643" s="54"/>
      <c r="R643" s="54"/>
      <c r="S643" s="54"/>
      <c r="T643" s="54"/>
      <c r="U643" s="54"/>
      <c r="V643" s="54"/>
      <c r="W643" s="54"/>
      <c r="X643" s="54"/>
      <c r="Y643" s="54"/>
      <c r="Z643" s="54"/>
    </row>
    <row r="644">
      <c r="A644" s="54"/>
      <c r="B644" s="55"/>
      <c r="C644" s="54"/>
      <c r="D644" s="63"/>
      <c r="E644" s="54"/>
      <c r="F644" s="54"/>
      <c r="G644" s="54"/>
      <c r="H644" s="54"/>
      <c r="I644" s="54"/>
      <c r="J644" s="54"/>
      <c r="K644" s="54"/>
      <c r="L644" s="54"/>
      <c r="M644" s="54"/>
      <c r="N644" s="54"/>
      <c r="O644" s="54"/>
      <c r="P644" s="54"/>
      <c r="Q644" s="54"/>
      <c r="R644" s="54"/>
      <c r="S644" s="54"/>
      <c r="T644" s="54"/>
      <c r="U644" s="54"/>
      <c r="V644" s="54"/>
      <c r="W644" s="54"/>
      <c r="X644" s="54"/>
      <c r="Y644" s="54"/>
      <c r="Z644" s="54"/>
    </row>
    <row r="645">
      <c r="A645" s="54"/>
      <c r="B645" s="55"/>
      <c r="C645" s="54"/>
      <c r="D645" s="63"/>
      <c r="E645" s="54"/>
      <c r="F645" s="54"/>
      <c r="G645" s="54"/>
      <c r="H645" s="54"/>
      <c r="I645" s="54"/>
      <c r="J645" s="54"/>
      <c r="K645" s="54"/>
      <c r="L645" s="54"/>
      <c r="M645" s="54"/>
      <c r="N645" s="54"/>
      <c r="O645" s="54"/>
      <c r="P645" s="54"/>
      <c r="Q645" s="54"/>
      <c r="R645" s="54"/>
      <c r="S645" s="54"/>
      <c r="T645" s="54"/>
      <c r="U645" s="54"/>
      <c r="V645" s="54"/>
      <c r="W645" s="54"/>
      <c r="X645" s="54"/>
      <c r="Y645" s="54"/>
      <c r="Z645" s="54"/>
    </row>
    <row r="646">
      <c r="A646" s="54"/>
      <c r="B646" s="55"/>
      <c r="C646" s="54"/>
      <c r="D646" s="63"/>
      <c r="E646" s="54"/>
      <c r="F646" s="54"/>
      <c r="G646" s="54"/>
      <c r="H646" s="54"/>
      <c r="I646" s="54"/>
      <c r="J646" s="54"/>
      <c r="K646" s="54"/>
      <c r="L646" s="54"/>
      <c r="M646" s="54"/>
      <c r="N646" s="54"/>
      <c r="O646" s="54"/>
      <c r="P646" s="54"/>
      <c r="Q646" s="54"/>
      <c r="R646" s="54"/>
      <c r="S646" s="54"/>
      <c r="T646" s="54"/>
      <c r="U646" s="54"/>
      <c r="V646" s="54"/>
      <c r="W646" s="54"/>
      <c r="X646" s="54"/>
      <c r="Y646" s="54"/>
      <c r="Z646" s="54"/>
    </row>
    <row r="647">
      <c r="A647" s="54"/>
      <c r="B647" s="55"/>
      <c r="C647" s="54"/>
      <c r="D647" s="63"/>
      <c r="E647" s="54"/>
      <c r="F647" s="54"/>
      <c r="G647" s="54"/>
      <c r="H647" s="54"/>
      <c r="I647" s="54"/>
      <c r="J647" s="54"/>
      <c r="K647" s="54"/>
      <c r="L647" s="54"/>
      <c r="M647" s="54"/>
      <c r="N647" s="54"/>
      <c r="O647" s="54"/>
      <c r="P647" s="54"/>
      <c r="Q647" s="54"/>
      <c r="R647" s="54"/>
      <c r="S647" s="54"/>
      <c r="T647" s="54"/>
      <c r="U647" s="54"/>
      <c r="V647" s="54"/>
      <c r="W647" s="54"/>
      <c r="X647" s="54"/>
      <c r="Y647" s="54"/>
      <c r="Z647" s="54"/>
    </row>
    <row r="648">
      <c r="A648" s="54"/>
      <c r="B648" s="55"/>
      <c r="C648" s="54"/>
      <c r="D648" s="63"/>
      <c r="E648" s="54"/>
      <c r="F648" s="54"/>
      <c r="G648" s="54"/>
      <c r="H648" s="54"/>
      <c r="I648" s="54"/>
      <c r="J648" s="54"/>
      <c r="K648" s="54"/>
      <c r="L648" s="54"/>
      <c r="M648" s="54"/>
      <c r="N648" s="54"/>
      <c r="O648" s="54"/>
      <c r="P648" s="54"/>
      <c r="Q648" s="54"/>
      <c r="R648" s="54"/>
      <c r="S648" s="54"/>
      <c r="T648" s="54"/>
      <c r="U648" s="54"/>
      <c r="V648" s="54"/>
      <c r="W648" s="54"/>
      <c r="X648" s="54"/>
      <c r="Y648" s="54"/>
      <c r="Z648" s="54"/>
    </row>
    <row r="649">
      <c r="A649" s="54"/>
      <c r="B649" s="55"/>
      <c r="C649" s="54"/>
      <c r="D649" s="63"/>
      <c r="E649" s="54"/>
      <c r="F649" s="54"/>
      <c r="G649" s="54"/>
      <c r="H649" s="54"/>
      <c r="I649" s="54"/>
      <c r="J649" s="54"/>
      <c r="K649" s="54"/>
      <c r="L649" s="54"/>
      <c r="M649" s="54"/>
      <c r="N649" s="54"/>
      <c r="O649" s="54"/>
      <c r="P649" s="54"/>
      <c r="Q649" s="54"/>
      <c r="R649" s="54"/>
      <c r="S649" s="54"/>
      <c r="T649" s="54"/>
      <c r="U649" s="54"/>
      <c r="V649" s="54"/>
      <c r="W649" s="54"/>
      <c r="X649" s="54"/>
      <c r="Y649" s="54"/>
      <c r="Z649" s="54"/>
    </row>
    <row r="650">
      <c r="A650" s="54"/>
      <c r="B650" s="55"/>
      <c r="C650" s="54"/>
      <c r="D650" s="63"/>
      <c r="E650" s="54"/>
      <c r="F650" s="54"/>
      <c r="G650" s="54"/>
      <c r="H650" s="54"/>
      <c r="I650" s="54"/>
      <c r="J650" s="54"/>
      <c r="K650" s="54"/>
      <c r="L650" s="54"/>
      <c r="M650" s="54"/>
      <c r="N650" s="54"/>
      <c r="O650" s="54"/>
      <c r="P650" s="54"/>
      <c r="Q650" s="54"/>
      <c r="R650" s="54"/>
      <c r="S650" s="54"/>
      <c r="T650" s="54"/>
      <c r="U650" s="54"/>
      <c r="V650" s="54"/>
      <c r="W650" s="54"/>
      <c r="X650" s="54"/>
      <c r="Y650" s="54"/>
      <c r="Z650" s="54"/>
    </row>
    <row r="651">
      <c r="A651" s="54"/>
      <c r="B651" s="55"/>
      <c r="C651" s="54"/>
      <c r="D651" s="63"/>
      <c r="E651" s="54"/>
      <c r="F651" s="54"/>
      <c r="G651" s="54"/>
      <c r="H651" s="54"/>
      <c r="I651" s="54"/>
      <c r="J651" s="54"/>
      <c r="K651" s="54"/>
      <c r="L651" s="54"/>
      <c r="M651" s="54"/>
      <c r="N651" s="54"/>
      <c r="O651" s="54"/>
      <c r="P651" s="54"/>
      <c r="Q651" s="54"/>
      <c r="R651" s="54"/>
      <c r="S651" s="54"/>
      <c r="T651" s="54"/>
      <c r="U651" s="54"/>
      <c r="V651" s="54"/>
      <c r="W651" s="54"/>
      <c r="X651" s="54"/>
      <c r="Y651" s="54"/>
      <c r="Z651" s="54"/>
    </row>
    <row r="652">
      <c r="A652" s="54"/>
      <c r="B652" s="55"/>
      <c r="C652" s="54"/>
      <c r="D652" s="63"/>
      <c r="E652" s="54"/>
      <c r="F652" s="54"/>
      <c r="G652" s="54"/>
      <c r="H652" s="54"/>
      <c r="I652" s="54"/>
      <c r="J652" s="54"/>
      <c r="K652" s="54"/>
      <c r="L652" s="54"/>
      <c r="M652" s="54"/>
      <c r="N652" s="54"/>
      <c r="O652" s="54"/>
      <c r="P652" s="54"/>
      <c r="Q652" s="54"/>
      <c r="R652" s="54"/>
      <c r="S652" s="54"/>
      <c r="T652" s="54"/>
      <c r="U652" s="54"/>
      <c r="V652" s="54"/>
      <c r="W652" s="54"/>
      <c r="X652" s="54"/>
      <c r="Y652" s="54"/>
      <c r="Z652" s="54"/>
    </row>
    <row r="653">
      <c r="A653" s="54"/>
      <c r="B653" s="55"/>
      <c r="C653" s="54"/>
      <c r="D653" s="63"/>
      <c r="E653" s="54"/>
      <c r="F653" s="54"/>
      <c r="G653" s="54"/>
      <c r="H653" s="54"/>
      <c r="I653" s="54"/>
      <c r="J653" s="54"/>
      <c r="K653" s="54"/>
      <c r="L653" s="54"/>
      <c r="M653" s="54"/>
      <c r="N653" s="54"/>
      <c r="O653" s="54"/>
      <c r="P653" s="54"/>
      <c r="Q653" s="54"/>
      <c r="R653" s="54"/>
      <c r="S653" s="54"/>
      <c r="T653" s="54"/>
      <c r="U653" s="54"/>
      <c r="V653" s="54"/>
      <c r="W653" s="54"/>
      <c r="X653" s="54"/>
      <c r="Y653" s="54"/>
      <c r="Z653" s="54"/>
    </row>
    <row r="654">
      <c r="A654" s="54"/>
      <c r="B654" s="55"/>
      <c r="C654" s="54"/>
      <c r="D654" s="63"/>
      <c r="E654" s="54"/>
      <c r="F654" s="54"/>
      <c r="G654" s="54"/>
      <c r="H654" s="54"/>
      <c r="I654" s="54"/>
      <c r="J654" s="54"/>
      <c r="K654" s="54"/>
      <c r="L654" s="54"/>
      <c r="M654" s="54"/>
      <c r="N654" s="54"/>
      <c r="O654" s="54"/>
      <c r="P654" s="54"/>
      <c r="Q654" s="54"/>
      <c r="R654" s="54"/>
      <c r="S654" s="54"/>
      <c r="T654" s="54"/>
      <c r="U654" s="54"/>
      <c r="V654" s="54"/>
      <c r="W654" s="54"/>
      <c r="X654" s="54"/>
      <c r="Y654" s="54"/>
      <c r="Z654" s="54"/>
    </row>
    <row r="655">
      <c r="A655" s="54"/>
      <c r="B655" s="55"/>
      <c r="C655" s="54"/>
      <c r="D655" s="63"/>
      <c r="E655" s="54"/>
      <c r="F655" s="54"/>
      <c r="G655" s="54"/>
      <c r="H655" s="54"/>
      <c r="I655" s="54"/>
      <c r="J655" s="54"/>
      <c r="K655" s="54"/>
      <c r="L655" s="54"/>
      <c r="M655" s="54"/>
      <c r="N655" s="54"/>
      <c r="O655" s="54"/>
      <c r="P655" s="54"/>
      <c r="Q655" s="54"/>
      <c r="R655" s="54"/>
      <c r="S655" s="54"/>
      <c r="T655" s="54"/>
      <c r="U655" s="54"/>
      <c r="V655" s="54"/>
      <c r="W655" s="54"/>
      <c r="X655" s="54"/>
      <c r="Y655" s="54"/>
      <c r="Z655" s="54"/>
    </row>
    <row r="656">
      <c r="A656" s="54"/>
      <c r="B656" s="55"/>
      <c r="C656" s="54"/>
      <c r="D656" s="63"/>
      <c r="E656" s="54"/>
      <c r="F656" s="54"/>
      <c r="G656" s="54"/>
      <c r="H656" s="54"/>
      <c r="I656" s="54"/>
      <c r="J656" s="54"/>
      <c r="K656" s="54"/>
      <c r="L656" s="54"/>
      <c r="M656" s="54"/>
      <c r="N656" s="54"/>
      <c r="O656" s="54"/>
      <c r="P656" s="54"/>
      <c r="Q656" s="54"/>
      <c r="R656" s="54"/>
      <c r="S656" s="54"/>
      <c r="T656" s="54"/>
      <c r="U656" s="54"/>
      <c r="V656" s="54"/>
      <c r="W656" s="54"/>
      <c r="X656" s="54"/>
      <c r="Y656" s="54"/>
      <c r="Z656" s="54"/>
    </row>
    <row r="657">
      <c r="A657" s="54"/>
      <c r="B657" s="55"/>
      <c r="C657" s="54"/>
      <c r="D657" s="63"/>
      <c r="E657" s="54"/>
      <c r="F657" s="54"/>
      <c r="G657" s="54"/>
      <c r="H657" s="54"/>
      <c r="I657" s="54"/>
      <c r="J657" s="54"/>
      <c r="K657" s="54"/>
      <c r="L657" s="54"/>
      <c r="M657" s="54"/>
      <c r="N657" s="54"/>
      <c r="O657" s="54"/>
      <c r="P657" s="54"/>
      <c r="Q657" s="54"/>
      <c r="R657" s="54"/>
      <c r="S657" s="54"/>
      <c r="T657" s="54"/>
      <c r="U657" s="54"/>
      <c r="V657" s="54"/>
      <c r="W657" s="54"/>
      <c r="X657" s="54"/>
      <c r="Y657" s="54"/>
      <c r="Z657" s="54"/>
    </row>
    <row r="658">
      <c r="A658" s="54"/>
      <c r="B658" s="55"/>
      <c r="C658" s="54"/>
      <c r="D658" s="63"/>
      <c r="E658" s="54"/>
      <c r="F658" s="54"/>
      <c r="G658" s="54"/>
      <c r="H658" s="54"/>
      <c r="I658" s="54"/>
      <c r="J658" s="54"/>
      <c r="K658" s="54"/>
      <c r="L658" s="54"/>
      <c r="M658" s="54"/>
      <c r="N658" s="54"/>
      <c r="O658" s="54"/>
      <c r="P658" s="54"/>
      <c r="Q658" s="54"/>
      <c r="R658" s="54"/>
      <c r="S658" s="54"/>
      <c r="T658" s="54"/>
      <c r="U658" s="54"/>
      <c r="V658" s="54"/>
      <c r="W658" s="54"/>
      <c r="X658" s="54"/>
      <c r="Y658" s="54"/>
      <c r="Z658" s="54"/>
    </row>
    <row r="659">
      <c r="A659" s="54"/>
      <c r="B659" s="55"/>
      <c r="C659" s="54"/>
      <c r="D659" s="63"/>
      <c r="E659" s="54"/>
      <c r="F659" s="54"/>
      <c r="G659" s="54"/>
      <c r="H659" s="54"/>
      <c r="I659" s="54"/>
      <c r="J659" s="54"/>
      <c r="K659" s="54"/>
      <c r="L659" s="54"/>
      <c r="M659" s="54"/>
      <c r="N659" s="54"/>
      <c r="O659" s="54"/>
      <c r="P659" s="54"/>
      <c r="Q659" s="54"/>
      <c r="R659" s="54"/>
      <c r="S659" s="54"/>
      <c r="T659" s="54"/>
      <c r="U659" s="54"/>
      <c r="V659" s="54"/>
      <c r="W659" s="54"/>
      <c r="X659" s="54"/>
      <c r="Y659" s="54"/>
      <c r="Z659" s="54"/>
    </row>
    <row r="660">
      <c r="A660" s="54"/>
      <c r="B660" s="55"/>
      <c r="C660" s="54"/>
      <c r="D660" s="63"/>
      <c r="E660" s="54"/>
      <c r="F660" s="54"/>
      <c r="G660" s="54"/>
      <c r="H660" s="54"/>
      <c r="I660" s="54"/>
      <c r="J660" s="54"/>
      <c r="K660" s="54"/>
      <c r="L660" s="54"/>
      <c r="M660" s="54"/>
      <c r="N660" s="54"/>
      <c r="O660" s="54"/>
      <c r="P660" s="54"/>
      <c r="Q660" s="54"/>
      <c r="R660" s="54"/>
      <c r="S660" s="54"/>
      <c r="T660" s="54"/>
      <c r="U660" s="54"/>
      <c r="V660" s="54"/>
      <c r="W660" s="54"/>
      <c r="X660" s="54"/>
      <c r="Y660" s="54"/>
      <c r="Z660" s="54"/>
    </row>
    <row r="661">
      <c r="A661" s="54"/>
      <c r="B661" s="55"/>
      <c r="C661" s="54"/>
      <c r="D661" s="63"/>
      <c r="E661" s="54"/>
      <c r="F661" s="54"/>
      <c r="G661" s="54"/>
      <c r="H661" s="54"/>
      <c r="I661" s="54"/>
      <c r="J661" s="54"/>
      <c r="K661" s="54"/>
      <c r="L661" s="54"/>
      <c r="M661" s="54"/>
      <c r="N661" s="54"/>
      <c r="O661" s="54"/>
      <c r="P661" s="54"/>
      <c r="Q661" s="54"/>
      <c r="R661" s="54"/>
      <c r="S661" s="54"/>
      <c r="T661" s="54"/>
      <c r="U661" s="54"/>
      <c r="V661" s="54"/>
      <c r="W661" s="54"/>
      <c r="X661" s="54"/>
      <c r="Y661" s="54"/>
      <c r="Z661" s="54"/>
    </row>
    <row r="662">
      <c r="A662" s="54"/>
      <c r="B662" s="55"/>
      <c r="C662" s="54"/>
      <c r="D662" s="63"/>
      <c r="E662" s="54"/>
      <c r="F662" s="54"/>
      <c r="G662" s="54"/>
      <c r="H662" s="54"/>
      <c r="I662" s="54"/>
      <c r="J662" s="54"/>
      <c r="K662" s="54"/>
      <c r="L662" s="54"/>
      <c r="M662" s="54"/>
      <c r="N662" s="54"/>
      <c r="O662" s="54"/>
      <c r="P662" s="54"/>
      <c r="Q662" s="54"/>
      <c r="R662" s="54"/>
      <c r="S662" s="54"/>
      <c r="T662" s="54"/>
      <c r="U662" s="54"/>
      <c r="V662" s="54"/>
      <c r="W662" s="54"/>
      <c r="X662" s="54"/>
      <c r="Y662" s="54"/>
      <c r="Z662" s="54"/>
    </row>
    <row r="663">
      <c r="A663" s="54"/>
      <c r="B663" s="55"/>
      <c r="C663" s="54"/>
      <c r="D663" s="63"/>
      <c r="E663" s="54"/>
      <c r="F663" s="54"/>
      <c r="G663" s="54"/>
      <c r="H663" s="54"/>
      <c r="I663" s="54"/>
      <c r="J663" s="54"/>
      <c r="K663" s="54"/>
      <c r="L663" s="54"/>
      <c r="M663" s="54"/>
      <c r="N663" s="54"/>
      <c r="O663" s="54"/>
      <c r="P663" s="54"/>
      <c r="Q663" s="54"/>
      <c r="R663" s="54"/>
      <c r="S663" s="54"/>
      <c r="T663" s="54"/>
      <c r="U663" s="54"/>
      <c r="V663" s="54"/>
      <c r="W663" s="54"/>
      <c r="X663" s="54"/>
      <c r="Y663" s="54"/>
      <c r="Z663" s="54"/>
    </row>
    <row r="664">
      <c r="A664" s="54"/>
      <c r="B664" s="55"/>
      <c r="C664" s="54"/>
      <c r="D664" s="63"/>
      <c r="E664" s="54"/>
      <c r="F664" s="54"/>
      <c r="G664" s="54"/>
      <c r="H664" s="54"/>
      <c r="I664" s="54"/>
      <c r="J664" s="54"/>
      <c r="K664" s="54"/>
      <c r="L664" s="54"/>
      <c r="M664" s="54"/>
      <c r="N664" s="54"/>
      <c r="O664" s="54"/>
      <c r="P664" s="54"/>
      <c r="Q664" s="54"/>
      <c r="R664" s="54"/>
      <c r="S664" s="54"/>
      <c r="T664" s="54"/>
      <c r="U664" s="54"/>
      <c r="V664" s="54"/>
      <c r="W664" s="54"/>
      <c r="X664" s="54"/>
      <c r="Y664" s="54"/>
      <c r="Z664" s="54"/>
    </row>
    <row r="665">
      <c r="A665" s="54"/>
      <c r="B665" s="55"/>
      <c r="C665" s="54"/>
      <c r="D665" s="63"/>
      <c r="E665" s="54"/>
      <c r="F665" s="54"/>
      <c r="G665" s="54"/>
      <c r="H665" s="54"/>
      <c r="I665" s="54"/>
      <c r="J665" s="54"/>
      <c r="K665" s="54"/>
      <c r="L665" s="54"/>
      <c r="M665" s="54"/>
      <c r="N665" s="54"/>
      <c r="O665" s="54"/>
      <c r="P665" s="54"/>
      <c r="Q665" s="54"/>
      <c r="R665" s="54"/>
      <c r="S665" s="54"/>
      <c r="T665" s="54"/>
      <c r="U665" s="54"/>
      <c r="V665" s="54"/>
      <c r="W665" s="54"/>
      <c r="X665" s="54"/>
      <c r="Y665" s="54"/>
      <c r="Z665" s="54"/>
    </row>
    <row r="666">
      <c r="A666" s="54"/>
      <c r="B666" s="55"/>
      <c r="C666" s="54"/>
      <c r="D666" s="63"/>
      <c r="E666" s="54"/>
      <c r="F666" s="54"/>
      <c r="G666" s="54"/>
      <c r="H666" s="54"/>
      <c r="I666" s="54"/>
      <c r="J666" s="54"/>
      <c r="K666" s="54"/>
      <c r="L666" s="54"/>
      <c r="M666" s="54"/>
      <c r="N666" s="54"/>
      <c r="O666" s="54"/>
      <c r="P666" s="54"/>
      <c r="Q666" s="54"/>
      <c r="R666" s="54"/>
      <c r="S666" s="54"/>
      <c r="T666" s="54"/>
      <c r="U666" s="54"/>
      <c r="V666" s="54"/>
      <c r="W666" s="54"/>
      <c r="X666" s="54"/>
      <c r="Y666" s="54"/>
      <c r="Z666" s="54"/>
    </row>
    <row r="667">
      <c r="A667" s="54"/>
      <c r="B667" s="55"/>
      <c r="C667" s="54"/>
      <c r="D667" s="63"/>
      <c r="E667" s="54"/>
      <c r="F667" s="54"/>
      <c r="G667" s="54"/>
      <c r="H667" s="54"/>
      <c r="I667" s="54"/>
      <c r="J667" s="54"/>
      <c r="K667" s="54"/>
      <c r="L667" s="54"/>
      <c r="M667" s="54"/>
      <c r="N667" s="54"/>
      <c r="O667" s="54"/>
      <c r="P667" s="54"/>
      <c r="Q667" s="54"/>
      <c r="R667" s="54"/>
      <c r="S667" s="54"/>
      <c r="T667" s="54"/>
      <c r="U667" s="54"/>
      <c r="V667" s="54"/>
      <c r="W667" s="54"/>
      <c r="X667" s="54"/>
      <c r="Y667" s="54"/>
      <c r="Z667" s="54"/>
    </row>
    <row r="668">
      <c r="A668" s="54"/>
      <c r="B668" s="55"/>
      <c r="C668" s="54"/>
      <c r="D668" s="63"/>
      <c r="E668" s="54"/>
      <c r="F668" s="54"/>
      <c r="G668" s="54"/>
      <c r="H668" s="54"/>
      <c r="I668" s="54"/>
      <c r="J668" s="54"/>
      <c r="K668" s="54"/>
      <c r="L668" s="54"/>
      <c r="M668" s="54"/>
      <c r="N668" s="54"/>
      <c r="O668" s="54"/>
      <c r="P668" s="54"/>
      <c r="Q668" s="54"/>
      <c r="R668" s="54"/>
      <c r="S668" s="54"/>
      <c r="T668" s="54"/>
      <c r="U668" s="54"/>
      <c r="V668" s="54"/>
      <c r="W668" s="54"/>
      <c r="X668" s="54"/>
      <c r="Y668" s="54"/>
      <c r="Z668" s="54"/>
    </row>
    <row r="669">
      <c r="A669" s="54"/>
      <c r="B669" s="55"/>
      <c r="C669" s="54"/>
      <c r="D669" s="63"/>
      <c r="E669" s="54"/>
      <c r="F669" s="54"/>
      <c r="G669" s="54"/>
      <c r="H669" s="54"/>
      <c r="I669" s="54"/>
      <c r="J669" s="54"/>
      <c r="K669" s="54"/>
      <c r="L669" s="54"/>
      <c r="M669" s="54"/>
      <c r="N669" s="54"/>
      <c r="O669" s="54"/>
      <c r="P669" s="54"/>
      <c r="Q669" s="54"/>
      <c r="R669" s="54"/>
      <c r="S669" s="54"/>
      <c r="T669" s="54"/>
      <c r="U669" s="54"/>
      <c r="V669" s="54"/>
      <c r="W669" s="54"/>
      <c r="X669" s="54"/>
      <c r="Y669" s="54"/>
      <c r="Z669" s="54"/>
    </row>
    <row r="670">
      <c r="A670" s="54"/>
      <c r="B670" s="55"/>
      <c r="C670" s="54"/>
      <c r="D670" s="63"/>
      <c r="E670" s="54"/>
      <c r="F670" s="54"/>
      <c r="G670" s="54"/>
      <c r="H670" s="54"/>
      <c r="I670" s="54"/>
      <c r="J670" s="54"/>
      <c r="K670" s="54"/>
      <c r="L670" s="54"/>
      <c r="M670" s="54"/>
      <c r="N670" s="54"/>
      <c r="O670" s="54"/>
      <c r="P670" s="54"/>
      <c r="Q670" s="54"/>
      <c r="R670" s="54"/>
      <c r="S670" s="54"/>
      <c r="T670" s="54"/>
      <c r="U670" s="54"/>
      <c r="V670" s="54"/>
      <c r="W670" s="54"/>
      <c r="X670" s="54"/>
      <c r="Y670" s="54"/>
      <c r="Z670" s="54"/>
    </row>
    <row r="671">
      <c r="A671" s="54"/>
      <c r="B671" s="55"/>
      <c r="C671" s="54"/>
      <c r="D671" s="63"/>
      <c r="E671" s="54"/>
      <c r="F671" s="54"/>
      <c r="G671" s="54"/>
      <c r="H671" s="54"/>
      <c r="I671" s="54"/>
      <c r="J671" s="54"/>
      <c r="K671" s="54"/>
      <c r="L671" s="54"/>
      <c r="M671" s="54"/>
      <c r="N671" s="54"/>
      <c r="O671" s="54"/>
      <c r="P671" s="54"/>
      <c r="Q671" s="54"/>
      <c r="R671" s="54"/>
      <c r="S671" s="54"/>
      <c r="T671" s="54"/>
      <c r="U671" s="54"/>
      <c r="V671" s="54"/>
      <c r="W671" s="54"/>
      <c r="X671" s="54"/>
      <c r="Y671" s="54"/>
      <c r="Z671" s="54"/>
    </row>
    <row r="672">
      <c r="A672" s="54"/>
      <c r="B672" s="55"/>
      <c r="C672" s="54"/>
      <c r="D672" s="63"/>
      <c r="E672" s="54"/>
      <c r="F672" s="54"/>
      <c r="G672" s="54"/>
      <c r="H672" s="54"/>
      <c r="I672" s="54"/>
      <c r="J672" s="54"/>
      <c r="K672" s="54"/>
      <c r="L672" s="54"/>
      <c r="M672" s="54"/>
      <c r="N672" s="54"/>
      <c r="O672" s="54"/>
      <c r="P672" s="54"/>
      <c r="Q672" s="54"/>
      <c r="R672" s="54"/>
      <c r="S672" s="54"/>
      <c r="T672" s="54"/>
      <c r="U672" s="54"/>
      <c r="V672" s="54"/>
      <c r="W672" s="54"/>
      <c r="X672" s="54"/>
      <c r="Y672" s="54"/>
      <c r="Z672" s="54"/>
    </row>
    <row r="673">
      <c r="A673" s="54"/>
      <c r="B673" s="55"/>
      <c r="C673" s="54"/>
      <c r="D673" s="63"/>
      <c r="E673" s="54"/>
      <c r="F673" s="54"/>
      <c r="G673" s="54"/>
      <c r="H673" s="54"/>
      <c r="I673" s="54"/>
      <c r="J673" s="54"/>
      <c r="K673" s="54"/>
      <c r="L673" s="54"/>
      <c r="M673" s="54"/>
      <c r="N673" s="54"/>
      <c r="O673" s="54"/>
      <c r="P673" s="54"/>
      <c r="Q673" s="54"/>
      <c r="R673" s="54"/>
      <c r="S673" s="54"/>
      <c r="T673" s="54"/>
      <c r="U673" s="54"/>
      <c r="V673" s="54"/>
      <c r="W673" s="54"/>
      <c r="X673" s="54"/>
      <c r="Y673" s="54"/>
      <c r="Z673" s="54"/>
    </row>
    <row r="674">
      <c r="A674" s="54"/>
      <c r="B674" s="55"/>
      <c r="C674" s="54"/>
      <c r="D674" s="63"/>
      <c r="E674" s="54"/>
      <c r="F674" s="54"/>
      <c r="G674" s="54"/>
      <c r="H674" s="54"/>
      <c r="I674" s="54"/>
      <c r="J674" s="54"/>
      <c r="K674" s="54"/>
      <c r="L674" s="54"/>
      <c r="M674" s="54"/>
      <c r="N674" s="54"/>
      <c r="O674" s="54"/>
      <c r="P674" s="54"/>
      <c r="Q674" s="54"/>
      <c r="R674" s="54"/>
      <c r="S674" s="54"/>
      <c r="T674" s="54"/>
      <c r="U674" s="54"/>
      <c r="V674" s="54"/>
      <c r="W674" s="54"/>
      <c r="X674" s="54"/>
      <c r="Y674" s="54"/>
      <c r="Z674" s="54"/>
    </row>
    <row r="675">
      <c r="A675" s="54"/>
      <c r="B675" s="55"/>
      <c r="C675" s="54"/>
      <c r="D675" s="63"/>
      <c r="E675" s="54"/>
      <c r="F675" s="54"/>
      <c r="G675" s="54"/>
      <c r="H675" s="54"/>
      <c r="I675" s="54"/>
      <c r="J675" s="54"/>
      <c r="K675" s="54"/>
      <c r="L675" s="54"/>
      <c r="M675" s="54"/>
      <c r="N675" s="54"/>
      <c r="O675" s="54"/>
      <c r="P675" s="54"/>
      <c r="Q675" s="54"/>
      <c r="R675" s="54"/>
      <c r="S675" s="54"/>
      <c r="T675" s="54"/>
      <c r="U675" s="54"/>
      <c r="V675" s="54"/>
      <c r="W675" s="54"/>
      <c r="X675" s="54"/>
      <c r="Y675" s="54"/>
      <c r="Z675" s="54"/>
    </row>
    <row r="676">
      <c r="A676" s="54"/>
      <c r="B676" s="55"/>
      <c r="C676" s="54"/>
      <c r="D676" s="63"/>
      <c r="E676" s="54"/>
      <c r="F676" s="54"/>
      <c r="G676" s="54"/>
      <c r="H676" s="54"/>
      <c r="I676" s="54"/>
      <c r="J676" s="54"/>
      <c r="K676" s="54"/>
      <c r="L676" s="54"/>
      <c r="M676" s="54"/>
      <c r="N676" s="54"/>
      <c r="O676" s="54"/>
      <c r="P676" s="54"/>
      <c r="Q676" s="54"/>
      <c r="R676" s="54"/>
      <c r="S676" s="54"/>
      <c r="T676" s="54"/>
      <c r="U676" s="54"/>
      <c r="V676" s="54"/>
      <c r="W676" s="54"/>
      <c r="X676" s="54"/>
      <c r="Y676" s="54"/>
      <c r="Z676" s="54"/>
    </row>
    <row r="677">
      <c r="A677" s="54"/>
      <c r="B677" s="55"/>
      <c r="C677" s="54"/>
      <c r="D677" s="63"/>
      <c r="E677" s="54"/>
      <c r="F677" s="54"/>
      <c r="G677" s="54"/>
      <c r="H677" s="54"/>
      <c r="I677" s="54"/>
      <c r="J677" s="54"/>
      <c r="K677" s="54"/>
      <c r="L677" s="54"/>
      <c r="M677" s="54"/>
      <c r="N677" s="54"/>
      <c r="O677" s="54"/>
      <c r="P677" s="54"/>
      <c r="Q677" s="54"/>
      <c r="R677" s="54"/>
      <c r="S677" s="54"/>
      <c r="T677" s="54"/>
      <c r="U677" s="54"/>
      <c r="V677" s="54"/>
      <c r="W677" s="54"/>
      <c r="X677" s="54"/>
      <c r="Y677" s="54"/>
      <c r="Z677" s="54"/>
    </row>
    <row r="678">
      <c r="A678" s="54"/>
      <c r="B678" s="55"/>
      <c r="C678" s="54"/>
      <c r="D678" s="63"/>
      <c r="E678" s="54"/>
      <c r="F678" s="54"/>
      <c r="G678" s="54"/>
      <c r="H678" s="54"/>
      <c r="I678" s="54"/>
      <c r="J678" s="54"/>
      <c r="K678" s="54"/>
      <c r="L678" s="54"/>
      <c r="M678" s="54"/>
      <c r="N678" s="54"/>
      <c r="O678" s="54"/>
      <c r="P678" s="54"/>
      <c r="Q678" s="54"/>
      <c r="R678" s="54"/>
      <c r="S678" s="54"/>
      <c r="T678" s="54"/>
      <c r="U678" s="54"/>
      <c r="V678" s="54"/>
      <c r="W678" s="54"/>
      <c r="X678" s="54"/>
      <c r="Y678" s="54"/>
      <c r="Z678" s="54"/>
    </row>
    <row r="679">
      <c r="A679" s="54"/>
      <c r="B679" s="55"/>
      <c r="C679" s="54"/>
      <c r="D679" s="63"/>
      <c r="E679" s="54"/>
      <c r="F679" s="54"/>
      <c r="G679" s="54"/>
      <c r="H679" s="54"/>
      <c r="I679" s="54"/>
      <c r="J679" s="54"/>
      <c r="K679" s="54"/>
      <c r="L679" s="54"/>
      <c r="M679" s="54"/>
      <c r="N679" s="54"/>
      <c r="O679" s="54"/>
      <c r="P679" s="54"/>
      <c r="Q679" s="54"/>
      <c r="R679" s="54"/>
      <c r="S679" s="54"/>
      <c r="T679" s="54"/>
      <c r="U679" s="54"/>
      <c r="V679" s="54"/>
      <c r="W679" s="54"/>
      <c r="X679" s="54"/>
      <c r="Y679" s="54"/>
      <c r="Z679" s="54"/>
    </row>
    <row r="680">
      <c r="A680" s="54"/>
      <c r="B680" s="55"/>
      <c r="C680" s="54"/>
      <c r="D680" s="63"/>
      <c r="E680" s="54"/>
      <c r="F680" s="54"/>
      <c r="G680" s="54"/>
      <c r="H680" s="54"/>
      <c r="I680" s="54"/>
      <c r="J680" s="54"/>
      <c r="K680" s="54"/>
      <c r="L680" s="54"/>
      <c r="M680" s="54"/>
      <c r="N680" s="54"/>
      <c r="O680" s="54"/>
      <c r="P680" s="54"/>
      <c r="Q680" s="54"/>
      <c r="R680" s="54"/>
      <c r="S680" s="54"/>
      <c r="T680" s="54"/>
      <c r="U680" s="54"/>
      <c r="V680" s="54"/>
      <c r="W680" s="54"/>
      <c r="X680" s="54"/>
      <c r="Y680" s="54"/>
      <c r="Z680" s="54"/>
    </row>
    <row r="681">
      <c r="A681" s="54"/>
      <c r="B681" s="55"/>
      <c r="C681" s="54"/>
      <c r="D681" s="63"/>
      <c r="E681" s="54"/>
      <c r="F681" s="54"/>
      <c r="G681" s="54"/>
      <c r="H681" s="54"/>
      <c r="I681" s="54"/>
      <c r="J681" s="54"/>
      <c r="K681" s="54"/>
      <c r="L681" s="54"/>
      <c r="M681" s="54"/>
      <c r="N681" s="54"/>
      <c r="O681" s="54"/>
      <c r="P681" s="54"/>
      <c r="Q681" s="54"/>
      <c r="R681" s="54"/>
      <c r="S681" s="54"/>
      <c r="T681" s="54"/>
      <c r="U681" s="54"/>
      <c r="V681" s="54"/>
      <c r="W681" s="54"/>
      <c r="X681" s="54"/>
      <c r="Y681" s="54"/>
      <c r="Z681" s="54"/>
    </row>
    <row r="682">
      <c r="A682" s="54"/>
      <c r="B682" s="55"/>
      <c r="C682" s="54"/>
      <c r="D682" s="63"/>
      <c r="E682" s="54"/>
      <c r="F682" s="54"/>
      <c r="G682" s="54"/>
      <c r="H682" s="54"/>
      <c r="I682" s="54"/>
      <c r="J682" s="54"/>
      <c r="K682" s="54"/>
      <c r="L682" s="54"/>
      <c r="M682" s="54"/>
      <c r="N682" s="54"/>
      <c r="O682" s="54"/>
      <c r="P682" s="54"/>
      <c r="Q682" s="54"/>
      <c r="R682" s="54"/>
      <c r="S682" s="54"/>
      <c r="T682" s="54"/>
      <c r="U682" s="54"/>
      <c r="V682" s="54"/>
      <c r="W682" s="54"/>
      <c r="X682" s="54"/>
      <c r="Y682" s="54"/>
      <c r="Z682" s="54"/>
    </row>
    <row r="683">
      <c r="A683" s="54"/>
      <c r="B683" s="55"/>
      <c r="C683" s="54"/>
      <c r="D683" s="63"/>
      <c r="E683" s="54"/>
      <c r="F683" s="54"/>
      <c r="G683" s="54"/>
      <c r="H683" s="54"/>
      <c r="I683" s="54"/>
      <c r="J683" s="54"/>
      <c r="K683" s="54"/>
      <c r="L683" s="54"/>
      <c r="M683" s="54"/>
      <c r="N683" s="54"/>
      <c r="O683" s="54"/>
      <c r="P683" s="54"/>
      <c r="Q683" s="54"/>
      <c r="R683" s="54"/>
      <c r="S683" s="54"/>
      <c r="T683" s="54"/>
      <c r="U683" s="54"/>
      <c r="V683" s="54"/>
      <c r="W683" s="54"/>
      <c r="X683" s="54"/>
      <c r="Y683" s="54"/>
      <c r="Z683" s="54"/>
    </row>
    <row r="684">
      <c r="A684" s="54"/>
      <c r="B684" s="55"/>
      <c r="C684" s="54"/>
      <c r="D684" s="63"/>
      <c r="E684" s="54"/>
      <c r="F684" s="54"/>
      <c r="G684" s="54"/>
      <c r="H684" s="54"/>
      <c r="I684" s="54"/>
      <c r="J684" s="54"/>
      <c r="K684" s="54"/>
      <c r="L684" s="54"/>
      <c r="M684" s="54"/>
      <c r="N684" s="54"/>
      <c r="O684" s="54"/>
      <c r="P684" s="54"/>
      <c r="Q684" s="54"/>
      <c r="R684" s="54"/>
      <c r="S684" s="54"/>
      <c r="T684" s="54"/>
      <c r="U684" s="54"/>
      <c r="V684" s="54"/>
      <c r="W684" s="54"/>
      <c r="X684" s="54"/>
      <c r="Y684" s="54"/>
      <c r="Z684" s="54"/>
    </row>
    <row r="685">
      <c r="A685" s="54"/>
      <c r="B685" s="55"/>
      <c r="C685" s="54"/>
      <c r="D685" s="63"/>
      <c r="E685" s="54"/>
      <c r="F685" s="54"/>
      <c r="G685" s="54"/>
      <c r="H685" s="54"/>
      <c r="I685" s="54"/>
      <c r="J685" s="54"/>
      <c r="K685" s="54"/>
      <c r="L685" s="54"/>
      <c r="M685" s="54"/>
      <c r="N685" s="54"/>
      <c r="O685" s="54"/>
      <c r="P685" s="54"/>
      <c r="Q685" s="54"/>
      <c r="R685" s="54"/>
      <c r="S685" s="54"/>
      <c r="T685" s="54"/>
      <c r="U685" s="54"/>
      <c r="V685" s="54"/>
      <c r="W685" s="54"/>
      <c r="X685" s="54"/>
      <c r="Y685" s="54"/>
      <c r="Z685" s="54"/>
    </row>
    <row r="686">
      <c r="A686" s="54"/>
      <c r="B686" s="55"/>
      <c r="C686" s="54"/>
      <c r="D686" s="63"/>
      <c r="E686" s="54"/>
      <c r="F686" s="54"/>
      <c r="G686" s="54"/>
      <c r="H686" s="54"/>
      <c r="I686" s="54"/>
      <c r="J686" s="54"/>
      <c r="K686" s="54"/>
      <c r="L686" s="54"/>
      <c r="M686" s="54"/>
      <c r="N686" s="54"/>
      <c r="O686" s="54"/>
      <c r="P686" s="54"/>
      <c r="Q686" s="54"/>
      <c r="R686" s="54"/>
      <c r="S686" s="54"/>
      <c r="T686" s="54"/>
      <c r="U686" s="54"/>
      <c r="V686" s="54"/>
      <c r="W686" s="54"/>
      <c r="X686" s="54"/>
      <c r="Y686" s="54"/>
      <c r="Z686" s="54"/>
    </row>
    <row r="687">
      <c r="A687" s="54"/>
      <c r="B687" s="55"/>
      <c r="C687" s="54"/>
      <c r="D687" s="63"/>
      <c r="E687" s="54"/>
      <c r="F687" s="54"/>
      <c r="G687" s="54"/>
      <c r="H687" s="54"/>
      <c r="I687" s="54"/>
      <c r="J687" s="54"/>
      <c r="K687" s="54"/>
      <c r="L687" s="54"/>
      <c r="M687" s="54"/>
      <c r="N687" s="54"/>
      <c r="O687" s="54"/>
      <c r="P687" s="54"/>
      <c r="Q687" s="54"/>
      <c r="R687" s="54"/>
      <c r="S687" s="54"/>
      <c r="T687" s="54"/>
      <c r="U687" s="54"/>
      <c r="V687" s="54"/>
      <c r="W687" s="54"/>
      <c r="X687" s="54"/>
      <c r="Y687" s="54"/>
      <c r="Z687" s="54"/>
    </row>
    <row r="688">
      <c r="A688" s="54"/>
      <c r="B688" s="55"/>
      <c r="C688" s="54"/>
      <c r="D688" s="63"/>
      <c r="E688" s="54"/>
      <c r="F688" s="54"/>
      <c r="G688" s="54"/>
      <c r="H688" s="54"/>
      <c r="I688" s="54"/>
      <c r="J688" s="54"/>
      <c r="K688" s="54"/>
      <c r="L688" s="54"/>
      <c r="M688" s="54"/>
      <c r="N688" s="54"/>
      <c r="O688" s="54"/>
      <c r="P688" s="54"/>
      <c r="Q688" s="54"/>
      <c r="R688" s="54"/>
      <c r="S688" s="54"/>
      <c r="T688" s="54"/>
      <c r="U688" s="54"/>
      <c r="V688" s="54"/>
      <c r="W688" s="54"/>
      <c r="X688" s="54"/>
      <c r="Y688" s="54"/>
      <c r="Z688" s="54"/>
    </row>
    <row r="689">
      <c r="A689" s="54"/>
      <c r="B689" s="55"/>
      <c r="C689" s="54"/>
      <c r="D689" s="63"/>
      <c r="E689" s="54"/>
      <c r="F689" s="54"/>
      <c r="G689" s="54"/>
      <c r="H689" s="54"/>
      <c r="I689" s="54"/>
      <c r="J689" s="54"/>
      <c r="K689" s="54"/>
      <c r="L689" s="54"/>
      <c r="M689" s="54"/>
      <c r="N689" s="54"/>
      <c r="O689" s="54"/>
      <c r="P689" s="54"/>
      <c r="Q689" s="54"/>
      <c r="R689" s="54"/>
      <c r="S689" s="54"/>
      <c r="T689" s="54"/>
      <c r="U689" s="54"/>
      <c r="V689" s="54"/>
      <c r="W689" s="54"/>
      <c r="X689" s="54"/>
      <c r="Y689" s="54"/>
      <c r="Z689" s="54"/>
    </row>
    <row r="690">
      <c r="A690" s="54"/>
      <c r="B690" s="55"/>
      <c r="C690" s="54"/>
      <c r="D690" s="63"/>
      <c r="E690" s="54"/>
      <c r="F690" s="54"/>
      <c r="G690" s="54"/>
      <c r="H690" s="54"/>
      <c r="I690" s="54"/>
      <c r="J690" s="54"/>
      <c r="K690" s="54"/>
      <c r="L690" s="54"/>
      <c r="M690" s="54"/>
      <c r="N690" s="54"/>
      <c r="O690" s="54"/>
      <c r="P690" s="54"/>
      <c r="Q690" s="54"/>
      <c r="R690" s="54"/>
      <c r="S690" s="54"/>
      <c r="T690" s="54"/>
      <c r="U690" s="54"/>
      <c r="V690" s="54"/>
      <c r="W690" s="54"/>
      <c r="X690" s="54"/>
      <c r="Y690" s="54"/>
      <c r="Z690" s="54"/>
    </row>
    <row r="691">
      <c r="A691" s="54"/>
      <c r="B691" s="55"/>
      <c r="C691" s="54"/>
      <c r="D691" s="63"/>
      <c r="E691" s="54"/>
      <c r="F691" s="54"/>
      <c r="G691" s="54"/>
      <c r="H691" s="54"/>
      <c r="I691" s="54"/>
      <c r="J691" s="54"/>
      <c r="K691" s="54"/>
      <c r="L691" s="54"/>
      <c r="M691" s="54"/>
      <c r="N691" s="54"/>
      <c r="O691" s="54"/>
      <c r="P691" s="54"/>
      <c r="Q691" s="54"/>
      <c r="R691" s="54"/>
      <c r="S691" s="54"/>
      <c r="T691" s="54"/>
      <c r="U691" s="54"/>
      <c r="V691" s="54"/>
      <c r="W691" s="54"/>
      <c r="X691" s="54"/>
      <c r="Y691" s="54"/>
      <c r="Z691" s="54"/>
    </row>
    <row r="692">
      <c r="A692" s="54"/>
      <c r="B692" s="55"/>
      <c r="C692" s="54"/>
      <c r="D692" s="63"/>
      <c r="E692" s="54"/>
      <c r="F692" s="54"/>
      <c r="G692" s="54"/>
      <c r="H692" s="54"/>
      <c r="I692" s="54"/>
      <c r="J692" s="54"/>
      <c r="K692" s="54"/>
      <c r="L692" s="54"/>
      <c r="M692" s="54"/>
      <c r="N692" s="54"/>
      <c r="O692" s="54"/>
      <c r="P692" s="54"/>
      <c r="Q692" s="54"/>
      <c r="R692" s="54"/>
      <c r="S692" s="54"/>
      <c r="T692" s="54"/>
      <c r="U692" s="54"/>
      <c r="V692" s="54"/>
      <c r="W692" s="54"/>
      <c r="X692" s="54"/>
      <c r="Y692" s="54"/>
      <c r="Z692" s="54"/>
    </row>
    <row r="693">
      <c r="A693" s="54"/>
      <c r="B693" s="55"/>
      <c r="C693" s="54"/>
      <c r="D693" s="63"/>
      <c r="E693" s="54"/>
      <c r="F693" s="54"/>
      <c r="G693" s="54"/>
      <c r="H693" s="54"/>
      <c r="I693" s="54"/>
      <c r="J693" s="54"/>
      <c r="K693" s="54"/>
      <c r="L693" s="54"/>
      <c r="M693" s="54"/>
      <c r="N693" s="54"/>
      <c r="O693" s="54"/>
      <c r="P693" s="54"/>
      <c r="Q693" s="54"/>
      <c r="R693" s="54"/>
      <c r="S693" s="54"/>
      <c r="T693" s="54"/>
      <c r="U693" s="54"/>
      <c r="V693" s="54"/>
      <c r="W693" s="54"/>
      <c r="X693" s="54"/>
      <c r="Y693" s="54"/>
      <c r="Z693" s="54"/>
    </row>
    <row r="694">
      <c r="A694" s="54"/>
      <c r="B694" s="55"/>
      <c r="C694" s="54"/>
      <c r="D694" s="63"/>
      <c r="E694" s="54"/>
      <c r="F694" s="54"/>
      <c r="G694" s="54"/>
      <c r="H694" s="54"/>
      <c r="I694" s="54"/>
      <c r="J694" s="54"/>
      <c r="K694" s="54"/>
      <c r="L694" s="54"/>
      <c r="M694" s="54"/>
      <c r="N694" s="54"/>
      <c r="O694" s="54"/>
      <c r="P694" s="54"/>
      <c r="Q694" s="54"/>
      <c r="R694" s="54"/>
      <c r="S694" s="54"/>
      <c r="T694" s="54"/>
      <c r="U694" s="54"/>
      <c r="V694" s="54"/>
      <c r="W694" s="54"/>
      <c r="X694" s="54"/>
      <c r="Y694" s="54"/>
      <c r="Z694" s="54"/>
    </row>
    <row r="695">
      <c r="A695" s="54"/>
      <c r="B695" s="55"/>
      <c r="C695" s="54"/>
      <c r="D695" s="63"/>
      <c r="E695" s="54"/>
      <c r="F695" s="54"/>
      <c r="G695" s="54"/>
      <c r="H695" s="54"/>
      <c r="I695" s="54"/>
      <c r="J695" s="54"/>
      <c r="K695" s="54"/>
      <c r="L695" s="54"/>
      <c r="M695" s="54"/>
      <c r="N695" s="54"/>
      <c r="O695" s="54"/>
      <c r="P695" s="54"/>
      <c r="Q695" s="54"/>
      <c r="R695" s="54"/>
      <c r="S695" s="54"/>
      <c r="T695" s="54"/>
      <c r="U695" s="54"/>
      <c r="V695" s="54"/>
      <c r="W695" s="54"/>
      <c r="X695" s="54"/>
      <c r="Y695" s="54"/>
      <c r="Z695" s="54"/>
    </row>
    <row r="696">
      <c r="A696" s="54"/>
      <c r="B696" s="55"/>
      <c r="C696" s="54"/>
      <c r="D696" s="63"/>
      <c r="E696" s="54"/>
      <c r="F696" s="54"/>
      <c r="G696" s="54"/>
      <c r="H696" s="54"/>
      <c r="I696" s="54"/>
      <c r="J696" s="54"/>
      <c r="K696" s="54"/>
      <c r="L696" s="54"/>
      <c r="M696" s="54"/>
      <c r="N696" s="54"/>
      <c r="O696" s="54"/>
      <c r="P696" s="54"/>
      <c r="Q696" s="54"/>
      <c r="R696" s="54"/>
      <c r="S696" s="54"/>
      <c r="T696" s="54"/>
      <c r="U696" s="54"/>
      <c r="V696" s="54"/>
      <c r="W696" s="54"/>
      <c r="X696" s="54"/>
      <c r="Y696" s="54"/>
      <c r="Z696" s="54"/>
    </row>
    <row r="697">
      <c r="A697" s="54"/>
      <c r="B697" s="55"/>
      <c r="C697" s="54"/>
      <c r="D697" s="63"/>
      <c r="E697" s="54"/>
      <c r="F697" s="54"/>
      <c r="G697" s="54"/>
      <c r="H697" s="54"/>
      <c r="I697" s="54"/>
      <c r="J697" s="54"/>
      <c r="K697" s="54"/>
      <c r="L697" s="54"/>
      <c r="M697" s="54"/>
      <c r="N697" s="54"/>
      <c r="O697" s="54"/>
      <c r="P697" s="54"/>
      <c r="Q697" s="54"/>
      <c r="R697" s="54"/>
      <c r="S697" s="54"/>
      <c r="T697" s="54"/>
      <c r="U697" s="54"/>
      <c r="V697" s="54"/>
      <c r="W697" s="54"/>
      <c r="X697" s="54"/>
      <c r="Y697" s="54"/>
      <c r="Z697" s="54"/>
    </row>
    <row r="698">
      <c r="A698" s="54"/>
      <c r="B698" s="55"/>
      <c r="C698" s="54"/>
      <c r="D698" s="63"/>
      <c r="E698" s="54"/>
      <c r="F698" s="54"/>
      <c r="G698" s="54"/>
      <c r="H698" s="54"/>
      <c r="I698" s="54"/>
      <c r="J698" s="54"/>
      <c r="K698" s="54"/>
      <c r="L698" s="54"/>
      <c r="M698" s="54"/>
      <c r="N698" s="54"/>
      <c r="O698" s="54"/>
      <c r="P698" s="54"/>
      <c r="Q698" s="54"/>
      <c r="R698" s="54"/>
      <c r="S698" s="54"/>
      <c r="T698" s="54"/>
      <c r="U698" s="54"/>
      <c r="V698" s="54"/>
      <c r="W698" s="54"/>
      <c r="X698" s="54"/>
      <c r="Y698" s="54"/>
      <c r="Z698" s="54"/>
    </row>
    <row r="699">
      <c r="A699" s="54"/>
      <c r="B699" s="55"/>
      <c r="C699" s="54"/>
      <c r="D699" s="63"/>
      <c r="E699" s="54"/>
      <c r="F699" s="54"/>
      <c r="G699" s="54"/>
      <c r="H699" s="54"/>
      <c r="I699" s="54"/>
      <c r="J699" s="54"/>
      <c r="K699" s="54"/>
      <c r="L699" s="54"/>
      <c r="M699" s="54"/>
      <c r="N699" s="54"/>
      <c r="O699" s="54"/>
      <c r="P699" s="54"/>
      <c r="Q699" s="54"/>
      <c r="R699" s="54"/>
      <c r="S699" s="54"/>
      <c r="T699" s="54"/>
      <c r="U699" s="54"/>
      <c r="V699" s="54"/>
      <c r="W699" s="54"/>
      <c r="X699" s="54"/>
      <c r="Y699" s="54"/>
      <c r="Z699" s="54"/>
    </row>
    <row r="700">
      <c r="A700" s="54"/>
      <c r="B700" s="55"/>
      <c r="C700" s="54"/>
      <c r="D700" s="63"/>
      <c r="E700" s="54"/>
      <c r="F700" s="54"/>
      <c r="G700" s="54"/>
      <c r="H700" s="54"/>
      <c r="I700" s="54"/>
      <c r="J700" s="54"/>
      <c r="K700" s="54"/>
      <c r="L700" s="54"/>
      <c r="M700" s="54"/>
      <c r="N700" s="54"/>
      <c r="O700" s="54"/>
      <c r="P700" s="54"/>
      <c r="Q700" s="54"/>
      <c r="R700" s="54"/>
      <c r="S700" s="54"/>
      <c r="T700" s="54"/>
      <c r="U700" s="54"/>
      <c r="V700" s="54"/>
      <c r="W700" s="54"/>
      <c r="X700" s="54"/>
      <c r="Y700" s="54"/>
      <c r="Z700" s="54"/>
    </row>
    <row r="701">
      <c r="A701" s="54"/>
      <c r="B701" s="55"/>
      <c r="C701" s="54"/>
      <c r="D701" s="63"/>
      <c r="E701" s="54"/>
      <c r="F701" s="54"/>
      <c r="G701" s="54"/>
      <c r="H701" s="54"/>
      <c r="I701" s="54"/>
      <c r="J701" s="54"/>
      <c r="K701" s="54"/>
      <c r="L701" s="54"/>
      <c r="M701" s="54"/>
      <c r="N701" s="54"/>
      <c r="O701" s="54"/>
      <c r="P701" s="54"/>
      <c r="Q701" s="54"/>
      <c r="R701" s="54"/>
      <c r="S701" s="54"/>
      <c r="T701" s="54"/>
      <c r="U701" s="54"/>
      <c r="V701" s="54"/>
      <c r="W701" s="54"/>
      <c r="X701" s="54"/>
      <c r="Y701" s="54"/>
      <c r="Z701" s="54"/>
    </row>
    <row r="702">
      <c r="A702" s="54"/>
      <c r="B702" s="55"/>
      <c r="C702" s="54"/>
      <c r="D702" s="63"/>
      <c r="E702" s="54"/>
      <c r="F702" s="54"/>
      <c r="G702" s="54"/>
      <c r="H702" s="54"/>
      <c r="I702" s="54"/>
      <c r="J702" s="54"/>
      <c r="K702" s="54"/>
      <c r="L702" s="54"/>
      <c r="M702" s="54"/>
      <c r="N702" s="54"/>
      <c r="O702" s="54"/>
      <c r="P702" s="54"/>
      <c r="Q702" s="54"/>
      <c r="R702" s="54"/>
      <c r="S702" s="54"/>
      <c r="T702" s="54"/>
      <c r="U702" s="54"/>
      <c r="V702" s="54"/>
      <c r="W702" s="54"/>
      <c r="X702" s="54"/>
      <c r="Y702" s="54"/>
      <c r="Z702" s="54"/>
    </row>
    <row r="703">
      <c r="A703" s="54"/>
      <c r="B703" s="55"/>
      <c r="C703" s="54"/>
      <c r="D703" s="63"/>
      <c r="E703" s="54"/>
      <c r="F703" s="54"/>
      <c r="G703" s="54"/>
      <c r="H703" s="54"/>
      <c r="I703" s="54"/>
      <c r="J703" s="54"/>
      <c r="K703" s="54"/>
      <c r="L703" s="54"/>
      <c r="M703" s="54"/>
      <c r="N703" s="54"/>
      <c r="O703" s="54"/>
      <c r="P703" s="54"/>
      <c r="Q703" s="54"/>
      <c r="R703" s="54"/>
      <c r="S703" s="54"/>
      <c r="T703" s="54"/>
      <c r="U703" s="54"/>
      <c r="V703" s="54"/>
      <c r="W703" s="54"/>
      <c r="X703" s="54"/>
      <c r="Y703" s="54"/>
      <c r="Z703" s="54"/>
    </row>
    <row r="704">
      <c r="A704" s="54"/>
      <c r="B704" s="55"/>
      <c r="C704" s="54"/>
      <c r="D704" s="63"/>
      <c r="E704" s="54"/>
      <c r="F704" s="54"/>
      <c r="G704" s="54"/>
      <c r="H704" s="54"/>
      <c r="I704" s="54"/>
      <c r="J704" s="54"/>
      <c r="K704" s="54"/>
      <c r="L704" s="54"/>
      <c r="M704" s="54"/>
      <c r="N704" s="54"/>
      <c r="O704" s="54"/>
      <c r="P704" s="54"/>
      <c r="Q704" s="54"/>
      <c r="R704" s="54"/>
      <c r="S704" s="54"/>
      <c r="T704" s="54"/>
      <c r="U704" s="54"/>
      <c r="V704" s="54"/>
      <c r="W704" s="54"/>
      <c r="X704" s="54"/>
      <c r="Y704" s="54"/>
      <c r="Z704" s="54"/>
    </row>
    <row r="705">
      <c r="A705" s="54"/>
      <c r="B705" s="55"/>
      <c r="C705" s="54"/>
      <c r="D705" s="63"/>
      <c r="E705" s="54"/>
      <c r="F705" s="54"/>
      <c r="G705" s="54"/>
      <c r="H705" s="54"/>
      <c r="I705" s="54"/>
      <c r="J705" s="54"/>
      <c r="K705" s="54"/>
      <c r="L705" s="54"/>
      <c r="M705" s="54"/>
      <c r="N705" s="54"/>
      <c r="O705" s="54"/>
      <c r="P705" s="54"/>
      <c r="Q705" s="54"/>
      <c r="R705" s="54"/>
      <c r="S705" s="54"/>
      <c r="T705" s="54"/>
      <c r="U705" s="54"/>
      <c r="V705" s="54"/>
      <c r="W705" s="54"/>
      <c r="X705" s="54"/>
      <c r="Y705" s="54"/>
      <c r="Z705" s="54"/>
    </row>
    <row r="706">
      <c r="A706" s="54"/>
      <c r="B706" s="55"/>
      <c r="C706" s="54"/>
      <c r="D706" s="63"/>
      <c r="E706" s="54"/>
      <c r="F706" s="54"/>
      <c r="G706" s="54"/>
      <c r="H706" s="54"/>
      <c r="I706" s="54"/>
      <c r="J706" s="54"/>
      <c r="K706" s="54"/>
      <c r="L706" s="54"/>
      <c r="M706" s="54"/>
      <c r="N706" s="54"/>
      <c r="O706" s="54"/>
      <c r="P706" s="54"/>
      <c r="Q706" s="54"/>
      <c r="R706" s="54"/>
      <c r="S706" s="54"/>
      <c r="T706" s="54"/>
      <c r="U706" s="54"/>
      <c r="V706" s="54"/>
      <c r="W706" s="54"/>
      <c r="X706" s="54"/>
      <c r="Y706" s="54"/>
      <c r="Z706" s="54"/>
    </row>
    <row r="707">
      <c r="A707" s="54"/>
      <c r="B707" s="55"/>
      <c r="C707" s="54"/>
      <c r="D707" s="63"/>
      <c r="E707" s="54"/>
      <c r="F707" s="54"/>
      <c r="G707" s="54"/>
      <c r="H707" s="54"/>
      <c r="I707" s="54"/>
      <c r="J707" s="54"/>
      <c r="K707" s="54"/>
      <c r="L707" s="54"/>
      <c r="M707" s="54"/>
      <c r="N707" s="54"/>
      <c r="O707" s="54"/>
      <c r="P707" s="54"/>
      <c r="Q707" s="54"/>
      <c r="R707" s="54"/>
      <c r="S707" s="54"/>
      <c r="T707" s="54"/>
      <c r="U707" s="54"/>
      <c r="V707" s="54"/>
      <c r="W707" s="54"/>
      <c r="X707" s="54"/>
      <c r="Y707" s="54"/>
      <c r="Z707" s="54"/>
    </row>
    <row r="708">
      <c r="A708" s="54"/>
      <c r="B708" s="55"/>
      <c r="C708" s="54"/>
      <c r="D708" s="63"/>
      <c r="E708" s="54"/>
      <c r="F708" s="54"/>
      <c r="G708" s="54"/>
      <c r="H708" s="54"/>
      <c r="I708" s="54"/>
      <c r="J708" s="54"/>
      <c r="K708" s="54"/>
      <c r="L708" s="54"/>
      <c r="M708" s="54"/>
      <c r="N708" s="54"/>
      <c r="O708" s="54"/>
      <c r="P708" s="54"/>
      <c r="Q708" s="54"/>
      <c r="R708" s="54"/>
      <c r="S708" s="54"/>
      <c r="T708" s="54"/>
      <c r="U708" s="54"/>
      <c r="V708" s="54"/>
      <c r="W708" s="54"/>
      <c r="X708" s="54"/>
      <c r="Y708" s="54"/>
      <c r="Z708" s="54"/>
    </row>
    <row r="709">
      <c r="A709" s="54"/>
      <c r="B709" s="55"/>
      <c r="C709" s="54"/>
      <c r="D709" s="63"/>
      <c r="E709" s="54"/>
      <c r="F709" s="54"/>
      <c r="G709" s="54"/>
      <c r="H709" s="54"/>
      <c r="I709" s="54"/>
      <c r="J709" s="54"/>
      <c r="K709" s="54"/>
      <c r="L709" s="54"/>
      <c r="M709" s="54"/>
      <c r="N709" s="54"/>
      <c r="O709" s="54"/>
      <c r="P709" s="54"/>
      <c r="Q709" s="54"/>
      <c r="R709" s="54"/>
      <c r="S709" s="54"/>
      <c r="T709" s="54"/>
      <c r="U709" s="54"/>
      <c r="V709" s="54"/>
      <c r="W709" s="54"/>
      <c r="X709" s="54"/>
      <c r="Y709" s="54"/>
      <c r="Z709" s="54"/>
    </row>
    <row r="710">
      <c r="A710" s="54"/>
      <c r="B710" s="55"/>
      <c r="C710" s="54"/>
      <c r="D710" s="63"/>
      <c r="E710" s="54"/>
      <c r="F710" s="54"/>
      <c r="G710" s="54"/>
      <c r="H710" s="54"/>
      <c r="I710" s="54"/>
      <c r="J710" s="54"/>
      <c r="K710" s="54"/>
      <c r="L710" s="54"/>
      <c r="M710" s="54"/>
      <c r="N710" s="54"/>
      <c r="O710" s="54"/>
      <c r="P710" s="54"/>
      <c r="Q710" s="54"/>
      <c r="R710" s="54"/>
      <c r="S710" s="54"/>
      <c r="T710" s="54"/>
      <c r="U710" s="54"/>
      <c r="V710" s="54"/>
      <c r="W710" s="54"/>
      <c r="X710" s="54"/>
      <c r="Y710" s="54"/>
      <c r="Z710" s="54"/>
    </row>
    <row r="711">
      <c r="A711" s="54"/>
      <c r="B711" s="55"/>
      <c r="C711" s="54"/>
      <c r="D711" s="63"/>
      <c r="E711" s="54"/>
      <c r="F711" s="54"/>
      <c r="G711" s="54"/>
      <c r="H711" s="54"/>
      <c r="I711" s="54"/>
      <c r="J711" s="54"/>
      <c r="K711" s="54"/>
      <c r="L711" s="54"/>
      <c r="M711" s="54"/>
      <c r="N711" s="54"/>
      <c r="O711" s="54"/>
      <c r="P711" s="54"/>
      <c r="Q711" s="54"/>
      <c r="R711" s="54"/>
      <c r="S711" s="54"/>
      <c r="T711" s="54"/>
      <c r="U711" s="54"/>
      <c r="V711" s="54"/>
      <c r="W711" s="54"/>
      <c r="X711" s="54"/>
      <c r="Y711" s="54"/>
      <c r="Z711" s="54"/>
    </row>
    <row r="712">
      <c r="A712" s="54"/>
      <c r="B712" s="55"/>
      <c r="C712" s="54"/>
      <c r="D712" s="63"/>
      <c r="E712" s="54"/>
      <c r="F712" s="54"/>
      <c r="G712" s="54"/>
      <c r="H712" s="54"/>
      <c r="I712" s="54"/>
      <c r="J712" s="54"/>
      <c r="K712" s="54"/>
      <c r="L712" s="54"/>
      <c r="M712" s="54"/>
      <c r="N712" s="54"/>
      <c r="O712" s="54"/>
      <c r="P712" s="54"/>
      <c r="Q712" s="54"/>
      <c r="R712" s="54"/>
      <c r="S712" s="54"/>
      <c r="T712" s="54"/>
      <c r="U712" s="54"/>
      <c r="V712" s="54"/>
      <c r="W712" s="54"/>
      <c r="X712" s="54"/>
      <c r="Y712" s="54"/>
      <c r="Z712" s="54"/>
    </row>
    <row r="713">
      <c r="A713" s="54"/>
      <c r="B713" s="55"/>
      <c r="C713" s="54"/>
      <c r="D713" s="63"/>
      <c r="E713" s="54"/>
      <c r="F713" s="54"/>
      <c r="G713" s="54"/>
      <c r="H713" s="54"/>
      <c r="I713" s="54"/>
      <c r="J713" s="54"/>
      <c r="K713" s="54"/>
      <c r="L713" s="54"/>
      <c r="M713" s="54"/>
      <c r="N713" s="54"/>
      <c r="O713" s="54"/>
      <c r="P713" s="54"/>
      <c r="Q713" s="54"/>
      <c r="R713" s="54"/>
      <c r="S713" s="54"/>
      <c r="T713" s="54"/>
      <c r="U713" s="54"/>
      <c r="V713" s="54"/>
      <c r="W713" s="54"/>
      <c r="X713" s="54"/>
      <c r="Y713" s="54"/>
      <c r="Z713" s="54"/>
    </row>
    <row r="714">
      <c r="A714" s="54"/>
      <c r="B714" s="55"/>
      <c r="C714" s="54"/>
      <c r="D714" s="63"/>
      <c r="E714" s="54"/>
      <c r="F714" s="54"/>
      <c r="G714" s="54"/>
      <c r="H714" s="54"/>
      <c r="I714" s="54"/>
      <c r="J714" s="54"/>
      <c r="K714" s="54"/>
      <c r="L714" s="54"/>
      <c r="M714" s="54"/>
      <c r="N714" s="54"/>
      <c r="O714" s="54"/>
      <c r="P714" s="54"/>
      <c r="Q714" s="54"/>
      <c r="R714" s="54"/>
      <c r="S714" s="54"/>
      <c r="T714" s="54"/>
      <c r="U714" s="54"/>
      <c r="V714" s="54"/>
      <c r="W714" s="54"/>
      <c r="X714" s="54"/>
      <c r="Y714" s="54"/>
      <c r="Z714" s="54"/>
    </row>
    <row r="715">
      <c r="A715" s="54"/>
      <c r="B715" s="55"/>
      <c r="C715" s="54"/>
      <c r="D715" s="63"/>
      <c r="E715" s="54"/>
      <c r="F715" s="54"/>
      <c r="G715" s="54"/>
      <c r="H715" s="54"/>
      <c r="I715" s="54"/>
      <c r="J715" s="54"/>
      <c r="K715" s="54"/>
      <c r="L715" s="54"/>
      <c r="M715" s="54"/>
      <c r="N715" s="54"/>
      <c r="O715" s="54"/>
      <c r="P715" s="54"/>
      <c r="Q715" s="54"/>
      <c r="R715" s="54"/>
      <c r="S715" s="54"/>
      <c r="T715" s="54"/>
      <c r="U715" s="54"/>
      <c r="V715" s="54"/>
      <c r="W715" s="54"/>
      <c r="X715" s="54"/>
      <c r="Y715" s="54"/>
      <c r="Z715" s="54"/>
    </row>
    <row r="716">
      <c r="A716" s="54"/>
      <c r="B716" s="55"/>
      <c r="C716" s="54"/>
      <c r="D716" s="63"/>
      <c r="E716" s="54"/>
      <c r="F716" s="54"/>
      <c r="G716" s="54"/>
      <c r="H716" s="54"/>
      <c r="I716" s="54"/>
      <c r="J716" s="54"/>
      <c r="K716" s="54"/>
      <c r="L716" s="54"/>
      <c r="M716" s="54"/>
      <c r="N716" s="54"/>
      <c r="O716" s="54"/>
      <c r="P716" s="54"/>
      <c r="Q716" s="54"/>
      <c r="R716" s="54"/>
      <c r="S716" s="54"/>
      <c r="T716" s="54"/>
      <c r="U716" s="54"/>
      <c r="V716" s="54"/>
      <c r="W716" s="54"/>
      <c r="X716" s="54"/>
      <c r="Y716" s="54"/>
      <c r="Z716" s="54"/>
    </row>
    <row r="717">
      <c r="A717" s="54"/>
      <c r="B717" s="55"/>
      <c r="C717" s="54"/>
      <c r="D717" s="63"/>
      <c r="E717" s="54"/>
      <c r="F717" s="54"/>
      <c r="G717" s="54"/>
      <c r="H717" s="54"/>
      <c r="I717" s="54"/>
      <c r="J717" s="54"/>
      <c r="K717" s="54"/>
      <c r="L717" s="54"/>
      <c r="M717" s="54"/>
      <c r="N717" s="54"/>
      <c r="O717" s="54"/>
      <c r="P717" s="54"/>
      <c r="Q717" s="54"/>
      <c r="R717" s="54"/>
      <c r="S717" s="54"/>
      <c r="T717" s="54"/>
      <c r="U717" s="54"/>
      <c r="V717" s="54"/>
      <c r="W717" s="54"/>
      <c r="X717" s="54"/>
      <c r="Y717" s="54"/>
      <c r="Z717" s="54"/>
    </row>
    <row r="718">
      <c r="A718" s="54"/>
      <c r="B718" s="55"/>
      <c r="C718" s="54"/>
      <c r="D718" s="63"/>
      <c r="E718" s="54"/>
      <c r="F718" s="54"/>
      <c r="G718" s="54"/>
      <c r="H718" s="54"/>
      <c r="I718" s="54"/>
      <c r="J718" s="54"/>
      <c r="K718" s="54"/>
      <c r="L718" s="54"/>
      <c r="M718" s="54"/>
      <c r="N718" s="54"/>
      <c r="O718" s="54"/>
      <c r="P718" s="54"/>
      <c r="Q718" s="54"/>
      <c r="R718" s="54"/>
      <c r="S718" s="54"/>
      <c r="T718" s="54"/>
      <c r="U718" s="54"/>
      <c r="V718" s="54"/>
      <c r="W718" s="54"/>
      <c r="X718" s="54"/>
      <c r="Y718" s="54"/>
      <c r="Z718" s="54"/>
    </row>
    <row r="719">
      <c r="A719" s="54"/>
      <c r="B719" s="55"/>
      <c r="C719" s="54"/>
      <c r="D719" s="63"/>
      <c r="E719" s="54"/>
      <c r="F719" s="54"/>
      <c r="G719" s="54"/>
      <c r="H719" s="54"/>
      <c r="I719" s="54"/>
      <c r="J719" s="54"/>
      <c r="K719" s="54"/>
      <c r="L719" s="54"/>
      <c r="M719" s="54"/>
      <c r="N719" s="54"/>
      <c r="O719" s="54"/>
      <c r="P719" s="54"/>
      <c r="Q719" s="54"/>
      <c r="R719" s="54"/>
      <c r="S719" s="54"/>
      <c r="T719" s="54"/>
      <c r="U719" s="54"/>
      <c r="V719" s="54"/>
      <c r="W719" s="54"/>
      <c r="X719" s="54"/>
      <c r="Y719" s="54"/>
      <c r="Z719" s="54"/>
    </row>
    <row r="720">
      <c r="A720" s="54"/>
      <c r="B720" s="55"/>
      <c r="C720" s="54"/>
      <c r="D720" s="63"/>
      <c r="E720" s="54"/>
      <c r="F720" s="54"/>
      <c r="G720" s="54"/>
      <c r="H720" s="54"/>
      <c r="I720" s="54"/>
      <c r="J720" s="54"/>
      <c r="K720" s="54"/>
      <c r="L720" s="54"/>
      <c r="M720" s="54"/>
      <c r="N720" s="54"/>
      <c r="O720" s="54"/>
      <c r="P720" s="54"/>
      <c r="Q720" s="54"/>
      <c r="R720" s="54"/>
      <c r="S720" s="54"/>
      <c r="T720" s="54"/>
      <c r="U720" s="54"/>
      <c r="V720" s="54"/>
      <c r="W720" s="54"/>
      <c r="X720" s="54"/>
      <c r="Y720" s="54"/>
      <c r="Z720" s="54"/>
    </row>
    <row r="721">
      <c r="A721" s="54"/>
      <c r="B721" s="55"/>
      <c r="C721" s="54"/>
      <c r="D721" s="63"/>
      <c r="E721" s="54"/>
      <c r="F721" s="54"/>
      <c r="G721" s="54"/>
      <c r="H721" s="54"/>
      <c r="I721" s="54"/>
      <c r="J721" s="54"/>
      <c r="K721" s="54"/>
      <c r="L721" s="54"/>
      <c r="M721" s="54"/>
      <c r="N721" s="54"/>
      <c r="O721" s="54"/>
      <c r="P721" s="54"/>
      <c r="Q721" s="54"/>
      <c r="R721" s="54"/>
      <c r="S721" s="54"/>
      <c r="T721" s="54"/>
      <c r="U721" s="54"/>
      <c r="V721" s="54"/>
      <c r="W721" s="54"/>
      <c r="X721" s="54"/>
      <c r="Y721" s="54"/>
      <c r="Z721" s="54"/>
    </row>
    <row r="722">
      <c r="A722" s="54"/>
      <c r="B722" s="55"/>
      <c r="C722" s="54"/>
      <c r="D722" s="63"/>
      <c r="E722" s="54"/>
      <c r="F722" s="54"/>
      <c r="G722" s="54"/>
      <c r="H722" s="54"/>
      <c r="I722" s="54"/>
      <c r="J722" s="54"/>
      <c r="K722" s="54"/>
      <c r="L722" s="54"/>
      <c r="M722" s="54"/>
      <c r="N722" s="54"/>
      <c r="O722" s="54"/>
      <c r="P722" s="54"/>
      <c r="Q722" s="54"/>
      <c r="R722" s="54"/>
      <c r="S722" s="54"/>
      <c r="T722" s="54"/>
      <c r="U722" s="54"/>
      <c r="V722" s="54"/>
      <c r="W722" s="54"/>
      <c r="X722" s="54"/>
      <c r="Y722" s="54"/>
      <c r="Z722" s="54"/>
    </row>
    <row r="723">
      <c r="A723" s="54"/>
      <c r="B723" s="55"/>
      <c r="C723" s="54"/>
      <c r="D723" s="63"/>
      <c r="E723" s="54"/>
      <c r="F723" s="54"/>
      <c r="G723" s="54"/>
      <c r="H723" s="54"/>
      <c r="I723" s="54"/>
      <c r="J723" s="54"/>
      <c r="K723" s="54"/>
      <c r="L723" s="54"/>
      <c r="M723" s="54"/>
      <c r="N723" s="54"/>
      <c r="O723" s="54"/>
      <c r="P723" s="54"/>
      <c r="Q723" s="54"/>
      <c r="R723" s="54"/>
      <c r="S723" s="54"/>
      <c r="T723" s="54"/>
      <c r="U723" s="54"/>
      <c r="V723" s="54"/>
      <c r="W723" s="54"/>
      <c r="X723" s="54"/>
      <c r="Y723" s="54"/>
      <c r="Z723" s="54"/>
    </row>
    <row r="724">
      <c r="A724" s="54"/>
      <c r="B724" s="55"/>
      <c r="C724" s="54"/>
      <c r="D724" s="63"/>
      <c r="E724" s="54"/>
      <c r="F724" s="54"/>
      <c r="G724" s="54"/>
      <c r="H724" s="54"/>
      <c r="I724" s="54"/>
      <c r="J724" s="54"/>
      <c r="K724" s="54"/>
      <c r="L724" s="54"/>
      <c r="M724" s="54"/>
      <c r="N724" s="54"/>
      <c r="O724" s="54"/>
      <c r="P724" s="54"/>
      <c r="Q724" s="54"/>
      <c r="R724" s="54"/>
      <c r="S724" s="54"/>
      <c r="T724" s="54"/>
      <c r="U724" s="54"/>
      <c r="V724" s="54"/>
      <c r="W724" s="54"/>
      <c r="X724" s="54"/>
      <c r="Y724" s="54"/>
      <c r="Z724" s="54"/>
    </row>
    <row r="725">
      <c r="A725" s="54"/>
      <c r="B725" s="55"/>
      <c r="C725" s="54"/>
      <c r="D725" s="63"/>
      <c r="E725" s="54"/>
      <c r="F725" s="54"/>
      <c r="G725" s="54"/>
      <c r="H725" s="54"/>
      <c r="I725" s="54"/>
      <c r="J725" s="54"/>
      <c r="K725" s="54"/>
      <c r="L725" s="54"/>
      <c r="M725" s="54"/>
      <c r="N725" s="54"/>
      <c r="O725" s="54"/>
      <c r="P725" s="54"/>
      <c r="Q725" s="54"/>
      <c r="R725" s="54"/>
      <c r="S725" s="54"/>
      <c r="T725" s="54"/>
      <c r="U725" s="54"/>
      <c r="V725" s="54"/>
      <c r="W725" s="54"/>
      <c r="X725" s="54"/>
      <c r="Y725" s="54"/>
      <c r="Z725" s="54"/>
    </row>
    <row r="726">
      <c r="A726" s="54"/>
      <c r="B726" s="55"/>
      <c r="C726" s="54"/>
      <c r="D726" s="63"/>
      <c r="E726" s="54"/>
      <c r="F726" s="54"/>
      <c r="G726" s="54"/>
      <c r="H726" s="54"/>
      <c r="I726" s="54"/>
      <c r="J726" s="54"/>
      <c r="K726" s="54"/>
      <c r="L726" s="54"/>
      <c r="M726" s="54"/>
      <c r="N726" s="54"/>
      <c r="O726" s="54"/>
      <c r="P726" s="54"/>
      <c r="Q726" s="54"/>
      <c r="R726" s="54"/>
      <c r="S726" s="54"/>
      <c r="T726" s="54"/>
      <c r="U726" s="54"/>
      <c r="V726" s="54"/>
      <c r="W726" s="54"/>
      <c r="X726" s="54"/>
      <c r="Y726" s="54"/>
      <c r="Z726" s="54"/>
    </row>
    <row r="727">
      <c r="A727" s="54"/>
      <c r="B727" s="55"/>
      <c r="C727" s="54"/>
      <c r="D727" s="63"/>
      <c r="E727" s="54"/>
      <c r="F727" s="54"/>
      <c r="G727" s="54"/>
      <c r="H727" s="54"/>
      <c r="I727" s="54"/>
      <c r="J727" s="54"/>
      <c r="K727" s="54"/>
      <c r="L727" s="54"/>
      <c r="M727" s="54"/>
      <c r="N727" s="54"/>
      <c r="O727" s="54"/>
      <c r="P727" s="54"/>
      <c r="Q727" s="54"/>
      <c r="R727" s="54"/>
      <c r="S727" s="54"/>
      <c r="T727" s="54"/>
      <c r="U727" s="54"/>
      <c r="V727" s="54"/>
      <c r="W727" s="54"/>
      <c r="X727" s="54"/>
      <c r="Y727" s="54"/>
      <c r="Z727" s="54"/>
    </row>
    <row r="728">
      <c r="A728" s="54"/>
      <c r="B728" s="55"/>
      <c r="C728" s="54"/>
      <c r="D728" s="63"/>
      <c r="E728" s="54"/>
      <c r="F728" s="54"/>
      <c r="G728" s="54"/>
      <c r="H728" s="54"/>
      <c r="I728" s="54"/>
      <c r="J728" s="54"/>
      <c r="K728" s="54"/>
      <c r="L728" s="54"/>
      <c r="M728" s="54"/>
      <c r="N728" s="54"/>
      <c r="O728" s="54"/>
      <c r="P728" s="54"/>
      <c r="Q728" s="54"/>
      <c r="R728" s="54"/>
      <c r="S728" s="54"/>
      <c r="T728" s="54"/>
      <c r="U728" s="54"/>
      <c r="V728" s="54"/>
      <c r="W728" s="54"/>
      <c r="X728" s="54"/>
      <c r="Y728" s="54"/>
      <c r="Z728" s="54"/>
    </row>
    <row r="729">
      <c r="A729" s="54"/>
      <c r="B729" s="55"/>
      <c r="C729" s="54"/>
      <c r="D729" s="63"/>
      <c r="E729" s="54"/>
      <c r="F729" s="54"/>
      <c r="G729" s="54"/>
      <c r="H729" s="54"/>
      <c r="I729" s="54"/>
      <c r="J729" s="54"/>
      <c r="K729" s="54"/>
      <c r="L729" s="54"/>
      <c r="M729" s="54"/>
      <c r="N729" s="54"/>
      <c r="O729" s="54"/>
      <c r="P729" s="54"/>
      <c r="Q729" s="54"/>
      <c r="R729" s="54"/>
      <c r="S729" s="54"/>
      <c r="T729" s="54"/>
      <c r="U729" s="54"/>
      <c r="V729" s="54"/>
      <c r="W729" s="54"/>
      <c r="X729" s="54"/>
      <c r="Y729" s="54"/>
      <c r="Z729" s="54"/>
    </row>
    <row r="730">
      <c r="A730" s="54"/>
      <c r="B730" s="55"/>
      <c r="C730" s="54"/>
      <c r="D730" s="63"/>
      <c r="E730" s="54"/>
      <c r="F730" s="54"/>
      <c r="G730" s="54"/>
      <c r="H730" s="54"/>
      <c r="I730" s="54"/>
      <c r="J730" s="54"/>
      <c r="K730" s="54"/>
      <c r="L730" s="54"/>
      <c r="M730" s="54"/>
      <c r="N730" s="54"/>
      <c r="O730" s="54"/>
      <c r="P730" s="54"/>
      <c r="Q730" s="54"/>
      <c r="R730" s="54"/>
      <c r="S730" s="54"/>
      <c r="T730" s="54"/>
      <c r="U730" s="54"/>
      <c r="V730" s="54"/>
      <c r="W730" s="54"/>
      <c r="X730" s="54"/>
      <c r="Y730" s="54"/>
      <c r="Z730" s="54"/>
    </row>
    <row r="731">
      <c r="A731" s="54"/>
      <c r="B731" s="55"/>
      <c r="C731" s="54"/>
      <c r="D731" s="63"/>
      <c r="E731" s="54"/>
      <c r="F731" s="54"/>
      <c r="G731" s="54"/>
      <c r="H731" s="54"/>
      <c r="I731" s="54"/>
      <c r="J731" s="54"/>
      <c r="K731" s="54"/>
      <c r="L731" s="54"/>
      <c r="M731" s="54"/>
      <c r="N731" s="54"/>
      <c r="O731" s="54"/>
      <c r="P731" s="54"/>
      <c r="Q731" s="54"/>
      <c r="R731" s="54"/>
      <c r="S731" s="54"/>
      <c r="T731" s="54"/>
      <c r="U731" s="54"/>
      <c r="V731" s="54"/>
      <c r="W731" s="54"/>
      <c r="X731" s="54"/>
      <c r="Y731" s="54"/>
      <c r="Z731" s="54"/>
    </row>
    <row r="732">
      <c r="A732" s="54"/>
      <c r="B732" s="55"/>
      <c r="C732" s="54"/>
      <c r="D732" s="63"/>
      <c r="E732" s="54"/>
      <c r="F732" s="54"/>
      <c r="G732" s="54"/>
      <c r="H732" s="54"/>
      <c r="I732" s="54"/>
      <c r="J732" s="54"/>
      <c r="K732" s="54"/>
      <c r="L732" s="54"/>
      <c r="M732" s="54"/>
      <c r="N732" s="54"/>
      <c r="O732" s="54"/>
      <c r="P732" s="54"/>
      <c r="Q732" s="54"/>
      <c r="R732" s="54"/>
      <c r="S732" s="54"/>
      <c r="T732" s="54"/>
      <c r="U732" s="54"/>
      <c r="V732" s="54"/>
      <c r="W732" s="54"/>
      <c r="X732" s="54"/>
      <c r="Y732" s="54"/>
      <c r="Z732" s="54"/>
    </row>
    <row r="733">
      <c r="A733" s="54"/>
      <c r="B733" s="55"/>
      <c r="C733" s="54"/>
      <c r="D733" s="63"/>
      <c r="E733" s="54"/>
      <c r="F733" s="54"/>
      <c r="G733" s="54"/>
      <c r="H733" s="54"/>
      <c r="I733" s="54"/>
      <c r="J733" s="54"/>
      <c r="K733" s="54"/>
      <c r="L733" s="54"/>
      <c r="M733" s="54"/>
      <c r="N733" s="54"/>
      <c r="O733" s="54"/>
      <c r="P733" s="54"/>
      <c r="Q733" s="54"/>
      <c r="R733" s="54"/>
      <c r="S733" s="54"/>
      <c r="T733" s="54"/>
      <c r="U733" s="54"/>
      <c r="V733" s="54"/>
      <c r="W733" s="54"/>
      <c r="X733" s="54"/>
      <c r="Y733" s="54"/>
      <c r="Z733" s="54"/>
    </row>
    <row r="734">
      <c r="A734" s="54"/>
      <c r="B734" s="55"/>
      <c r="C734" s="54"/>
      <c r="D734" s="63"/>
      <c r="E734" s="54"/>
      <c r="F734" s="54"/>
      <c r="G734" s="54"/>
      <c r="H734" s="54"/>
      <c r="I734" s="54"/>
      <c r="J734" s="54"/>
      <c r="K734" s="54"/>
      <c r="L734" s="54"/>
      <c r="M734" s="54"/>
      <c r="N734" s="54"/>
      <c r="O734" s="54"/>
      <c r="P734" s="54"/>
      <c r="Q734" s="54"/>
      <c r="R734" s="54"/>
      <c r="S734" s="54"/>
      <c r="T734" s="54"/>
      <c r="U734" s="54"/>
      <c r="V734" s="54"/>
      <c r="W734" s="54"/>
      <c r="X734" s="54"/>
      <c r="Y734" s="54"/>
      <c r="Z734" s="54"/>
    </row>
    <row r="735">
      <c r="A735" s="54"/>
      <c r="B735" s="55"/>
      <c r="C735" s="54"/>
      <c r="D735" s="63"/>
      <c r="E735" s="54"/>
      <c r="F735" s="54"/>
      <c r="G735" s="54"/>
      <c r="H735" s="54"/>
      <c r="I735" s="54"/>
      <c r="J735" s="54"/>
      <c r="K735" s="54"/>
      <c r="L735" s="54"/>
      <c r="M735" s="54"/>
      <c r="N735" s="54"/>
      <c r="O735" s="54"/>
      <c r="P735" s="54"/>
      <c r="Q735" s="54"/>
      <c r="R735" s="54"/>
      <c r="S735" s="54"/>
      <c r="T735" s="54"/>
      <c r="U735" s="54"/>
      <c r="V735" s="54"/>
      <c r="W735" s="54"/>
      <c r="X735" s="54"/>
      <c r="Y735" s="54"/>
      <c r="Z735" s="54"/>
    </row>
    <row r="736">
      <c r="A736" s="54"/>
      <c r="B736" s="55"/>
      <c r="C736" s="54"/>
      <c r="D736" s="63"/>
      <c r="E736" s="54"/>
      <c r="F736" s="54"/>
      <c r="G736" s="54"/>
      <c r="H736" s="54"/>
      <c r="I736" s="54"/>
      <c r="J736" s="54"/>
      <c r="K736" s="54"/>
      <c r="L736" s="54"/>
      <c r="M736" s="54"/>
      <c r="N736" s="54"/>
      <c r="O736" s="54"/>
      <c r="P736" s="54"/>
      <c r="Q736" s="54"/>
      <c r="R736" s="54"/>
      <c r="S736" s="54"/>
      <c r="T736" s="54"/>
      <c r="U736" s="54"/>
      <c r="V736" s="54"/>
      <c r="W736" s="54"/>
      <c r="X736" s="54"/>
      <c r="Y736" s="54"/>
      <c r="Z736" s="54"/>
    </row>
    <row r="737">
      <c r="A737" s="54"/>
      <c r="B737" s="55"/>
      <c r="C737" s="54"/>
      <c r="D737" s="63"/>
      <c r="E737" s="54"/>
      <c r="F737" s="54"/>
      <c r="G737" s="54"/>
      <c r="H737" s="54"/>
      <c r="I737" s="54"/>
      <c r="J737" s="54"/>
      <c r="K737" s="54"/>
      <c r="L737" s="54"/>
      <c r="M737" s="54"/>
      <c r="N737" s="54"/>
      <c r="O737" s="54"/>
      <c r="P737" s="54"/>
      <c r="Q737" s="54"/>
      <c r="R737" s="54"/>
      <c r="S737" s="54"/>
      <c r="T737" s="54"/>
      <c r="U737" s="54"/>
      <c r="V737" s="54"/>
      <c r="W737" s="54"/>
      <c r="X737" s="54"/>
      <c r="Y737" s="54"/>
      <c r="Z737" s="54"/>
    </row>
    <row r="738">
      <c r="A738" s="54"/>
      <c r="B738" s="55"/>
      <c r="C738" s="54"/>
      <c r="D738" s="63"/>
      <c r="E738" s="54"/>
      <c r="F738" s="54"/>
      <c r="G738" s="54"/>
      <c r="H738" s="54"/>
      <c r="I738" s="54"/>
      <c r="J738" s="54"/>
      <c r="K738" s="54"/>
      <c r="L738" s="54"/>
      <c r="M738" s="54"/>
      <c r="N738" s="54"/>
      <c r="O738" s="54"/>
      <c r="P738" s="54"/>
      <c r="Q738" s="54"/>
      <c r="R738" s="54"/>
      <c r="S738" s="54"/>
      <c r="T738" s="54"/>
      <c r="U738" s="54"/>
      <c r="V738" s="54"/>
      <c r="W738" s="54"/>
      <c r="X738" s="54"/>
      <c r="Y738" s="54"/>
      <c r="Z738" s="54"/>
    </row>
    <row r="739">
      <c r="A739" s="54"/>
      <c r="B739" s="55"/>
      <c r="C739" s="54"/>
      <c r="D739" s="63"/>
      <c r="E739" s="54"/>
      <c r="F739" s="54"/>
      <c r="G739" s="54"/>
      <c r="H739" s="54"/>
      <c r="I739" s="54"/>
      <c r="J739" s="54"/>
      <c r="K739" s="54"/>
      <c r="L739" s="54"/>
      <c r="M739" s="54"/>
      <c r="N739" s="54"/>
      <c r="O739" s="54"/>
      <c r="P739" s="54"/>
      <c r="Q739" s="54"/>
      <c r="R739" s="54"/>
      <c r="S739" s="54"/>
      <c r="T739" s="54"/>
      <c r="U739" s="54"/>
      <c r="V739" s="54"/>
      <c r="W739" s="54"/>
      <c r="X739" s="54"/>
      <c r="Y739" s="54"/>
      <c r="Z739" s="54"/>
    </row>
    <row r="740">
      <c r="A740" s="54"/>
      <c r="B740" s="55"/>
      <c r="C740" s="54"/>
      <c r="D740" s="63"/>
      <c r="E740" s="54"/>
      <c r="F740" s="54"/>
      <c r="G740" s="54"/>
      <c r="H740" s="54"/>
      <c r="I740" s="54"/>
      <c r="J740" s="54"/>
      <c r="K740" s="54"/>
      <c r="L740" s="54"/>
      <c r="M740" s="54"/>
      <c r="N740" s="54"/>
      <c r="O740" s="54"/>
      <c r="P740" s="54"/>
      <c r="Q740" s="54"/>
      <c r="R740" s="54"/>
      <c r="S740" s="54"/>
      <c r="T740" s="54"/>
      <c r="U740" s="54"/>
      <c r="V740" s="54"/>
      <c r="W740" s="54"/>
      <c r="X740" s="54"/>
      <c r="Y740" s="54"/>
      <c r="Z740" s="54"/>
    </row>
    <row r="741">
      <c r="A741" s="54"/>
      <c r="B741" s="55"/>
      <c r="C741" s="54"/>
      <c r="D741" s="63"/>
      <c r="E741" s="54"/>
      <c r="F741" s="54"/>
      <c r="G741" s="54"/>
      <c r="H741" s="54"/>
      <c r="I741" s="54"/>
      <c r="J741" s="54"/>
      <c r="K741" s="54"/>
      <c r="L741" s="54"/>
      <c r="M741" s="54"/>
      <c r="N741" s="54"/>
      <c r="O741" s="54"/>
      <c r="P741" s="54"/>
      <c r="Q741" s="54"/>
      <c r="R741" s="54"/>
      <c r="S741" s="54"/>
      <c r="T741" s="54"/>
      <c r="U741" s="54"/>
      <c r="V741" s="54"/>
      <c r="W741" s="54"/>
      <c r="X741" s="54"/>
      <c r="Y741" s="54"/>
      <c r="Z741" s="54"/>
    </row>
    <row r="742">
      <c r="A742" s="54"/>
      <c r="B742" s="55"/>
      <c r="C742" s="54"/>
      <c r="D742" s="63"/>
      <c r="E742" s="54"/>
      <c r="F742" s="54"/>
      <c r="G742" s="54"/>
      <c r="H742" s="54"/>
      <c r="I742" s="54"/>
      <c r="J742" s="54"/>
      <c r="K742" s="54"/>
      <c r="L742" s="54"/>
      <c r="M742" s="54"/>
      <c r="N742" s="54"/>
      <c r="O742" s="54"/>
      <c r="P742" s="54"/>
      <c r="Q742" s="54"/>
      <c r="R742" s="54"/>
      <c r="S742" s="54"/>
      <c r="T742" s="54"/>
      <c r="U742" s="54"/>
      <c r="V742" s="54"/>
      <c r="W742" s="54"/>
      <c r="X742" s="54"/>
      <c r="Y742" s="54"/>
      <c r="Z742" s="54"/>
    </row>
    <row r="743">
      <c r="A743" s="54"/>
      <c r="B743" s="55"/>
      <c r="C743" s="54"/>
      <c r="D743" s="63"/>
      <c r="E743" s="54"/>
      <c r="F743" s="54"/>
      <c r="G743" s="54"/>
      <c r="H743" s="54"/>
      <c r="I743" s="54"/>
      <c r="J743" s="54"/>
      <c r="K743" s="54"/>
      <c r="L743" s="54"/>
      <c r="M743" s="54"/>
      <c r="N743" s="54"/>
      <c r="O743" s="54"/>
      <c r="P743" s="54"/>
      <c r="Q743" s="54"/>
      <c r="R743" s="54"/>
      <c r="S743" s="54"/>
      <c r="T743" s="54"/>
      <c r="U743" s="54"/>
      <c r="V743" s="54"/>
      <c r="W743" s="54"/>
      <c r="X743" s="54"/>
      <c r="Y743" s="54"/>
      <c r="Z743" s="54"/>
    </row>
    <row r="744">
      <c r="A744" s="54"/>
      <c r="B744" s="55"/>
      <c r="C744" s="54"/>
      <c r="D744" s="63"/>
      <c r="E744" s="54"/>
      <c r="F744" s="54"/>
      <c r="G744" s="54"/>
      <c r="H744" s="54"/>
      <c r="I744" s="54"/>
      <c r="J744" s="54"/>
      <c r="K744" s="54"/>
      <c r="L744" s="54"/>
      <c r="M744" s="54"/>
      <c r="N744" s="54"/>
      <c r="O744" s="54"/>
      <c r="P744" s="54"/>
      <c r="Q744" s="54"/>
      <c r="R744" s="54"/>
      <c r="S744" s="54"/>
      <c r="T744" s="54"/>
      <c r="U744" s="54"/>
      <c r="V744" s="54"/>
      <c r="W744" s="54"/>
      <c r="X744" s="54"/>
      <c r="Y744" s="54"/>
      <c r="Z744" s="54"/>
    </row>
    <row r="745">
      <c r="A745" s="54"/>
      <c r="B745" s="55"/>
      <c r="C745" s="54"/>
      <c r="D745" s="63"/>
      <c r="E745" s="54"/>
      <c r="F745" s="54"/>
      <c r="G745" s="54"/>
      <c r="H745" s="54"/>
      <c r="I745" s="54"/>
      <c r="J745" s="54"/>
      <c r="K745" s="54"/>
      <c r="L745" s="54"/>
      <c r="M745" s="54"/>
      <c r="N745" s="54"/>
      <c r="O745" s="54"/>
      <c r="P745" s="54"/>
      <c r="Q745" s="54"/>
      <c r="R745" s="54"/>
      <c r="S745" s="54"/>
      <c r="T745" s="54"/>
      <c r="U745" s="54"/>
      <c r="V745" s="54"/>
      <c r="W745" s="54"/>
      <c r="X745" s="54"/>
      <c r="Y745" s="54"/>
      <c r="Z745" s="54"/>
    </row>
    <row r="746">
      <c r="A746" s="54"/>
      <c r="B746" s="55"/>
      <c r="C746" s="54"/>
      <c r="D746" s="63"/>
      <c r="E746" s="54"/>
      <c r="F746" s="54"/>
      <c r="G746" s="54"/>
      <c r="H746" s="54"/>
      <c r="I746" s="54"/>
      <c r="J746" s="54"/>
      <c r="K746" s="54"/>
      <c r="L746" s="54"/>
      <c r="M746" s="54"/>
      <c r="N746" s="54"/>
      <c r="O746" s="54"/>
      <c r="P746" s="54"/>
      <c r="Q746" s="54"/>
      <c r="R746" s="54"/>
      <c r="S746" s="54"/>
      <c r="T746" s="54"/>
      <c r="U746" s="54"/>
      <c r="V746" s="54"/>
      <c r="W746" s="54"/>
      <c r="X746" s="54"/>
      <c r="Y746" s="54"/>
      <c r="Z746" s="54"/>
    </row>
    <row r="747">
      <c r="A747" s="54"/>
      <c r="B747" s="55"/>
      <c r="C747" s="54"/>
      <c r="D747" s="63"/>
      <c r="E747" s="54"/>
      <c r="F747" s="54"/>
      <c r="G747" s="54"/>
      <c r="H747" s="54"/>
      <c r="I747" s="54"/>
      <c r="J747" s="54"/>
      <c r="K747" s="54"/>
      <c r="L747" s="54"/>
      <c r="M747" s="54"/>
      <c r="N747" s="54"/>
      <c r="O747" s="54"/>
      <c r="P747" s="54"/>
      <c r="Q747" s="54"/>
      <c r="R747" s="54"/>
      <c r="S747" s="54"/>
      <c r="T747" s="54"/>
      <c r="U747" s="54"/>
      <c r="V747" s="54"/>
      <c r="W747" s="54"/>
      <c r="X747" s="54"/>
      <c r="Y747" s="54"/>
      <c r="Z747" s="54"/>
    </row>
    <row r="748">
      <c r="A748" s="54"/>
      <c r="B748" s="55"/>
      <c r="C748" s="54"/>
      <c r="D748" s="63"/>
      <c r="E748" s="54"/>
      <c r="F748" s="54"/>
      <c r="G748" s="54"/>
      <c r="H748" s="54"/>
      <c r="I748" s="54"/>
      <c r="J748" s="54"/>
      <c r="K748" s="54"/>
      <c r="L748" s="54"/>
      <c r="M748" s="54"/>
      <c r="N748" s="54"/>
      <c r="O748" s="54"/>
      <c r="P748" s="54"/>
      <c r="Q748" s="54"/>
      <c r="R748" s="54"/>
      <c r="S748" s="54"/>
      <c r="T748" s="54"/>
      <c r="U748" s="54"/>
      <c r="V748" s="54"/>
      <c r="W748" s="54"/>
      <c r="X748" s="54"/>
      <c r="Y748" s="54"/>
      <c r="Z748" s="54"/>
    </row>
    <row r="749">
      <c r="A749" s="54"/>
      <c r="B749" s="55"/>
      <c r="C749" s="54"/>
      <c r="D749" s="63"/>
      <c r="E749" s="54"/>
      <c r="F749" s="54"/>
      <c r="G749" s="54"/>
      <c r="H749" s="54"/>
      <c r="I749" s="54"/>
      <c r="J749" s="54"/>
      <c r="K749" s="54"/>
      <c r="L749" s="54"/>
      <c r="M749" s="54"/>
      <c r="N749" s="54"/>
      <c r="O749" s="54"/>
      <c r="P749" s="54"/>
      <c r="Q749" s="54"/>
      <c r="R749" s="54"/>
      <c r="S749" s="54"/>
      <c r="T749" s="54"/>
      <c r="U749" s="54"/>
      <c r="V749" s="54"/>
      <c r="W749" s="54"/>
      <c r="X749" s="54"/>
      <c r="Y749" s="54"/>
      <c r="Z749" s="54"/>
    </row>
    <row r="750">
      <c r="A750" s="54"/>
      <c r="B750" s="55"/>
      <c r="C750" s="54"/>
      <c r="D750" s="63"/>
      <c r="E750" s="54"/>
      <c r="F750" s="54"/>
      <c r="G750" s="54"/>
      <c r="H750" s="54"/>
      <c r="I750" s="54"/>
      <c r="J750" s="54"/>
      <c r="K750" s="54"/>
      <c r="L750" s="54"/>
      <c r="M750" s="54"/>
      <c r="N750" s="54"/>
      <c r="O750" s="54"/>
      <c r="P750" s="54"/>
      <c r="Q750" s="54"/>
      <c r="R750" s="54"/>
      <c r="S750" s="54"/>
      <c r="T750" s="54"/>
      <c r="U750" s="54"/>
      <c r="V750" s="54"/>
      <c r="W750" s="54"/>
      <c r="X750" s="54"/>
      <c r="Y750" s="54"/>
      <c r="Z750" s="54"/>
    </row>
    <row r="751">
      <c r="A751" s="54"/>
      <c r="B751" s="55"/>
      <c r="C751" s="54"/>
      <c r="D751" s="63"/>
      <c r="E751" s="54"/>
      <c r="F751" s="54"/>
      <c r="G751" s="54"/>
      <c r="H751" s="54"/>
      <c r="I751" s="54"/>
      <c r="J751" s="54"/>
      <c r="K751" s="54"/>
      <c r="L751" s="54"/>
      <c r="M751" s="54"/>
      <c r="N751" s="54"/>
      <c r="O751" s="54"/>
      <c r="P751" s="54"/>
      <c r="Q751" s="54"/>
      <c r="R751" s="54"/>
      <c r="S751" s="54"/>
      <c r="T751" s="54"/>
      <c r="U751" s="54"/>
      <c r="V751" s="54"/>
      <c r="W751" s="54"/>
      <c r="X751" s="54"/>
      <c r="Y751" s="54"/>
      <c r="Z751" s="54"/>
    </row>
    <row r="752">
      <c r="A752" s="54"/>
      <c r="B752" s="55"/>
      <c r="C752" s="54"/>
      <c r="D752" s="63"/>
      <c r="E752" s="54"/>
      <c r="F752" s="54"/>
      <c r="G752" s="54"/>
      <c r="H752" s="54"/>
      <c r="I752" s="54"/>
      <c r="J752" s="54"/>
      <c r="K752" s="54"/>
      <c r="L752" s="54"/>
      <c r="M752" s="54"/>
      <c r="N752" s="54"/>
      <c r="O752" s="54"/>
      <c r="P752" s="54"/>
      <c r="Q752" s="54"/>
      <c r="R752" s="54"/>
      <c r="S752" s="54"/>
      <c r="T752" s="54"/>
      <c r="U752" s="54"/>
      <c r="V752" s="54"/>
      <c r="W752" s="54"/>
      <c r="X752" s="54"/>
      <c r="Y752" s="54"/>
      <c r="Z752" s="54"/>
    </row>
    <row r="753">
      <c r="A753" s="54"/>
      <c r="B753" s="55"/>
      <c r="C753" s="54"/>
      <c r="D753" s="63"/>
      <c r="E753" s="54"/>
      <c r="F753" s="54"/>
      <c r="G753" s="54"/>
      <c r="H753" s="54"/>
      <c r="I753" s="54"/>
      <c r="J753" s="54"/>
      <c r="K753" s="54"/>
      <c r="L753" s="54"/>
      <c r="M753" s="54"/>
      <c r="N753" s="54"/>
      <c r="O753" s="54"/>
      <c r="P753" s="54"/>
      <c r="Q753" s="54"/>
      <c r="R753" s="54"/>
      <c r="S753" s="54"/>
      <c r="T753" s="54"/>
      <c r="U753" s="54"/>
      <c r="V753" s="54"/>
      <c r="W753" s="54"/>
      <c r="X753" s="54"/>
      <c r="Y753" s="54"/>
      <c r="Z753" s="54"/>
    </row>
    <row r="754">
      <c r="A754" s="54"/>
      <c r="B754" s="55"/>
      <c r="C754" s="54"/>
      <c r="D754" s="63"/>
      <c r="E754" s="54"/>
      <c r="F754" s="54"/>
      <c r="G754" s="54"/>
      <c r="H754" s="54"/>
      <c r="I754" s="54"/>
      <c r="J754" s="54"/>
      <c r="K754" s="54"/>
      <c r="L754" s="54"/>
      <c r="M754" s="54"/>
      <c r="N754" s="54"/>
      <c r="O754" s="54"/>
      <c r="P754" s="54"/>
      <c r="Q754" s="54"/>
      <c r="R754" s="54"/>
      <c r="S754" s="54"/>
      <c r="T754" s="54"/>
      <c r="U754" s="54"/>
      <c r="V754" s="54"/>
      <c r="W754" s="54"/>
      <c r="X754" s="54"/>
      <c r="Y754" s="54"/>
      <c r="Z754" s="54"/>
    </row>
    <row r="755">
      <c r="A755" s="54"/>
      <c r="B755" s="55"/>
      <c r="C755" s="54"/>
      <c r="D755" s="63"/>
      <c r="E755" s="54"/>
      <c r="F755" s="54"/>
      <c r="G755" s="54"/>
      <c r="H755" s="54"/>
      <c r="I755" s="54"/>
      <c r="J755" s="54"/>
      <c r="K755" s="54"/>
      <c r="L755" s="54"/>
      <c r="M755" s="54"/>
      <c r="N755" s="54"/>
      <c r="O755" s="54"/>
      <c r="P755" s="54"/>
      <c r="Q755" s="54"/>
      <c r="R755" s="54"/>
      <c r="S755" s="54"/>
      <c r="T755" s="54"/>
      <c r="U755" s="54"/>
      <c r="V755" s="54"/>
      <c r="W755" s="54"/>
      <c r="X755" s="54"/>
      <c r="Y755" s="54"/>
      <c r="Z755" s="54"/>
    </row>
    <row r="756">
      <c r="A756" s="54"/>
      <c r="B756" s="55"/>
      <c r="C756" s="54"/>
      <c r="D756" s="63"/>
      <c r="E756" s="54"/>
      <c r="F756" s="54"/>
      <c r="G756" s="54"/>
      <c r="H756" s="54"/>
      <c r="I756" s="54"/>
      <c r="J756" s="54"/>
      <c r="K756" s="54"/>
      <c r="L756" s="54"/>
      <c r="M756" s="54"/>
      <c r="N756" s="54"/>
      <c r="O756" s="54"/>
      <c r="P756" s="54"/>
      <c r="Q756" s="54"/>
      <c r="R756" s="54"/>
      <c r="S756" s="54"/>
      <c r="T756" s="54"/>
      <c r="U756" s="54"/>
      <c r="V756" s="54"/>
      <c r="W756" s="54"/>
      <c r="X756" s="54"/>
      <c r="Y756" s="54"/>
      <c r="Z756" s="54"/>
    </row>
    <row r="757">
      <c r="A757" s="54"/>
      <c r="B757" s="55"/>
      <c r="C757" s="54"/>
      <c r="D757" s="63"/>
      <c r="E757" s="54"/>
      <c r="F757" s="54"/>
      <c r="G757" s="54"/>
      <c r="H757" s="54"/>
      <c r="I757" s="54"/>
      <c r="J757" s="54"/>
      <c r="K757" s="54"/>
      <c r="L757" s="54"/>
      <c r="M757" s="54"/>
      <c r="N757" s="54"/>
      <c r="O757" s="54"/>
      <c r="P757" s="54"/>
      <c r="Q757" s="54"/>
      <c r="R757" s="54"/>
      <c r="S757" s="54"/>
      <c r="T757" s="54"/>
      <c r="U757" s="54"/>
      <c r="V757" s="54"/>
      <c r="W757" s="54"/>
      <c r="X757" s="54"/>
      <c r="Y757" s="54"/>
      <c r="Z757" s="54"/>
    </row>
    <row r="758">
      <c r="A758" s="54"/>
      <c r="B758" s="55"/>
      <c r="C758" s="54"/>
      <c r="D758" s="63"/>
      <c r="E758" s="54"/>
      <c r="F758" s="54"/>
      <c r="G758" s="54"/>
      <c r="H758" s="54"/>
      <c r="I758" s="54"/>
      <c r="J758" s="54"/>
      <c r="K758" s="54"/>
      <c r="L758" s="54"/>
      <c r="M758" s="54"/>
      <c r="N758" s="54"/>
      <c r="O758" s="54"/>
      <c r="P758" s="54"/>
      <c r="Q758" s="54"/>
      <c r="R758" s="54"/>
      <c r="S758" s="54"/>
      <c r="T758" s="54"/>
      <c r="U758" s="54"/>
      <c r="V758" s="54"/>
      <c r="W758" s="54"/>
      <c r="X758" s="54"/>
      <c r="Y758" s="54"/>
      <c r="Z758" s="54"/>
    </row>
    <row r="759">
      <c r="A759" s="54"/>
      <c r="B759" s="55"/>
      <c r="C759" s="54"/>
      <c r="D759" s="63"/>
      <c r="E759" s="54"/>
      <c r="F759" s="54"/>
      <c r="G759" s="54"/>
      <c r="H759" s="54"/>
      <c r="I759" s="54"/>
      <c r="J759" s="54"/>
      <c r="K759" s="54"/>
      <c r="L759" s="54"/>
      <c r="M759" s="54"/>
      <c r="N759" s="54"/>
      <c r="O759" s="54"/>
      <c r="P759" s="54"/>
      <c r="Q759" s="54"/>
      <c r="R759" s="54"/>
      <c r="S759" s="54"/>
      <c r="T759" s="54"/>
      <c r="U759" s="54"/>
      <c r="V759" s="54"/>
      <c r="W759" s="54"/>
      <c r="X759" s="54"/>
      <c r="Y759" s="54"/>
      <c r="Z759" s="54"/>
    </row>
    <row r="760">
      <c r="A760" s="54"/>
      <c r="B760" s="55"/>
      <c r="C760" s="54"/>
      <c r="D760" s="63"/>
      <c r="E760" s="54"/>
      <c r="F760" s="54"/>
      <c r="G760" s="54"/>
      <c r="H760" s="54"/>
      <c r="I760" s="54"/>
      <c r="J760" s="54"/>
      <c r="K760" s="54"/>
      <c r="L760" s="54"/>
      <c r="M760" s="54"/>
      <c r="N760" s="54"/>
      <c r="O760" s="54"/>
      <c r="P760" s="54"/>
      <c r="Q760" s="54"/>
      <c r="R760" s="54"/>
      <c r="S760" s="54"/>
      <c r="T760" s="54"/>
      <c r="U760" s="54"/>
      <c r="V760" s="54"/>
      <c r="W760" s="54"/>
      <c r="X760" s="54"/>
      <c r="Y760" s="54"/>
      <c r="Z760" s="54"/>
    </row>
    <row r="761">
      <c r="A761" s="54"/>
      <c r="B761" s="55"/>
      <c r="C761" s="54"/>
      <c r="D761" s="63"/>
      <c r="E761" s="54"/>
      <c r="F761" s="54"/>
      <c r="G761" s="54"/>
      <c r="H761" s="54"/>
      <c r="I761" s="54"/>
      <c r="J761" s="54"/>
      <c r="K761" s="54"/>
      <c r="L761" s="54"/>
      <c r="M761" s="54"/>
      <c r="N761" s="54"/>
      <c r="O761" s="54"/>
      <c r="P761" s="54"/>
      <c r="Q761" s="54"/>
      <c r="R761" s="54"/>
      <c r="S761" s="54"/>
      <c r="T761" s="54"/>
      <c r="U761" s="54"/>
      <c r="V761" s="54"/>
      <c r="W761" s="54"/>
      <c r="X761" s="54"/>
      <c r="Y761" s="54"/>
      <c r="Z761" s="54"/>
    </row>
    <row r="762">
      <c r="A762" s="54"/>
      <c r="B762" s="55"/>
      <c r="C762" s="54"/>
      <c r="D762" s="63"/>
      <c r="E762" s="54"/>
      <c r="F762" s="54"/>
      <c r="G762" s="54"/>
      <c r="H762" s="54"/>
      <c r="I762" s="54"/>
      <c r="J762" s="54"/>
      <c r="K762" s="54"/>
      <c r="L762" s="54"/>
      <c r="M762" s="54"/>
      <c r="N762" s="54"/>
      <c r="O762" s="54"/>
      <c r="P762" s="54"/>
      <c r="Q762" s="54"/>
      <c r="R762" s="54"/>
      <c r="S762" s="54"/>
      <c r="T762" s="54"/>
      <c r="U762" s="54"/>
      <c r="V762" s="54"/>
      <c r="W762" s="54"/>
      <c r="X762" s="54"/>
      <c r="Y762" s="54"/>
      <c r="Z762" s="54"/>
    </row>
    <row r="763">
      <c r="A763" s="54"/>
      <c r="B763" s="55"/>
      <c r="C763" s="54"/>
      <c r="D763" s="63"/>
      <c r="E763" s="54"/>
      <c r="F763" s="54"/>
      <c r="G763" s="54"/>
      <c r="H763" s="54"/>
      <c r="I763" s="54"/>
      <c r="J763" s="54"/>
      <c r="K763" s="54"/>
      <c r="L763" s="54"/>
      <c r="M763" s="54"/>
      <c r="N763" s="54"/>
      <c r="O763" s="54"/>
      <c r="P763" s="54"/>
      <c r="Q763" s="54"/>
      <c r="R763" s="54"/>
      <c r="S763" s="54"/>
      <c r="T763" s="54"/>
      <c r="U763" s="54"/>
      <c r="V763" s="54"/>
      <c r="W763" s="54"/>
      <c r="X763" s="54"/>
      <c r="Y763" s="54"/>
      <c r="Z763" s="54"/>
    </row>
    <row r="764">
      <c r="A764" s="54"/>
      <c r="B764" s="55"/>
      <c r="C764" s="54"/>
      <c r="D764" s="63"/>
      <c r="E764" s="54"/>
      <c r="F764" s="54"/>
      <c r="G764" s="54"/>
      <c r="H764" s="54"/>
      <c r="I764" s="54"/>
      <c r="J764" s="54"/>
      <c r="K764" s="54"/>
      <c r="L764" s="54"/>
      <c r="M764" s="54"/>
      <c r="N764" s="54"/>
      <c r="O764" s="54"/>
      <c r="P764" s="54"/>
      <c r="Q764" s="54"/>
      <c r="R764" s="54"/>
      <c r="S764" s="54"/>
      <c r="T764" s="54"/>
      <c r="U764" s="54"/>
      <c r="V764" s="54"/>
      <c r="W764" s="54"/>
      <c r="X764" s="54"/>
      <c r="Y764" s="54"/>
      <c r="Z764" s="54"/>
    </row>
    <row r="765">
      <c r="A765" s="54"/>
      <c r="B765" s="55"/>
      <c r="C765" s="54"/>
      <c r="D765" s="63"/>
      <c r="E765" s="54"/>
      <c r="F765" s="54"/>
      <c r="G765" s="54"/>
      <c r="H765" s="54"/>
      <c r="I765" s="54"/>
      <c r="J765" s="54"/>
      <c r="K765" s="54"/>
      <c r="L765" s="54"/>
      <c r="M765" s="54"/>
      <c r="N765" s="54"/>
      <c r="O765" s="54"/>
      <c r="P765" s="54"/>
      <c r="Q765" s="54"/>
      <c r="R765" s="54"/>
      <c r="S765" s="54"/>
      <c r="T765" s="54"/>
      <c r="U765" s="54"/>
      <c r="V765" s="54"/>
      <c r="W765" s="54"/>
      <c r="X765" s="54"/>
      <c r="Y765" s="54"/>
      <c r="Z765" s="54"/>
    </row>
    <row r="766">
      <c r="A766" s="54"/>
      <c r="B766" s="55"/>
      <c r="C766" s="54"/>
      <c r="D766" s="63"/>
      <c r="E766" s="54"/>
      <c r="F766" s="54"/>
      <c r="G766" s="54"/>
      <c r="H766" s="54"/>
      <c r="I766" s="54"/>
      <c r="J766" s="54"/>
      <c r="K766" s="54"/>
      <c r="L766" s="54"/>
      <c r="M766" s="54"/>
      <c r="N766" s="54"/>
      <c r="O766" s="54"/>
      <c r="P766" s="54"/>
      <c r="Q766" s="54"/>
      <c r="R766" s="54"/>
      <c r="S766" s="54"/>
      <c r="T766" s="54"/>
      <c r="U766" s="54"/>
      <c r="V766" s="54"/>
      <c r="W766" s="54"/>
      <c r="X766" s="54"/>
      <c r="Y766" s="54"/>
      <c r="Z766" s="54"/>
    </row>
    <row r="767">
      <c r="A767" s="54"/>
      <c r="B767" s="55"/>
      <c r="C767" s="54"/>
      <c r="D767" s="63"/>
      <c r="E767" s="54"/>
      <c r="F767" s="54"/>
      <c r="G767" s="54"/>
      <c r="H767" s="54"/>
      <c r="I767" s="54"/>
      <c r="J767" s="54"/>
      <c r="K767" s="54"/>
      <c r="L767" s="54"/>
      <c r="M767" s="54"/>
      <c r="N767" s="54"/>
      <c r="O767" s="54"/>
      <c r="P767" s="54"/>
      <c r="Q767" s="54"/>
      <c r="R767" s="54"/>
      <c r="S767" s="54"/>
      <c r="T767" s="54"/>
      <c r="U767" s="54"/>
      <c r="V767" s="54"/>
      <c r="W767" s="54"/>
      <c r="X767" s="54"/>
      <c r="Y767" s="54"/>
      <c r="Z767" s="54"/>
    </row>
    <row r="768">
      <c r="A768" s="54"/>
      <c r="B768" s="55"/>
      <c r="C768" s="54"/>
      <c r="D768" s="63"/>
      <c r="E768" s="54"/>
      <c r="F768" s="54"/>
      <c r="G768" s="54"/>
      <c r="H768" s="54"/>
      <c r="I768" s="54"/>
      <c r="J768" s="54"/>
      <c r="K768" s="54"/>
      <c r="L768" s="54"/>
      <c r="M768" s="54"/>
      <c r="N768" s="54"/>
      <c r="O768" s="54"/>
      <c r="P768" s="54"/>
      <c r="Q768" s="54"/>
      <c r="R768" s="54"/>
      <c r="S768" s="54"/>
      <c r="T768" s="54"/>
      <c r="U768" s="54"/>
      <c r="V768" s="54"/>
      <c r="W768" s="54"/>
      <c r="X768" s="54"/>
      <c r="Y768" s="54"/>
      <c r="Z768" s="54"/>
    </row>
    <row r="769">
      <c r="A769" s="54"/>
      <c r="B769" s="55"/>
      <c r="C769" s="54"/>
      <c r="D769" s="63"/>
      <c r="E769" s="54"/>
      <c r="F769" s="54"/>
      <c r="G769" s="54"/>
      <c r="H769" s="54"/>
      <c r="I769" s="54"/>
      <c r="J769" s="54"/>
      <c r="K769" s="54"/>
      <c r="L769" s="54"/>
      <c r="M769" s="54"/>
      <c r="N769" s="54"/>
      <c r="O769" s="54"/>
      <c r="P769" s="54"/>
      <c r="Q769" s="54"/>
      <c r="R769" s="54"/>
      <c r="S769" s="54"/>
      <c r="T769" s="54"/>
      <c r="U769" s="54"/>
      <c r="V769" s="54"/>
      <c r="W769" s="54"/>
      <c r="X769" s="54"/>
      <c r="Y769" s="54"/>
      <c r="Z769" s="54"/>
    </row>
    <row r="770">
      <c r="A770" s="54"/>
      <c r="B770" s="55"/>
      <c r="C770" s="54"/>
      <c r="D770" s="63"/>
      <c r="E770" s="54"/>
      <c r="F770" s="54"/>
      <c r="G770" s="54"/>
      <c r="H770" s="54"/>
      <c r="I770" s="54"/>
      <c r="J770" s="54"/>
      <c r="K770" s="54"/>
      <c r="L770" s="54"/>
      <c r="M770" s="54"/>
      <c r="N770" s="54"/>
      <c r="O770" s="54"/>
      <c r="P770" s="54"/>
      <c r="Q770" s="54"/>
      <c r="R770" s="54"/>
      <c r="S770" s="54"/>
      <c r="T770" s="54"/>
      <c r="U770" s="54"/>
      <c r="V770" s="54"/>
      <c r="W770" s="54"/>
      <c r="X770" s="54"/>
      <c r="Y770" s="54"/>
      <c r="Z770" s="54"/>
    </row>
    <row r="771">
      <c r="A771" s="54"/>
      <c r="B771" s="55"/>
      <c r="C771" s="54"/>
      <c r="D771" s="63"/>
      <c r="E771" s="54"/>
      <c r="F771" s="54"/>
      <c r="G771" s="54"/>
      <c r="H771" s="54"/>
      <c r="I771" s="54"/>
      <c r="J771" s="54"/>
      <c r="K771" s="54"/>
      <c r="L771" s="54"/>
      <c r="M771" s="54"/>
      <c r="N771" s="54"/>
      <c r="O771" s="54"/>
      <c r="P771" s="54"/>
      <c r="Q771" s="54"/>
      <c r="R771" s="54"/>
      <c r="S771" s="54"/>
      <c r="T771" s="54"/>
      <c r="U771" s="54"/>
      <c r="V771" s="54"/>
      <c r="W771" s="54"/>
      <c r="X771" s="54"/>
      <c r="Y771" s="54"/>
      <c r="Z771" s="54"/>
    </row>
    <row r="772">
      <c r="A772" s="54"/>
      <c r="B772" s="55"/>
      <c r="C772" s="54"/>
      <c r="D772" s="63"/>
      <c r="E772" s="54"/>
      <c r="F772" s="54"/>
      <c r="G772" s="54"/>
      <c r="H772" s="54"/>
      <c r="I772" s="54"/>
      <c r="J772" s="54"/>
      <c r="K772" s="54"/>
      <c r="L772" s="54"/>
      <c r="M772" s="54"/>
      <c r="N772" s="54"/>
      <c r="O772" s="54"/>
      <c r="P772" s="54"/>
      <c r="Q772" s="54"/>
      <c r="R772" s="54"/>
      <c r="S772" s="54"/>
      <c r="T772" s="54"/>
      <c r="U772" s="54"/>
      <c r="V772" s="54"/>
      <c r="W772" s="54"/>
      <c r="X772" s="54"/>
      <c r="Y772" s="54"/>
      <c r="Z772" s="54"/>
    </row>
    <row r="773">
      <c r="A773" s="54"/>
      <c r="B773" s="55"/>
      <c r="C773" s="54"/>
      <c r="D773" s="63"/>
      <c r="E773" s="54"/>
      <c r="F773" s="54"/>
      <c r="G773" s="54"/>
      <c r="H773" s="54"/>
      <c r="I773" s="54"/>
      <c r="J773" s="54"/>
      <c r="K773" s="54"/>
      <c r="L773" s="54"/>
      <c r="M773" s="54"/>
      <c r="N773" s="54"/>
      <c r="O773" s="54"/>
      <c r="P773" s="54"/>
      <c r="Q773" s="54"/>
      <c r="R773" s="54"/>
      <c r="S773" s="54"/>
      <c r="T773" s="54"/>
      <c r="U773" s="54"/>
      <c r="V773" s="54"/>
      <c r="W773" s="54"/>
      <c r="X773" s="54"/>
      <c r="Y773" s="54"/>
      <c r="Z773" s="54"/>
    </row>
    <row r="774">
      <c r="A774" s="54"/>
      <c r="B774" s="55"/>
      <c r="C774" s="54"/>
      <c r="D774" s="63"/>
      <c r="E774" s="54"/>
      <c r="F774" s="54"/>
      <c r="G774" s="54"/>
      <c r="H774" s="54"/>
      <c r="I774" s="54"/>
      <c r="J774" s="54"/>
      <c r="K774" s="54"/>
      <c r="L774" s="54"/>
      <c r="M774" s="54"/>
      <c r="N774" s="54"/>
      <c r="O774" s="54"/>
      <c r="P774" s="54"/>
      <c r="Q774" s="54"/>
      <c r="R774" s="54"/>
      <c r="S774" s="54"/>
      <c r="T774" s="54"/>
      <c r="U774" s="54"/>
      <c r="V774" s="54"/>
      <c r="W774" s="54"/>
      <c r="X774" s="54"/>
      <c r="Y774" s="54"/>
      <c r="Z774" s="54"/>
    </row>
    <row r="775">
      <c r="A775" s="54"/>
      <c r="B775" s="55"/>
      <c r="C775" s="54"/>
      <c r="D775" s="63"/>
      <c r="E775" s="54"/>
      <c r="F775" s="54"/>
      <c r="G775" s="54"/>
      <c r="H775" s="54"/>
      <c r="I775" s="54"/>
      <c r="J775" s="54"/>
      <c r="K775" s="54"/>
      <c r="L775" s="54"/>
      <c r="M775" s="54"/>
      <c r="N775" s="54"/>
      <c r="O775" s="54"/>
      <c r="P775" s="54"/>
      <c r="Q775" s="54"/>
      <c r="R775" s="54"/>
      <c r="S775" s="54"/>
      <c r="T775" s="54"/>
      <c r="U775" s="54"/>
      <c r="V775" s="54"/>
      <c r="W775" s="54"/>
      <c r="X775" s="54"/>
      <c r="Y775" s="54"/>
      <c r="Z775" s="54"/>
    </row>
    <row r="776">
      <c r="A776" s="54"/>
      <c r="B776" s="55"/>
      <c r="C776" s="54"/>
      <c r="D776" s="63"/>
      <c r="E776" s="54"/>
      <c r="F776" s="54"/>
      <c r="G776" s="54"/>
      <c r="H776" s="54"/>
      <c r="I776" s="54"/>
      <c r="J776" s="54"/>
      <c r="K776" s="54"/>
      <c r="L776" s="54"/>
      <c r="M776" s="54"/>
      <c r="N776" s="54"/>
      <c r="O776" s="54"/>
      <c r="P776" s="54"/>
      <c r="Q776" s="54"/>
      <c r="R776" s="54"/>
      <c r="S776" s="54"/>
      <c r="T776" s="54"/>
      <c r="U776" s="54"/>
      <c r="V776" s="54"/>
      <c r="W776" s="54"/>
      <c r="X776" s="54"/>
      <c r="Y776" s="54"/>
      <c r="Z776" s="54"/>
    </row>
    <row r="777">
      <c r="A777" s="54"/>
      <c r="B777" s="55"/>
      <c r="C777" s="54"/>
      <c r="D777" s="63"/>
      <c r="E777" s="54"/>
      <c r="F777" s="54"/>
      <c r="G777" s="54"/>
      <c r="H777" s="54"/>
      <c r="I777" s="54"/>
      <c r="J777" s="54"/>
      <c r="K777" s="54"/>
      <c r="L777" s="54"/>
      <c r="M777" s="54"/>
      <c r="N777" s="54"/>
      <c r="O777" s="54"/>
      <c r="P777" s="54"/>
      <c r="Q777" s="54"/>
      <c r="R777" s="54"/>
      <c r="S777" s="54"/>
      <c r="T777" s="54"/>
      <c r="U777" s="54"/>
      <c r="V777" s="54"/>
      <c r="W777" s="54"/>
      <c r="X777" s="54"/>
      <c r="Y777" s="54"/>
      <c r="Z777" s="54"/>
    </row>
    <row r="778">
      <c r="A778" s="54"/>
      <c r="B778" s="55"/>
      <c r="C778" s="54"/>
      <c r="D778" s="63"/>
      <c r="E778" s="54"/>
      <c r="F778" s="54"/>
      <c r="G778" s="54"/>
      <c r="H778" s="54"/>
      <c r="I778" s="54"/>
      <c r="J778" s="54"/>
      <c r="K778" s="54"/>
      <c r="L778" s="54"/>
      <c r="M778" s="54"/>
      <c r="N778" s="54"/>
      <c r="O778" s="54"/>
      <c r="P778" s="54"/>
      <c r="Q778" s="54"/>
      <c r="R778" s="54"/>
      <c r="S778" s="54"/>
      <c r="T778" s="54"/>
      <c r="U778" s="54"/>
      <c r="V778" s="54"/>
      <c r="W778" s="54"/>
      <c r="X778" s="54"/>
      <c r="Y778" s="54"/>
      <c r="Z778" s="54"/>
    </row>
    <row r="779">
      <c r="A779" s="54"/>
      <c r="B779" s="55"/>
      <c r="C779" s="54"/>
      <c r="D779" s="63"/>
      <c r="E779" s="54"/>
      <c r="F779" s="54"/>
      <c r="G779" s="54"/>
      <c r="H779" s="54"/>
      <c r="I779" s="54"/>
      <c r="J779" s="54"/>
      <c r="K779" s="54"/>
      <c r="L779" s="54"/>
      <c r="M779" s="54"/>
      <c r="N779" s="54"/>
      <c r="O779" s="54"/>
      <c r="P779" s="54"/>
      <c r="Q779" s="54"/>
      <c r="R779" s="54"/>
      <c r="S779" s="54"/>
      <c r="T779" s="54"/>
      <c r="U779" s="54"/>
      <c r="V779" s="54"/>
      <c r="W779" s="54"/>
      <c r="X779" s="54"/>
      <c r="Y779" s="54"/>
      <c r="Z779" s="54"/>
    </row>
    <row r="780">
      <c r="A780" s="54"/>
      <c r="B780" s="55"/>
      <c r="C780" s="54"/>
      <c r="D780" s="63"/>
      <c r="E780" s="54"/>
      <c r="F780" s="54"/>
      <c r="G780" s="54"/>
      <c r="H780" s="54"/>
      <c r="I780" s="54"/>
      <c r="J780" s="54"/>
      <c r="K780" s="54"/>
      <c r="L780" s="54"/>
      <c r="M780" s="54"/>
      <c r="N780" s="54"/>
      <c r="O780" s="54"/>
      <c r="P780" s="54"/>
      <c r="Q780" s="54"/>
      <c r="R780" s="54"/>
      <c r="S780" s="54"/>
      <c r="T780" s="54"/>
      <c r="U780" s="54"/>
      <c r="V780" s="54"/>
      <c r="W780" s="54"/>
      <c r="X780" s="54"/>
      <c r="Y780" s="54"/>
      <c r="Z780" s="54"/>
    </row>
    <row r="781">
      <c r="A781" s="54"/>
      <c r="B781" s="55"/>
      <c r="C781" s="54"/>
      <c r="D781" s="63"/>
      <c r="E781" s="54"/>
      <c r="F781" s="54"/>
      <c r="G781" s="54"/>
      <c r="H781" s="54"/>
      <c r="I781" s="54"/>
      <c r="J781" s="54"/>
      <c r="K781" s="54"/>
      <c r="L781" s="54"/>
      <c r="M781" s="54"/>
      <c r="N781" s="54"/>
      <c r="O781" s="54"/>
      <c r="P781" s="54"/>
      <c r="Q781" s="54"/>
      <c r="R781" s="54"/>
      <c r="S781" s="54"/>
      <c r="T781" s="54"/>
      <c r="U781" s="54"/>
      <c r="V781" s="54"/>
      <c r="W781" s="54"/>
      <c r="X781" s="54"/>
      <c r="Y781" s="54"/>
      <c r="Z781" s="54"/>
    </row>
    <row r="782">
      <c r="A782" s="54"/>
      <c r="B782" s="55"/>
      <c r="C782" s="54"/>
      <c r="D782" s="63"/>
      <c r="E782" s="54"/>
      <c r="F782" s="54"/>
      <c r="G782" s="54"/>
      <c r="H782" s="54"/>
      <c r="I782" s="54"/>
      <c r="J782" s="54"/>
      <c r="K782" s="54"/>
      <c r="L782" s="54"/>
      <c r="M782" s="54"/>
      <c r="N782" s="54"/>
      <c r="O782" s="54"/>
      <c r="P782" s="54"/>
      <c r="Q782" s="54"/>
      <c r="R782" s="54"/>
      <c r="S782" s="54"/>
      <c r="T782" s="54"/>
      <c r="U782" s="54"/>
      <c r="V782" s="54"/>
      <c r="W782" s="54"/>
      <c r="X782" s="54"/>
      <c r="Y782" s="54"/>
      <c r="Z782" s="54"/>
    </row>
    <row r="783">
      <c r="A783" s="54"/>
      <c r="B783" s="55"/>
      <c r="C783" s="54"/>
      <c r="D783" s="63"/>
      <c r="E783" s="54"/>
      <c r="F783" s="54"/>
      <c r="G783" s="54"/>
      <c r="H783" s="54"/>
      <c r="I783" s="54"/>
      <c r="J783" s="54"/>
      <c r="K783" s="54"/>
      <c r="L783" s="54"/>
      <c r="M783" s="54"/>
      <c r="N783" s="54"/>
      <c r="O783" s="54"/>
      <c r="P783" s="54"/>
      <c r="Q783" s="54"/>
      <c r="R783" s="54"/>
      <c r="S783" s="54"/>
      <c r="T783" s="54"/>
      <c r="U783" s="54"/>
      <c r="V783" s="54"/>
      <c r="W783" s="54"/>
      <c r="X783" s="54"/>
      <c r="Y783" s="54"/>
      <c r="Z783" s="54"/>
    </row>
    <row r="784">
      <c r="A784" s="54"/>
      <c r="B784" s="55"/>
      <c r="C784" s="54"/>
      <c r="D784" s="63"/>
      <c r="E784" s="54"/>
      <c r="F784" s="54"/>
      <c r="G784" s="54"/>
      <c r="H784" s="54"/>
      <c r="I784" s="54"/>
      <c r="J784" s="54"/>
      <c r="K784" s="54"/>
      <c r="L784" s="54"/>
      <c r="M784" s="54"/>
      <c r="N784" s="54"/>
      <c r="O784" s="54"/>
      <c r="P784" s="54"/>
      <c r="Q784" s="54"/>
      <c r="R784" s="54"/>
      <c r="S784" s="54"/>
      <c r="T784" s="54"/>
      <c r="U784" s="54"/>
      <c r="V784" s="54"/>
      <c r="W784" s="54"/>
      <c r="X784" s="54"/>
      <c r="Y784" s="54"/>
      <c r="Z784" s="54"/>
    </row>
    <row r="785">
      <c r="A785" s="54"/>
      <c r="B785" s="55"/>
      <c r="C785" s="54"/>
      <c r="D785" s="63"/>
      <c r="E785" s="54"/>
      <c r="F785" s="54"/>
      <c r="G785" s="54"/>
      <c r="H785" s="54"/>
      <c r="I785" s="54"/>
      <c r="J785" s="54"/>
      <c r="K785" s="54"/>
      <c r="L785" s="54"/>
      <c r="M785" s="54"/>
      <c r="N785" s="54"/>
      <c r="O785" s="54"/>
      <c r="P785" s="54"/>
      <c r="Q785" s="54"/>
      <c r="R785" s="54"/>
      <c r="S785" s="54"/>
      <c r="T785" s="54"/>
      <c r="U785" s="54"/>
      <c r="V785" s="54"/>
      <c r="W785" s="54"/>
      <c r="X785" s="54"/>
      <c r="Y785" s="54"/>
      <c r="Z785" s="54"/>
    </row>
    <row r="786">
      <c r="A786" s="54"/>
      <c r="B786" s="55"/>
      <c r="C786" s="54"/>
      <c r="D786" s="63"/>
      <c r="E786" s="54"/>
      <c r="F786" s="54"/>
      <c r="G786" s="54"/>
      <c r="H786" s="54"/>
      <c r="I786" s="54"/>
      <c r="J786" s="54"/>
      <c r="K786" s="54"/>
      <c r="L786" s="54"/>
      <c r="M786" s="54"/>
      <c r="N786" s="54"/>
      <c r="O786" s="54"/>
      <c r="P786" s="54"/>
      <c r="Q786" s="54"/>
      <c r="R786" s="54"/>
      <c r="S786" s="54"/>
      <c r="T786" s="54"/>
      <c r="U786" s="54"/>
      <c r="V786" s="54"/>
      <c r="W786" s="54"/>
      <c r="X786" s="54"/>
      <c r="Y786" s="54"/>
      <c r="Z786" s="54"/>
    </row>
    <row r="787">
      <c r="A787" s="54"/>
      <c r="B787" s="55"/>
      <c r="C787" s="54"/>
      <c r="D787" s="63"/>
      <c r="E787" s="54"/>
      <c r="F787" s="54"/>
      <c r="G787" s="54"/>
      <c r="H787" s="54"/>
      <c r="I787" s="54"/>
      <c r="J787" s="54"/>
      <c r="K787" s="54"/>
      <c r="L787" s="54"/>
      <c r="M787" s="54"/>
      <c r="N787" s="54"/>
      <c r="O787" s="54"/>
      <c r="P787" s="54"/>
      <c r="Q787" s="54"/>
      <c r="R787" s="54"/>
      <c r="S787" s="54"/>
      <c r="T787" s="54"/>
      <c r="U787" s="54"/>
      <c r="V787" s="54"/>
      <c r="W787" s="54"/>
      <c r="X787" s="54"/>
      <c r="Y787" s="54"/>
      <c r="Z787" s="54"/>
    </row>
    <row r="788">
      <c r="A788" s="54"/>
      <c r="B788" s="55"/>
      <c r="C788" s="54"/>
      <c r="D788" s="63"/>
      <c r="E788" s="54"/>
      <c r="F788" s="54"/>
      <c r="G788" s="54"/>
      <c r="H788" s="54"/>
      <c r="I788" s="54"/>
      <c r="J788" s="54"/>
      <c r="K788" s="54"/>
      <c r="L788" s="54"/>
      <c r="M788" s="54"/>
      <c r="N788" s="54"/>
      <c r="O788" s="54"/>
      <c r="P788" s="54"/>
      <c r="Q788" s="54"/>
      <c r="R788" s="54"/>
      <c r="S788" s="54"/>
      <c r="T788" s="54"/>
      <c r="U788" s="54"/>
      <c r="V788" s="54"/>
      <c r="W788" s="54"/>
      <c r="X788" s="54"/>
      <c r="Y788" s="54"/>
      <c r="Z788" s="54"/>
    </row>
    <row r="789">
      <c r="A789" s="54"/>
      <c r="B789" s="55"/>
      <c r="C789" s="54"/>
      <c r="D789" s="63"/>
      <c r="E789" s="54"/>
      <c r="F789" s="54"/>
      <c r="G789" s="54"/>
      <c r="H789" s="54"/>
      <c r="I789" s="54"/>
      <c r="J789" s="54"/>
      <c r="K789" s="54"/>
      <c r="L789" s="54"/>
      <c r="M789" s="54"/>
      <c r="N789" s="54"/>
      <c r="O789" s="54"/>
      <c r="P789" s="54"/>
      <c r="Q789" s="54"/>
      <c r="R789" s="54"/>
      <c r="S789" s="54"/>
      <c r="T789" s="54"/>
      <c r="U789" s="54"/>
      <c r="V789" s="54"/>
      <c r="W789" s="54"/>
      <c r="X789" s="54"/>
      <c r="Y789" s="54"/>
      <c r="Z789" s="54"/>
    </row>
    <row r="790">
      <c r="A790" s="54"/>
      <c r="B790" s="55"/>
      <c r="C790" s="54"/>
      <c r="D790" s="63"/>
      <c r="E790" s="54"/>
      <c r="F790" s="54"/>
      <c r="G790" s="54"/>
      <c r="H790" s="54"/>
      <c r="I790" s="54"/>
      <c r="J790" s="54"/>
      <c r="K790" s="54"/>
      <c r="L790" s="54"/>
      <c r="M790" s="54"/>
      <c r="N790" s="54"/>
      <c r="O790" s="54"/>
      <c r="P790" s="54"/>
      <c r="Q790" s="54"/>
      <c r="R790" s="54"/>
      <c r="S790" s="54"/>
      <c r="T790" s="54"/>
      <c r="U790" s="54"/>
      <c r="V790" s="54"/>
      <c r="W790" s="54"/>
      <c r="X790" s="54"/>
      <c r="Y790" s="54"/>
      <c r="Z790" s="54"/>
    </row>
    <row r="791">
      <c r="A791" s="54"/>
      <c r="B791" s="55"/>
      <c r="C791" s="54"/>
      <c r="D791" s="63"/>
      <c r="E791" s="54"/>
      <c r="F791" s="54"/>
      <c r="G791" s="54"/>
      <c r="H791" s="54"/>
      <c r="I791" s="54"/>
      <c r="J791" s="54"/>
      <c r="K791" s="54"/>
      <c r="L791" s="54"/>
      <c r="M791" s="54"/>
      <c r="N791" s="54"/>
      <c r="O791" s="54"/>
      <c r="P791" s="54"/>
      <c r="Q791" s="54"/>
      <c r="R791" s="54"/>
      <c r="S791" s="54"/>
      <c r="T791" s="54"/>
      <c r="U791" s="54"/>
      <c r="V791" s="54"/>
      <c r="W791" s="54"/>
      <c r="X791" s="54"/>
      <c r="Y791" s="54"/>
      <c r="Z791" s="54"/>
    </row>
    <row r="792">
      <c r="A792" s="54"/>
      <c r="B792" s="55"/>
      <c r="C792" s="54"/>
      <c r="D792" s="63"/>
      <c r="E792" s="54"/>
      <c r="F792" s="54"/>
      <c r="G792" s="54"/>
      <c r="H792" s="54"/>
      <c r="I792" s="54"/>
      <c r="J792" s="54"/>
      <c r="K792" s="54"/>
      <c r="L792" s="54"/>
      <c r="M792" s="54"/>
      <c r="N792" s="54"/>
      <c r="O792" s="54"/>
      <c r="P792" s="54"/>
      <c r="Q792" s="54"/>
      <c r="R792" s="54"/>
      <c r="S792" s="54"/>
      <c r="T792" s="54"/>
      <c r="U792" s="54"/>
      <c r="V792" s="54"/>
      <c r="W792" s="54"/>
      <c r="X792" s="54"/>
      <c r="Y792" s="54"/>
      <c r="Z792" s="54"/>
    </row>
    <row r="793">
      <c r="A793" s="54"/>
      <c r="B793" s="55"/>
      <c r="C793" s="54"/>
      <c r="D793" s="63"/>
      <c r="E793" s="54"/>
      <c r="F793" s="54"/>
      <c r="G793" s="54"/>
      <c r="H793" s="54"/>
      <c r="I793" s="54"/>
      <c r="J793" s="54"/>
      <c r="K793" s="54"/>
      <c r="L793" s="54"/>
      <c r="M793" s="54"/>
      <c r="N793" s="54"/>
      <c r="O793" s="54"/>
      <c r="P793" s="54"/>
      <c r="Q793" s="54"/>
      <c r="R793" s="54"/>
      <c r="S793" s="54"/>
      <c r="T793" s="54"/>
      <c r="U793" s="54"/>
      <c r="V793" s="54"/>
      <c r="W793" s="54"/>
      <c r="X793" s="54"/>
      <c r="Y793" s="54"/>
      <c r="Z793" s="54"/>
    </row>
    <row r="794">
      <c r="A794" s="54"/>
      <c r="B794" s="55"/>
      <c r="C794" s="54"/>
      <c r="D794" s="63"/>
      <c r="E794" s="54"/>
      <c r="F794" s="54"/>
      <c r="G794" s="54"/>
      <c r="H794" s="54"/>
      <c r="I794" s="54"/>
      <c r="J794" s="54"/>
      <c r="K794" s="54"/>
      <c r="L794" s="54"/>
      <c r="M794" s="54"/>
      <c r="N794" s="54"/>
      <c r="O794" s="54"/>
      <c r="P794" s="54"/>
      <c r="Q794" s="54"/>
      <c r="R794" s="54"/>
      <c r="S794" s="54"/>
      <c r="T794" s="54"/>
      <c r="U794" s="54"/>
      <c r="V794" s="54"/>
      <c r="W794" s="54"/>
      <c r="X794" s="54"/>
      <c r="Y794" s="54"/>
      <c r="Z794" s="54"/>
    </row>
    <row r="795">
      <c r="A795" s="54"/>
      <c r="B795" s="55"/>
      <c r="C795" s="54"/>
      <c r="D795" s="63"/>
      <c r="E795" s="54"/>
      <c r="F795" s="54"/>
      <c r="G795" s="54"/>
      <c r="H795" s="54"/>
      <c r="I795" s="54"/>
      <c r="J795" s="54"/>
      <c r="K795" s="54"/>
      <c r="L795" s="54"/>
      <c r="M795" s="54"/>
      <c r="N795" s="54"/>
      <c r="O795" s="54"/>
      <c r="P795" s="54"/>
      <c r="Q795" s="54"/>
      <c r="R795" s="54"/>
      <c r="S795" s="54"/>
      <c r="T795" s="54"/>
      <c r="U795" s="54"/>
      <c r="V795" s="54"/>
      <c r="W795" s="54"/>
      <c r="X795" s="54"/>
      <c r="Y795" s="54"/>
      <c r="Z795" s="54"/>
    </row>
    <row r="796">
      <c r="A796" s="54"/>
      <c r="B796" s="55"/>
      <c r="C796" s="54"/>
      <c r="D796" s="63"/>
      <c r="E796" s="54"/>
      <c r="F796" s="54"/>
      <c r="G796" s="54"/>
      <c r="H796" s="54"/>
      <c r="I796" s="54"/>
      <c r="J796" s="54"/>
      <c r="K796" s="54"/>
      <c r="L796" s="54"/>
      <c r="M796" s="54"/>
      <c r="N796" s="54"/>
      <c r="O796" s="54"/>
      <c r="P796" s="54"/>
      <c r="Q796" s="54"/>
      <c r="R796" s="54"/>
      <c r="S796" s="54"/>
      <c r="T796" s="54"/>
      <c r="U796" s="54"/>
      <c r="V796" s="54"/>
      <c r="W796" s="54"/>
      <c r="X796" s="54"/>
      <c r="Y796" s="54"/>
      <c r="Z796" s="54"/>
    </row>
    <row r="797">
      <c r="A797" s="54"/>
      <c r="B797" s="55"/>
      <c r="C797" s="54"/>
      <c r="D797" s="63"/>
      <c r="E797" s="54"/>
      <c r="F797" s="54"/>
      <c r="G797" s="54"/>
      <c r="H797" s="54"/>
      <c r="I797" s="54"/>
      <c r="J797" s="54"/>
      <c r="K797" s="54"/>
      <c r="L797" s="54"/>
      <c r="M797" s="54"/>
      <c r="N797" s="54"/>
      <c r="O797" s="54"/>
      <c r="P797" s="54"/>
      <c r="Q797" s="54"/>
      <c r="R797" s="54"/>
      <c r="S797" s="54"/>
      <c r="T797" s="54"/>
      <c r="U797" s="54"/>
      <c r="V797" s="54"/>
      <c r="W797" s="54"/>
      <c r="X797" s="54"/>
      <c r="Y797" s="54"/>
      <c r="Z797" s="54"/>
    </row>
    <row r="798">
      <c r="A798" s="54"/>
      <c r="B798" s="55"/>
      <c r="C798" s="54"/>
      <c r="D798" s="63"/>
      <c r="E798" s="54"/>
      <c r="F798" s="54"/>
      <c r="G798" s="54"/>
      <c r="H798" s="54"/>
      <c r="I798" s="54"/>
      <c r="J798" s="54"/>
      <c r="K798" s="54"/>
      <c r="L798" s="54"/>
      <c r="M798" s="54"/>
      <c r="N798" s="54"/>
      <c r="O798" s="54"/>
      <c r="P798" s="54"/>
      <c r="Q798" s="54"/>
      <c r="R798" s="54"/>
      <c r="S798" s="54"/>
      <c r="T798" s="54"/>
      <c r="U798" s="54"/>
      <c r="V798" s="54"/>
      <c r="W798" s="54"/>
      <c r="X798" s="54"/>
      <c r="Y798" s="54"/>
      <c r="Z798" s="54"/>
    </row>
    <row r="799">
      <c r="A799" s="54"/>
      <c r="B799" s="55"/>
      <c r="C799" s="54"/>
      <c r="D799" s="63"/>
      <c r="E799" s="54"/>
      <c r="F799" s="54"/>
      <c r="G799" s="54"/>
      <c r="H799" s="54"/>
      <c r="I799" s="54"/>
      <c r="J799" s="54"/>
      <c r="K799" s="54"/>
      <c r="L799" s="54"/>
      <c r="M799" s="54"/>
      <c r="N799" s="54"/>
      <c r="O799" s="54"/>
      <c r="P799" s="54"/>
      <c r="Q799" s="54"/>
      <c r="R799" s="54"/>
      <c r="S799" s="54"/>
      <c r="T799" s="54"/>
      <c r="U799" s="54"/>
      <c r="V799" s="54"/>
      <c r="W799" s="54"/>
      <c r="X799" s="54"/>
      <c r="Y799" s="54"/>
      <c r="Z799" s="54"/>
    </row>
    <row r="800">
      <c r="A800" s="54"/>
      <c r="B800" s="55"/>
      <c r="C800" s="54"/>
      <c r="D800" s="63"/>
      <c r="E800" s="54"/>
      <c r="F800" s="54"/>
      <c r="G800" s="54"/>
      <c r="H800" s="54"/>
      <c r="I800" s="54"/>
      <c r="J800" s="54"/>
      <c r="K800" s="54"/>
      <c r="L800" s="54"/>
      <c r="M800" s="54"/>
      <c r="N800" s="54"/>
      <c r="O800" s="54"/>
      <c r="P800" s="54"/>
      <c r="Q800" s="54"/>
      <c r="R800" s="54"/>
      <c r="S800" s="54"/>
      <c r="T800" s="54"/>
      <c r="U800" s="54"/>
      <c r="V800" s="54"/>
      <c r="W800" s="54"/>
      <c r="X800" s="54"/>
      <c r="Y800" s="54"/>
      <c r="Z800" s="54"/>
    </row>
    <row r="801">
      <c r="A801" s="54"/>
      <c r="B801" s="55"/>
      <c r="C801" s="54"/>
      <c r="D801" s="63"/>
      <c r="E801" s="54"/>
      <c r="F801" s="54"/>
      <c r="G801" s="54"/>
      <c r="H801" s="54"/>
      <c r="I801" s="54"/>
      <c r="J801" s="54"/>
      <c r="K801" s="54"/>
      <c r="L801" s="54"/>
      <c r="M801" s="54"/>
      <c r="N801" s="54"/>
      <c r="O801" s="54"/>
      <c r="P801" s="54"/>
      <c r="Q801" s="54"/>
      <c r="R801" s="54"/>
      <c r="S801" s="54"/>
      <c r="T801" s="54"/>
      <c r="U801" s="54"/>
      <c r="V801" s="54"/>
      <c r="W801" s="54"/>
      <c r="X801" s="54"/>
      <c r="Y801" s="54"/>
      <c r="Z801" s="54"/>
    </row>
    <row r="802">
      <c r="A802" s="54"/>
      <c r="B802" s="55"/>
      <c r="C802" s="54"/>
      <c r="D802" s="63"/>
      <c r="E802" s="54"/>
      <c r="F802" s="54"/>
      <c r="G802" s="54"/>
      <c r="H802" s="54"/>
      <c r="I802" s="54"/>
      <c r="J802" s="54"/>
      <c r="K802" s="54"/>
      <c r="L802" s="54"/>
      <c r="M802" s="54"/>
      <c r="N802" s="54"/>
      <c r="O802" s="54"/>
      <c r="P802" s="54"/>
      <c r="Q802" s="54"/>
      <c r="R802" s="54"/>
      <c r="S802" s="54"/>
      <c r="T802" s="54"/>
      <c r="U802" s="54"/>
      <c r="V802" s="54"/>
      <c r="W802" s="54"/>
      <c r="X802" s="54"/>
      <c r="Y802" s="54"/>
      <c r="Z802" s="54"/>
    </row>
    <row r="803">
      <c r="A803" s="54"/>
      <c r="B803" s="55"/>
      <c r="C803" s="54"/>
      <c r="D803" s="63"/>
      <c r="E803" s="54"/>
      <c r="F803" s="54"/>
      <c r="G803" s="54"/>
      <c r="H803" s="54"/>
      <c r="I803" s="54"/>
      <c r="J803" s="54"/>
      <c r="K803" s="54"/>
      <c r="L803" s="54"/>
      <c r="M803" s="54"/>
      <c r="N803" s="54"/>
      <c r="O803" s="54"/>
      <c r="P803" s="54"/>
      <c r="Q803" s="54"/>
      <c r="R803" s="54"/>
      <c r="S803" s="54"/>
      <c r="T803" s="54"/>
      <c r="U803" s="54"/>
      <c r="V803" s="54"/>
      <c r="W803" s="54"/>
      <c r="X803" s="54"/>
      <c r="Y803" s="54"/>
      <c r="Z803" s="54"/>
    </row>
    <row r="804">
      <c r="A804" s="54"/>
      <c r="B804" s="55"/>
      <c r="C804" s="54"/>
      <c r="D804" s="63"/>
      <c r="E804" s="54"/>
      <c r="F804" s="54"/>
      <c r="G804" s="54"/>
      <c r="H804" s="54"/>
      <c r="I804" s="54"/>
      <c r="J804" s="54"/>
      <c r="K804" s="54"/>
      <c r="L804" s="54"/>
      <c r="M804" s="54"/>
      <c r="N804" s="54"/>
      <c r="O804" s="54"/>
      <c r="P804" s="54"/>
      <c r="Q804" s="54"/>
      <c r="R804" s="54"/>
      <c r="S804" s="54"/>
      <c r="T804" s="54"/>
      <c r="U804" s="54"/>
      <c r="V804" s="54"/>
      <c r="W804" s="54"/>
      <c r="X804" s="54"/>
      <c r="Y804" s="54"/>
      <c r="Z804" s="54"/>
    </row>
    <row r="805">
      <c r="A805" s="54"/>
      <c r="B805" s="55"/>
      <c r="C805" s="54"/>
      <c r="D805" s="63"/>
      <c r="E805" s="54"/>
      <c r="F805" s="54"/>
      <c r="G805" s="54"/>
      <c r="H805" s="54"/>
      <c r="I805" s="54"/>
      <c r="J805" s="54"/>
      <c r="K805" s="54"/>
      <c r="L805" s="54"/>
      <c r="M805" s="54"/>
      <c r="N805" s="54"/>
      <c r="O805" s="54"/>
      <c r="P805" s="54"/>
      <c r="Q805" s="54"/>
      <c r="R805" s="54"/>
      <c r="S805" s="54"/>
      <c r="T805" s="54"/>
      <c r="U805" s="54"/>
      <c r="V805" s="54"/>
      <c r="W805" s="54"/>
      <c r="X805" s="54"/>
      <c r="Y805" s="54"/>
      <c r="Z805" s="54"/>
    </row>
    <row r="806">
      <c r="A806" s="54"/>
      <c r="B806" s="55"/>
      <c r="C806" s="54"/>
      <c r="D806" s="63"/>
      <c r="E806" s="54"/>
      <c r="F806" s="54"/>
      <c r="G806" s="54"/>
      <c r="H806" s="54"/>
      <c r="I806" s="54"/>
      <c r="J806" s="54"/>
      <c r="K806" s="54"/>
      <c r="L806" s="54"/>
      <c r="M806" s="54"/>
      <c r="N806" s="54"/>
      <c r="O806" s="54"/>
      <c r="P806" s="54"/>
      <c r="Q806" s="54"/>
      <c r="R806" s="54"/>
      <c r="S806" s="54"/>
      <c r="T806" s="54"/>
      <c r="U806" s="54"/>
      <c r="V806" s="54"/>
      <c r="W806" s="54"/>
      <c r="X806" s="54"/>
      <c r="Y806" s="54"/>
      <c r="Z806" s="54"/>
    </row>
    <row r="807">
      <c r="A807" s="54"/>
      <c r="B807" s="55"/>
      <c r="C807" s="54"/>
      <c r="D807" s="63"/>
      <c r="E807" s="54"/>
      <c r="F807" s="54"/>
      <c r="G807" s="54"/>
      <c r="H807" s="54"/>
      <c r="I807" s="54"/>
      <c r="J807" s="54"/>
      <c r="K807" s="54"/>
      <c r="L807" s="54"/>
      <c r="M807" s="54"/>
      <c r="N807" s="54"/>
      <c r="O807" s="54"/>
      <c r="P807" s="54"/>
      <c r="Q807" s="54"/>
      <c r="R807" s="54"/>
      <c r="S807" s="54"/>
      <c r="T807" s="54"/>
      <c r="U807" s="54"/>
      <c r="V807" s="54"/>
      <c r="W807" s="54"/>
      <c r="X807" s="54"/>
      <c r="Y807" s="54"/>
      <c r="Z807" s="54"/>
    </row>
    <row r="808">
      <c r="A808" s="54"/>
      <c r="B808" s="55"/>
      <c r="C808" s="54"/>
      <c r="D808" s="63"/>
      <c r="E808" s="54"/>
      <c r="F808" s="54"/>
      <c r="G808" s="54"/>
      <c r="H808" s="54"/>
      <c r="I808" s="54"/>
      <c r="J808" s="54"/>
      <c r="K808" s="54"/>
      <c r="L808" s="54"/>
      <c r="M808" s="54"/>
      <c r="N808" s="54"/>
      <c r="O808" s="54"/>
      <c r="P808" s="54"/>
      <c r="Q808" s="54"/>
      <c r="R808" s="54"/>
      <c r="S808" s="54"/>
      <c r="T808" s="54"/>
      <c r="U808" s="54"/>
      <c r="V808" s="54"/>
      <c r="W808" s="54"/>
      <c r="X808" s="54"/>
      <c r="Y808" s="54"/>
      <c r="Z808" s="54"/>
    </row>
    <row r="809">
      <c r="A809" s="54"/>
      <c r="B809" s="55"/>
      <c r="C809" s="54"/>
      <c r="D809" s="63"/>
      <c r="E809" s="54"/>
      <c r="F809" s="54"/>
      <c r="G809" s="54"/>
      <c r="H809" s="54"/>
      <c r="I809" s="54"/>
      <c r="J809" s="54"/>
      <c r="K809" s="54"/>
      <c r="L809" s="54"/>
      <c r="M809" s="54"/>
      <c r="N809" s="54"/>
      <c r="O809" s="54"/>
      <c r="P809" s="54"/>
      <c r="Q809" s="54"/>
      <c r="R809" s="54"/>
      <c r="S809" s="54"/>
      <c r="T809" s="54"/>
      <c r="U809" s="54"/>
      <c r="V809" s="54"/>
      <c r="W809" s="54"/>
      <c r="X809" s="54"/>
      <c r="Y809" s="54"/>
      <c r="Z809" s="54"/>
    </row>
    <row r="810">
      <c r="A810" s="54"/>
      <c r="B810" s="55"/>
      <c r="C810" s="54"/>
      <c r="D810" s="63"/>
      <c r="E810" s="54"/>
      <c r="F810" s="54"/>
      <c r="G810" s="54"/>
      <c r="H810" s="54"/>
      <c r="I810" s="54"/>
      <c r="J810" s="54"/>
      <c r="K810" s="54"/>
      <c r="L810" s="54"/>
      <c r="M810" s="54"/>
      <c r="N810" s="54"/>
      <c r="O810" s="54"/>
      <c r="P810" s="54"/>
      <c r="Q810" s="54"/>
      <c r="R810" s="54"/>
      <c r="S810" s="54"/>
      <c r="T810" s="54"/>
      <c r="U810" s="54"/>
      <c r="V810" s="54"/>
      <c r="W810" s="54"/>
      <c r="X810" s="54"/>
      <c r="Y810" s="54"/>
      <c r="Z810" s="54"/>
    </row>
    <row r="811">
      <c r="A811" s="54"/>
      <c r="B811" s="55"/>
      <c r="C811" s="54"/>
      <c r="D811" s="63"/>
      <c r="E811" s="54"/>
      <c r="F811" s="54"/>
      <c r="G811" s="54"/>
      <c r="H811" s="54"/>
      <c r="I811" s="54"/>
      <c r="J811" s="54"/>
      <c r="K811" s="54"/>
      <c r="L811" s="54"/>
      <c r="M811" s="54"/>
      <c r="N811" s="54"/>
      <c r="O811" s="54"/>
      <c r="P811" s="54"/>
      <c r="Q811" s="54"/>
      <c r="R811" s="54"/>
      <c r="S811" s="54"/>
      <c r="T811" s="54"/>
      <c r="U811" s="54"/>
      <c r="V811" s="54"/>
      <c r="W811" s="54"/>
      <c r="X811" s="54"/>
      <c r="Y811" s="54"/>
      <c r="Z811" s="54"/>
    </row>
    <row r="812">
      <c r="A812" s="54"/>
      <c r="B812" s="55"/>
      <c r="C812" s="54"/>
      <c r="D812" s="63"/>
      <c r="E812" s="54"/>
      <c r="F812" s="54"/>
      <c r="G812" s="54"/>
      <c r="H812" s="54"/>
      <c r="I812" s="54"/>
      <c r="J812" s="54"/>
      <c r="K812" s="54"/>
      <c r="L812" s="54"/>
      <c r="M812" s="54"/>
      <c r="N812" s="54"/>
      <c r="O812" s="54"/>
      <c r="P812" s="54"/>
      <c r="Q812" s="54"/>
      <c r="R812" s="54"/>
      <c r="S812" s="54"/>
      <c r="T812" s="54"/>
      <c r="U812" s="54"/>
      <c r="V812" s="54"/>
      <c r="W812" s="54"/>
      <c r="X812" s="54"/>
      <c r="Y812" s="54"/>
      <c r="Z812" s="54"/>
    </row>
    <row r="813">
      <c r="A813" s="54"/>
      <c r="B813" s="55"/>
      <c r="C813" s="54"/>
      <c r="D813" s="63"/>
      <c r="E813" s="54"/>
      <c r="F813" s="54"/>
      <c r="G813" s="54"/>
      <c r="H813" s="54"/>
      <c r="I813" s="54"/>
      <c r="J813" s="54"/>
      <c r="K813" s="54"/>
      <c r="L813" s="54"/>
      <c r="M813" s="54"/>
      <c r="N813" s="54"/>
      <c r="O813" s="54"/>
      <c r="P813" s="54"/>
      <c r="Q813" s="54"/>
      <c r="R813" s="54"/>
      <c r="S813" s="54"/>
      <c r="T813" s="54"/>
      <c r="U813" s="54"/>
      <c r="V813" s="54"/>
      <c r="W813" s="54"/>
      <c r="X813" s="54"/>
      <c r="Y813" s="54"/>
      <c r="Z813" s="54"/>
    </row>
    <row r="814">
      <c r="A814" s="54"/>
      <c r="B814" s="55"/>
      <c r="C814" s="54"/>
      <c r="D814" s="63"/>
      <c r="E814" s="54"/>
      <c r="F814" s="54"/>
      <c r="G814" s="54"/>
      <c r="H814" s="54"/>
      <c r="I814" s="54"/>
      <c r="J814" s="54"/>
      <c r="K814" s="54"/>
      <c r="L814" s="54"/>
      <c r="M814" s="54"/>
      <c r="N814" s="54"/>
      <c r="O814" s="54"/>
      <c r="P814" s="54"/>
      <c r="Q814" s="54"/>
      <c r="R814" s="54"/>
      <c r="S814" s="54"/>
      <c r="T814" s="54"/>
      <c r="U814" s="54"/>
      <c r="V814" s="54"/>
      <c r="W814" s="54"/>
      <c r="X814" s="54"/>
      <c r="Y814" s="54"/>
      <c r="Z814" s="54"/>
    </row>
    <row r="815">
      <c r="A815" s="54"/>
      <c r="B815" s="55"/>
      <c r="C815" s="54"/>
      <c r="D815" s="63"/>
      <c r="E815" s="54"/>
      <c r="F815" s="54"/>
      <c r="G815" s="54"/>
      <c r="H815" s="54"/>
      <c r="I815" s="54"/>
      <c r="J815" s="54"/>
      <c r="K815" s="54"/>
      <c r="L815" s="54"/>
      <c r="M815" s="54"/>
      <c r="N815" s="54"/>
      <c r="O815" s="54"/>
      <c r="P815" s="54"/>
      <c r="Q815" s="54"/>
      <c r="R815" s="54"/>
      <c r="S815" s="54"/>
      <c r="T815" s="54"/>
      <c r="U815" s="54"/>
      <c r="V815" s="54"/>
      <c r="W815" s="54"/>
      <c r="X815" s="54"/>
      <c r="Y815" s="54"/>
      <c r="Z815" s="54"/>
    </row>
    <row r="816">
      <c r="A816" s="54"/>
      <c r="B816" s="55"/>
      <c r="C816" s="54"/>
      <c r="D816" s="63"/>
      <c r="E816" s="54"/>
      <c r="F816" s="54"/>
      <c r="G816" s="54"/>
      <c r="H816" s="54"/>
      <c r="I816" s="54"/>
      <c r="J816" s="54"/>
      <c r="K816" s="54"/>
      <c r="L816" s="54"/>
      <c r="M816" s="54"/>
      <c r="N816" s="54"/>
      <c r="O816" s="54"/>
      <c r="P816" s="54"/>
      <c r="Q816" s="54"/>
      <c r="R816" s="54"/>
      <c r="S816" s="54"/>
      <c r="T816" s="54"/>
      <c r="U816" s="54"/>
      <c r="V816" s="54"/>
      <c r="W816" s="54"/>
      <c r="X816" s="54"/>
      <c r="Y816" s="54"/>
      <c r="Z816" s="54"/>
    </row>
    <row r="817">
      <c r="A817" s="54"/>
      <c r="B817" s="55"/>
      <c r="C817" s="54"/>
      <c r="D817" s="63"/>
      <c r="E817" s="54"/>
      <c r="F817" s="54"/>
      <c r="G817" s="54"/>
      <c r="H817" s="54"/>
      <c r="I817" s="54"/>
      <c r="J817" s="54"/>
      <c r="K817" s="54"/>
      <c r="L817" s="54"/>
      <c r="M817" s="54"/>
      <c r="N817" s="54"/>
      <c r="O817" s="54"/>
      <c r="P817" s="54"/>
      <c r="Q817" s="54"/>
      <c r="R817" s="54"/>
      <c r="S817" s="54"/>
      <c r="T817" s="54"/>
      <c r="U817" s="54"/>
      <c r="V817" s="54"/>
      <c r="W817" s="54"/>
      <c r="X817" s="54"/>
      <c r="Y817" s="54"/>
      <c r="Z817" s="54"/>
    </row>
    <row r="818">
      <c r="A818" s="54"/>
      <c r="B818" s="55"/>
      <c r="C818" s="54"/>
      <c r="D818" s="63"/>
      <c r="E818" s="54"/>
      <c r="F818" s="54"/>
      <c r="G818" s="54"/>
      <c r="H818" s="54"/>
      <c r="I818" s="54"/>
      <c r="J818" s="54"/>
      <c r="K818" s="54"/>
      <c r="L818" s="54"/>
      <c r="M818" s="54"/>
      <c r="N818" s="54"/>
      <c r="O818" s="54"/>
      <c r="P818" s="54"/>
      <c r="Q818" s="54"/>
      <c r="R818" s="54"/>
      <c r="S818" s="54"/>
      <c r="T818" s="54"/>
      <c r="U818" s="54"/>
      <c r="V818" s="54"/>
      <c r="W818" s="54"/>
      <c r="X818" s="54"/>
      <c r="Y818" s="54"/>
      <c r="Z818" s="54"/>
    </row>
    <row r="819">
      <c r="A819" s="54"/>
      <c r="B819" s="55"/>
      <c r="C819" s="54"/>
      <c r="D819" s="63"/>
      <c r="E819" s="54"/>
      <c r="F819" s="54"/>
      <c r="G819" s="54"/>
      <c r="H819" s="54"/>
      <c r="I819" s="54"/>
      <c r="J819" s="54"/>
      <c r="K819" s="54"/>
      <c r="L819" s="54"/>
      <c r="M819" s="54"/>
      <c r="N819" s="54"/>
      <c r="O819" s="54"/>
      <c r="P819" s="54"/>
      <c r="Q819" s="54"/>
      <c r="R819" s="54"/>
      <c r="S819" s="54"/>
      <c r="T819" s="54"/>
      <c r="U819" s="54"/>
      <c r="V819" s="54"/>
      <c r="W819" s="54"/>
      <c r="X819" s="54"/>
      <c r="Y819" s="54"/>
      <c r="Z819" s="54"/>
    </row>
    <row r="820">
      <c r="A820" s="54"/>
      <c r="B820" s="55"/>
      <c r="C820" s="54"/>
      <c r="D820" s="63"/>
      <c r="E820" s="54"/>
      <c r="F820" s="54"/>
      <c r="G820" s="54"/>
      <c r="H820" s="54"/>
      <c r="I820" s="54"/>
      <c r="J820" s="54"/>
      <c r="K820" s="54"/>
      <c r="L820" s="54"/>
      <c r="M820" s="54"/>
      <c r="N820" s="54"/>
      <c r="O820" s="54"/>
      <c r="P820" s="54"/>
      <c r="Q820" s="54"/>
      <c r="R820" s="54"/>
      <c r="S820" s="54"/>
      <c r="T820" s="54"/>
      <c r="U820" s="54"/>
      <c r="V820" s="54"/>
      <c r="W820" s="54"/>
      <c r="X820" s="54"/>
      <c r="Y820" s="54"/>
      <c r="Z820" s="54"/>
    </row>
    <row r="821">
      <c r="A821" s="54"/>
      <c r="B821" s="55"/>
      <c r="C821" s="54"/>
      <c r="D821" s="63"/>
      <c r="E821" s="54"/>
      <c r="F821" s="54"/>
      <c r="G821" s="54"/>
      <c r="H821" s="54"/>
      <c r="I821" s="54"/>
      <c r="J821" s="54"/>
      <c r="K821" s="54"/>
      <c r="L821" s="54"/>
      <c r="M821" s="54"/>
      <c r="N821" s="54"/>
      <c r="O821" s="54"/>
      <c r="P821" s="54"/>
      <c r="Q821" s="54"/>
      <c r="R821" s="54"/>
      <c r="S821" s="54"/>
      <c r="T821" s="54"/>
      <c r="U821" s="54"/>
      <c r="V821" s="54"/>
      <c r="W821" s="54"/>
      <c r="X821" s="54"/>
      <c r="Y821" s="54"/>
      <c r="Z821" s="54"/>
    </row>
    <row r="822">
      <c r="A822" s="54"/>
      <c r="B822" s="55"/>
      <c r="C822" s="54"/>
      <c r="D822" s="63"/>
      <c r="E822" s="54"/>
      <c r="F822" s="54"/>
      <c r="G822" s="54"/>
      <c r="H822" s="54"/>
      <c r="I822" s="54"/>
      <c r="J822" s="54"/>
      <c r="K822" s="54"/>
      <c r="L822" s="54"/>
      <c r="M822" s="54"/>
      <c r="N822" s="54"/>
      <c r="O822" s="54"/>
      <c r="P822" s="54"/>
      <c r="Q822" s="54"/>
      <c r="R822" s="54"/>
      <c r="S822" s="54"/>
      <c r="T822" s="54"/>
      <c r="U822" s="54"/>
      <c r="V822" s="54"/>
      <c r="W822" s="54"/>
      <c r="X822" s="54"/>
      <c r="Y822" s="54"/>
      <c r="Z822" s="54"/>
    </row>
    <row r="823">
      <c r="A823" s="54"/>
      <c r="B823" s="55"/>
      <c r="C823" s="54"/>
      <c r="D823" s="63"/>
      <c r="E823" s="54"/>
      <c r="F823" s="54"/>
      <c r="G823" s="54"/>
      <c r="H823" s="54"/>
      <c r="I823" s="54"/>
      <c r="J823" s="54"/>
      <c r="K823" s="54"/>
      <c r="L823" s="54"/>
      <c r="M823" s="54"/>
      <c r="N823" s="54"/>
      <c r="O823" s="54"/>
      <c r="P823" s="54"/>
      <c r="Q823" s="54"/>
      <c r="R823" s="54"/>
      <c r="S823" s="54"/>
      <c r="T823" s="54"/>
      <c r="U823" s="54"/>
      <c r="V823" s="54"/>
      <c r="W823" s="54"/>
      <c r="X823" s="54"/>
      <c r="Y823" s="54"/>
      <c r="Z823" s="54"/>
    </row>
    <row r="824">
      <c r="A824" s="54"/>
      <c r="B824" s="55"/>
      <c r="C824" s="54"/>
      <c r="D824" s="63"/>
      <c r="E824" s="54"/>
      <c r="F824" s="54"/>
      <c r="G824" s="54"/>
      <c r="H824" s="54"/>
      <c r="I824" s="54"/>
      <c r="J824" s="54"/>
      <c r="K824" s="54"/>
      <c r="L824" s="54"/>
      <c r="M824" s="54"/>
      <c r="N824" s="54"/>
      <c r="O824" s="54"/>
      <c r="P824" s="54"/>
      <c r="Q824" s="54"/>
      <c r="R824" s="54"/>
      <c r="S824" s="54"/>
      <c r="T824" s="54"/>
      <c r="U824" s="54"/>
      <c r="V824" s="54"/>
      <c r="W824" s="54"/>
      <c r="X824" s="54"/>
      <c r="Y824" s="54"/>
      <c r="Z824" s="54"/>
    </row>
    <row r="825">
      <c r="A825" s="54"/>
      <c r="B825" s="55"/>
      <c r="C825" s="54"/>
      <c r="D825" s="63"/>
      <c r="E825" s="54"/>
      <c r="F825" s="54"/>
      <c r="G825" s="54"/>
      <c r="H825" s="54"/>
      <c r="I825" s="54"/>
      <c r="J825" s="54"/>
      <c r="K825" s="54"/>
      <c r="L825" s="54"/>
      <c r="M825" s="54"/>
      <c r="N825" s="54"/>
      <c r="O825" s="54"/>
      <c r="P825" s="54"/>
      <c r="Q825" s="54"/>
      <c r="R825" s="54"/>
      <c r="S825" s="54"/>
      <c r="T825" s="54"/>
      <c r="U825" s="54"/>
      <c r="V825" s="54"/>
      <c r="W825" s="54"/>
      <c r="X825" s="54"/>
      <c r="Y825" s="54"/>
      <c r="Z825" s="54"/>
    </row>
    <row r="826">
      <c r="A826" s="54"/>
      <c r="B826" s="55"/>
      <c r="C826" s="54"/>
      <c r="D826" s="63"/>
      <c r="E826" s="54"/>
      <c r="F826" s="54"/>
      <c r="G826" s="54"/>
      <c r="H826" s="54"/>
      <c r="I826" s="54"/>
      <c r="J826" s="54"/>
      <c r="K826" s="54"/>
      <c r="L826" s="54"/>
      <c r="M826" s="54"/>
      <c r="N826" s="54"/>
      <c r="O826" s="54"/>
      <c r="P826" s="54"/>
      <c r="Q826" s="54"/>
      <c r="R826" s="54"/>
      <c r="S826" s="54"/>
      <c r="T826" s="54"/>
      <c r="U826" s="54"/>
      <c r="V826" s="54"/>
      <c r="W826" s="54"/>
      <c r="X826" s="54"/>
      <c r="Y826" s="54"/>
      <c r="Z826" s="54"/>
    </row>
    <row r="827">
      <c r="A827" s="54"/>
      <c r="B827" s="55"/>
      <c r="C827" s="54"/>
      <c r="D827" s="63"/>
      <c r="E827" s="54"/>
      <c r="F827" s="54"/>
      <c r="G827" s="54"/>
      <c r="H827" s="54"/>
      <c r="I827" s="54"/>
      <c r="J827" s="54"/>
      <c r="K827" s="54"/>
      <c r="L827" s="54"/>
      <c r="M827" s="54"/>
      <c r="N827" s="54"/>
      <c r="O827" s="54"/>
      <c r="P827" s="54"/>
      <c r="Q827" s="54"/>
      <c r="R827" s="54"/>
      <c r="S827" s="54"/>
      <c r="T827" s="54"/>
      <c r="U827" s="54"/>
      <c r="V827" s="54"/>
      <c r="W827" s="54"/>
      <c r="X827" s="54"/>
      <c r="Y827" s="54"/>
      <c r="Z827" s="54"/>
    </row>
    <row r="828">
      <c r="A828" s="54"/>
      <c r="B828" s="55"/>
      <c r="C828" s="54"/>
      <c r="D828" s="63"/>
      <c r="E828" s="54"/>
      <c r="F828" s="54"/>
      <c r="G828" s="54"/>
      <c r="H828" s="54"/>
      <c r="I828" s="54"/>
      <c r="J828" s="54"/>
      <c r="K828" s="54"/>
      <c r="L828" s="54"/>
      <c r="M828" s="54"/>
      <c r="N828" s="54"/>
      <c r="O828" s="54"/>
      <c r="P828" s="54"/>
      <c r="Q828" s="54"/>
      <c r="R828" s="54"/>
      <c r="S828" s="54"/>
      <c r="T828" s="54"/>
      <c r="U828" s="54"/>
      <c r="V828" s="54"/>
      <c r="W828" s="54"/>
      <c r="X828" s="54"/>
      <c r="Y828" s="54"/>
      <c r="Z828" s="54"/>
    </row>
    <row r="829">
      <c r="A829" s="54"/>
      <c r="B829" s="55"/>
      <c r="C829" s="54"/>
      <c r="D829" s="63"/>
      <c r="E829" s="54"/>
      <c r="F829" s="54"/>
      <c r="G829" s="54"/>
      <c r="H829" s="54"/>
      <c r="I829" s="54"/>
      <c r="J829" s="54"/>
      <c r="K829" s="54"/>
      <c r="L829" s="54"/>
      <c r="M829" s="54"/>
      <c r="N829" s="54"/>
      <c r="O829" s="54"/>
      <c r="P829" s="54"/>
      <c r="Q829" s="54"/>
      <c r="R829" s="54"/>
      <c r="S829" s="54"/>
      <c r="T829" s="54"/>
      <c r="U829" s="54"/>
      <c r="V829" s="54"/>
      <c r="W829" s="54"/>
      <c r="X829" s="54"/>
      <c r="Y829" s="54"/>
      <c r="Z829" s="54"/>
    </row>
    <row r="830">
      <c r="A830" s="54"/>
      <c r="B830" s="55"/>
      <c r="C830" s="54"/>
      <c r="D830" s="63"/>
      <c r="E830" s="54"/>
      <c r="F830" s="54"/>
      <c r="G830" s="54"/>
      <c r="H830" s="54"/>
      <c r="I830" s="54"/>
      <c r="J830" s="54"/>
      <c r="K830" s="54"/>
      <c r="L830" s="54"/>
      <c r="M830" s="54"/>
      <c r="N830" s="54"/>
      <c r="O830" s="54"/>
      <c r="P830" s="54"/>
      <c r="Q830" s="54"/>
      <c r="R830" s="54"/>
      <c r="S830" s="54"/>
      <c r="T830" s="54"/>
      <c r="U830" s="54"/>
      <c r="V830" s="54"/>
      <c r="W830" s="54"/>
      <c r="X830" s="54"/>
      <c r="Y830" s="54"/>
      <c r="Z830" s="54"/>
    </row>
    <row r="831">
      <c r="A831" s="54"/>
      <c r="B831" s="55"/>
      <c r="C831" s="54"/>
      <c r="D831" s="63"/>
      <c r="E831" s="54"/>
      <c r="F831" s="54"/>
      <c r="G831" s="54"/>
      <c r="H831" s="54"/>
      <c r="I831" s="54"/>
      <c r="J831" s="54"/>
      <c r="K831" s="54"/>
      <c r="L831" s="54"/>
      <c r="M831" s="54"/>
      <c r="N831" s="54"/>
      <c r="O831" s="54"/>
      <c r="P831" s="54"/>
      <c r="Q831" s="54"/>
      <c r="R831" s="54"/>
      <c r="S831" s="54"/>
      <c r="T831" s="54"/>
      <c r="U831" s="54"/>
      <c r="V831" s="54"/>
      <c r="W831" s="54"/>
      <c r="X831" s="54"/>
      <c r="Y831" s="54"/>
      <c r="Z831" s="54"/>
    </row>
    <row r="832">
      <c r="A832" s="54"/>
      <c r="B832" s="55"/>
      <c r="C832" s="54"/>
      <c r="D832" s="63"/>
      <c r="E832" s="54"/>
      <c r="F832" s="54"/>
      <c r="G832" s="54"/>
      <c r="H832" s="54"/>
      <c r="I832" s="54"/>
      <c r="J832" s="54"/>
      <c r="K832" s="54"/>
      <c r="L832" s="54"/>
      <c r="M832" s="54"/>
      <c r="N832" s="54"/>
      <c r="O832" s="54"/>
      <c r="P832" s="54"/>
      <c r="Q832" s="54"/>
      <c r="R832" s="54"/>
      <c r="S832" s="54"/>
      <c r="T832" s="54"/>
      <c r="U832" s="54"/>
      <c r="V832" s="54"/>
      <c r="W832" s="54"/>
      <c r="X832" s="54"/>
      <c r="Y832" s="54"/>
      <c r="Z832" s="54"/>
    </row>
    <row r="833">
      <c r="A833" s="54"/>
      <c r="B833" s="55"/>
      <c r="C833" s="54"/>
      <c r="D833" s="63"/>
      <c r="E833" s="54"/>
      <c r="F833" s="54"/>
      <c r="G833" s="54"/>
      <c r="H833" s="54"/>
      <c r="I833" s="54"/>
      <c r="J833" s="54"/>
      <c r="K833" s="54"/>
      <c r="L833" s="54"/>
      <c r="M833" s="54"/>
      <c r="N833" s="54"/>
      <c r="O833" s="54"/>
      <c r="P833" s="54"/>
      <c r="Q833" s="54"/>
      <c r="R833" s="54"/>
      <c r="S833" s="54"/>
      <c r="T833" s="54"/>
      <c r="U833" s="54"/>
      <c r="V833" s="54"/>
      <c r="W833" s="54"/>
      <c r="X833" s="54"/>
      <c r="Y833" s="54"/>
      <c r="Z833" s="54"/>
    </row>
    <row r="834">
      <c r="A834" s="54"/>
      <c r="B834" s="55"/>
      <c r="C834" s="54"/>
      <c r="D834" s="63"/>
      <c r="E834" s="54"/>
      <c r="F834" s="54"/>
      <c r="G834" s="54"/>
      <c r="H834" s="54"/>
      <c r="I834" s="54"/>
      <c r="J834" s="54"/>
      <c r="K834" s="54"/>
      <c r="L834" s="54"/>
      <c r="M834" s="54"/>
      <c r="N834" s="54"/>
      <c r="O834" s="54"/>
      <c r="P834" s="54"/>
      <c r="Q834" s="54"/>
      <c r="R834" s="54"/>
      <c r="S834" s="54"/>
      <c r="T834" s="54"/>
      <c r="U834" s="54"/>
      <c r="V834" s="54"/>
      <c r="W834" s="54"/>
      <c r="X834" s="54"/>
      <c r="Y834" s="54"/>
      <c r="Z834" s="54"/>
    </row>
    <row r="835">
      <c r="A835" s="54"/>
      <c r="B835" s="55"/>
      <c r="C835" s="54"/>
      <c r="D835" s="63"/>
      <c r="E835" s="54"/>
      <c r="F835" s="54"/>
      <c r="G835" s="54"/>
      <c r="H835" s="54"/>
      <c r="I835" s="54"/>
      <c r="J835" s="54"/>
      <c r="K835" s="54"/>
      <c r="L835" s="54"/>
      <c r="M835" s="54"/>
      <c r="N835" s="54"/>
      <c r="O835" s="54"/>
      <c r="P835" s="54"/>
      <c r="Q835" s="54"/>
      <c r="R835" s="54"/>
      <c r="S835" s="54"/>
      <c r="T835" s="54"/>
      <c r="U835" s="54"/>
      <c r="V835" s="54"/>
      <c r="W835" s="54"/>
      <c r="X835" s="54"/>
      <c r="Y835" s="54"/>
      <c r="Z835" s="54"/>
    </row>
    <row r="836">
      <c r="A836" s="54"/>
      <c r="B836" s="55"/>
      <c r="C836" s="54"/>
      <c r="D836" s="63"/>
      <c r="E836" s="54"/>
      <c r="F836" s="54"/>
      <c r="G836" s="54"/>
      <c r="H836" s="54"/>
      <c r="I836" s="54"/>
      <c r="J836" s="54"/>
      <c r="K836" s="54"/>
      <c r="L836" s="54"/>
      <c r="M836" s="54"/>
      <c r="N836" s="54"/>
      <c r="O836" s="54"/>
      <c r="P836" s="54"/>
      <c r="Q836" s="54"/>
      <c r="R836" s="54"/>
      <c r="S836" s="54"/>
      <c r="T836" s="54"/>
      <c r="U836" s="54"/>
      <c r="V836" s="54"/>
      <c r="W836" s="54"/>
      <c r="X836" s="54"/>
      <c r="Y836" s="54"/>
      <c r="Z836" s="54"/>
    </row>
    <row r="837">
      <c r="A837" s="54"/>
      <c r="B837" s="55"/>
      <c r="C837" s="54"/>
      <c r="D837" s="63"/>
      <c r="E837" s="54"/>
      <c r="F837" s="54"/>
      <c r="G837" s="54"/>
      <c r="H837" s="54"/>
      <c r="I837" s="54"/>
      <c r="J837" s="54"/>
      <c r="K837" s="54"/>
      <c r="L837" s="54"/>
      <c r="M837" s="54"/>
      <c r="N837" s="54"/>
      <c r="O837" s="54"/>
      <c r="P837" s="54"/>
      <c r="Q837" s="54"/>
      <c r="R837" s="54"/>
      <c r="S837" s="54"/>
      <c r="T837" s="54"/>
      <c r="U837" s="54"/>
      <c r="V837" s="54"/>
      <c r="W837" s="54"/>
      <c r="X837" s="54"/>
      <c r="Y837" s="54"/>
      <c r="Z837" s="54"/>
    </row>
    <row r="838">
      <c r="A838" s="54"/>
      <c r="B838" s="55"/>
      <c r="C838" s="54"/>
      <c r="D838" s="63"/>
      <c r="E838" s="54"/>
      <c r="F838" s="54"/>
      <c r="G838" s="54"/>
      <c r="H838" s="54"/>
      <c r="I838" s="54"/>
      <c r="J838" s="54"/>
      <c r="K838" s="54"/>
      <c r="L838" s="54"/>
      <c r="M838" s="54"/>
      <c r="N838" s="54"/>
      <c r="O838" s="54"/>
      <c r="P838" s="54"/>
      <c r="Q838" s="54"/>
      <c r="R838" s="54"/>
      <c r="S838" s="54"/>
      <c r="T838" s="54"/>
      <c r="U838" s="54"/>
      <c r="V838" s="54"/>
      <c r="W838" s="54"/>
      <c r="X838" s="54"/>
      <c r="Y838" s="54"/>
      <c r="Z838" s="54"/>
    </row>
    <row r="839">
      <c r="A839" s="54"/>
      <c r="B839" s="55"/>
      <c r="C839" s="54"/>
      <c r="D839" s="63"/>
      <c r="E839" s="54"/>
      <c r="F839" s="54"/>
      <c r="G839" s="54"/>
      <c r="H839" s="54"/>
      <c r="I839" s="54"/>
      <c r="J839" s="54"/>
      <c r="K839" s="54"/>
      <c r="L839" s="54"/>
      <c r="M839" s="54"/>
      <c r="N839" s="54"/>
      <c r="O839" s="54"/>
      <c r="P839" s="54"/>
      <c r="Q839" s="54"/>
      <c r="R839" s="54"/>
      <c r="S839" s="54"/>
      <c r="T839" s="54"/>
      <c r="U839" s="54"/>
      <c r="V839" s="54"/>
      <c r="W839" s="54"/>
      <c r="X839" s="54"/>
      <c r="Y839" s="54"/>
      <c r="Z839" s="54"/>
    </row>
    <row r="840">
      <c r="A840" s="54"/>
      <c r="B840" s="55"/>
      <c r="C840" s="54"/>
      <c r="D840" s="63"/>
      <c r="E840" s="54"/>
      <c r="F840" s="54"/>
      <c r="G840" s="54"/>
      <c r="H840" s="54"/>
      <c r="I840" s="54"/>
      <c r="J840" s="54"/>
      <c r="K840" s="54"/>
      <c r="L840" s="54"/>
      <c r="M840" s="54"/>
      <c r="N840" s="54"/>
      <c r="O840" s="54"/>
      <c r="P840" s="54"/>
      <c r="Q840" s="54"/>
      <c r="R840" s="54"/>
      <c r="S840" s="54"/>
      <c r="T840" s="54"/>
      <c r="U840" s="54"/>
      <c r="V840" s="54"/>
      <c r="W840" s="54"/>
      <c r="X840" s="54"/>
      <c r="Y840" s="54"/>
      <c r="Z840" s="54"/>
    </row>
    <row r="841">
      <c r="A841" s="54"/>
      <c r="B841" s="55"/>
      <c r="C841" s="54"/>
      <c r="D841" s="63"/>
      <c r="E841" s="54"/>
      <c r="F841" s="54"/>
      <c r="G841" s="54"/>
      <c r="H841" s="54"/>
      <c r="I841" s="54"/>
      <c r="J841" s="54"/>
      <c r="K841" s="54"/>
      <c r="L841" s="54"/>
      <c r="M841" s="54"/>
      <c r="N841" s="54"/>
      <c r="O841" s="54"/>
      <c r="P841" s="54"/>
      <c r="Q841" s="54"/>
      <c r="R841" s="54"/>
      <c r="S841" s="54"/>
      <c r="T841" s="54"/>
      <c r="U841" s="54"/>
      <c r="V841" s="54"/>
      <c r="W841" s="54"/>
      <c r="X841" s="54"/>
      <c r="Y841" s="54"/>
      <c r="Z841" s="54"/>
    </row>
    <row r="842">
      <c r="A842" s="54"/>
      <c r="B842" s="55"/>
      <c r="C842" s="54"/>
      <c r="D842" s="63"/>
      <c r="E842" s="54"/>
      <c r="F842" s="54"/>
      <c r="G842" s="54"/>
      <c r="H842" s="54"/>
      <c r="I842" s="54"/>
      <c r="J842" s="54"/>
      <c r="K842" s="54"/>
      <c r="L842" s="54"/>
      <c r="M842" s="54"/>
      <c r="N842" s="54"/>
      <c r="O842" s="54"/>
      <c r="P842" s="54"/>
      <c r="Q842" s="54"/>
      <c r="R842" s="54"/>
      <c r="S842" s="54"/>
      <c r="T842" s="54"/>
      <c r="U842" s="54"/>
      <c r="V842" s="54"/>
      <c r="W842" s="54"/>
      <c r="X842" s="54"/>
      <c r="Y842" s="54"/>
      <c r="Z842" s="54"/>
    </row>
    <row r="843">
      <c r="A843" s="54"/>
      <c r="B843" s="55"/>
      <c r="C843" s="54"/>
      <c r="D843" s="63"/>
      <c r="E843" s="54"/>
      <c r="F843" s="54"/>
      <c r="G843" s="54"/>
      <c r="H843" s="54"/>
      <c r="I843" s="54"/>
      <c r="J843" s="54"/>
      <c r="K843" s="54"/>
      <c r="L843" s="54"/>
      <c r="M843" s="54"/>
      <c r="N843" s="54"/>
      <c r="O843" s="54"/>
      <c r="P843" s="54"/>
      <c r="Q843" s="54"/>
      <c r="R843" s="54"/>
      <c r="S843" s="54"/>
      <c r="T843" s="54"/>
      <c r="U843" s="54"/>
      <c r="V843" s="54"/>
      <c r="W843" s="54"/>
      <c r="X843" s="54"/>
      <c r="Y843" s="54"/>
      <c r="Z843" s="54"/>
    </row>
    <row r="844">
      <c r="A844" s="54"/>
      <c r="B844" s="55"/>
      <c r="C844" s="54"/>
      <c r="D844" s="63"/>
      <c r="E844" s="54"/>
      <c r="F844" s="54"/>
      <c r="G844" s="54"/>
      <c r="H844" s="54"/>
      <c r="I844" s="54"/>
      <c r="J844" s="54"/>
      <c r="K844" s="54"/>
      <c r="L844" s="54"/>
      <c r="M844" s="54"/>
      <c r="N844" s="54"/>
      <c r="O844" s="54"/>
      <c r="P844" s="54"/>
      <c r="Q844" s="54"/>
      <c r="R844" s="54"/>
      <c r="S844" s="54"/>
      <c r="T844" s="54"/>
      <c r="U844" s="54"/>
      <c r="V844" s="54"/>
      <c r="W844" s="54"/>
      <c r="X844" s="54"/>
      <c r="Y844" s="54"/>
      <c r="Z844" s="54"/>
    </row>
    <row r="845">
      <c r="A845" s="54"/>
      <c r="B845" s="55"/>
      <c r="C845" s="54"/>
      <c r="D845" s="63"/>
      <c r="E845" s="54"/>
      <c r="F845" s="54"/>
      <c r="G845" s="54"/>
      <c r="H845" s="54"/>
      <c r="I845" s="54"/>
      <c r="J845" s="54"/>
      <c r="K845" s="54"/>
      <c r="L845" s="54"/>
      <c r="M845" s="54"/>
      <c r="N845" s="54"/>
      <c r="O845" s="54"/>
      <c r="P845" s="54"/>
      <c r="Q845" s="54"/>
      <c r="R845" s="54"/>
      <c r="S845" s="54"/>
      <c r="T845" s="54"/>
      <c r="U845" s="54"/>
      <c r="V845" s="54"/>
      <c r="W845" s="54"/>
      <c r="X845" s="54"/>
      <c r="Y845" s="54"/>
      <c r="Z845" s="54"/>
    </row>
    <row r="846">
      <c r="A846" s="54"/>
      <c r="B846" s="55"/>
      <c r="C846" s="54"/>
      <c r="D846" s="63"/>
      <c r="E846" s="54"/>
      <c r="F846" s="54"/>
      <c r="G846" s="54"/>
      <c r="H846" s="54"/>
      <c r="I846" s="54"/>
      <c r="J846" s="54"/>
      <c r="K846" s="54"/>
      <c r="L846" s="54"/>
      <c r="M846" s="54"/>
      <c r="N846" s="54"/>
      <c r="O846" s="54"/>
      <c r="P846" s="54"/>
      <c r="Q846" s="54"/>
      <c r="R846" s="54"/>
      <c r="S846" s="54"/>
      <c r="T846" s="54"/>
      <c r="U846" s="54"/>
      <c r="V846" s="54"/>
      <c r="W846" s="54"/>
      <c r="X846" s="54"/>
      <c r="Y846" s="54"/>
      <c r="Z846" s="54"/>
    </row>
    <row r="847">
      <c r="A847" s="54"/>
      <c r="B847" s="55"/>
      <c r="C847" s="54"/>
      <c r="D847" s="63"/>
      <c r="E847" s="54"/>
      <c r="F847" s="54"/>
      <c r="G847" s="54"/>
      <c r="H847" s="54"/>
      <c r="I847" s="54"/>
      <c r="J847" s="54"/>
      <c r="K847" s="54"/>
      <c r="L847" s="54"/>
      <c r="M847" s="54"/>
      <c r="N847" s="54"/>
      <c r="O847" s="54"/>
      <c r="P847" s="54"/>
      <c r="Q847" s="54"/>
      <c r="R847" s="54"/>
      <c r="S847" s="54"/>
      <c r="T847" s="54"/>
      <c r="U847" s="54"/>
      <c r="V847" s="54"/>
      <c r="W847" s="54"/>
      <c r="X847" s="54"/>
      <c r="Y847" s="54"/>
      <c r="Z847" s="54"/>
    </row>
    <row r="848">
      <c r="A848" s="54"/>
      <c r="B848" s="55"/>
      <c r="C848" s="54"/>
      <c r="D848" s="63"/>
      <c r="E848" s="54"/>
      <c r="F848" s="54"/>
      <c r="G848" s="54"/>
      <c r="H848" s="54"/>
      <c r="I848" s="54"/>
      <c r="J848" s="54"/>
      <c r="K848" s="54"/>
      <c r="L848" s="54"/>
      <c r="M848" s="54"/>
      <c r="N848" s="54"/>
      <c r="O848" s="54"/>
      <c r="P848" s="54"/>
      <c r="Q848" s="54"/>
      <c r="R848" s="54"/>
      <c r="S848" s="54"/>
      <c r="T848" s="54"/>
      <c r="U848" s="54"/>
      <c r="V848" s="54"/>
      <c r="W848" s="54"/>
      <c r="X848" s="54"/>
      <c r="Y848" s="54"/>
      <c r="Z848" s="54"/>
    </row>
    <row r="849">
      <c r="A849" s="54"/>
      <c r="B849" s="55"/>
      <c r="C849" s="54"/>
      <c r="D849" s="63"/>
      <c r="E849" s="54"/>
      <c r="F849" s="54"/>
      <c r="G849" s="54"/>
      <c r="H849" s="54"/>
      <c r="I849" s="54"/>
      <c r="J849" s="54"/>
      <c r="K849" s="54"/>
      <c r="L849" s="54"/>
      <c r="M849" s="54"/>
      <c r="N849" s="54"/>
      <c r="O849" s="54"/>
      <c r="P849" s="54"/>
      <c r="Q849" s="54"/>
      <c r="R849" s="54"/>
      <c r="S849" s="54"/>
      <c r="T849" s="54"/>
      <c r="U849" s="54"/>
      <c r="V849" s="54"/>
      <c r="W849" s="54"/>
      <c r="X849" s="54"/>
      <c r="Y849" s="54"/>
      <c r="Z849" s="54"/>
    </row>
    <row r="850">
      <c r="A850" s="54"/>
      <c r="B850" s="55"/>
      <c r="C850" s="54"/>
      <c r="D850" s="63"/>
      <c r="E850" s="54"/>
      <c r="F850" s="54"/>
      <c r="G850" s="54"/>
      <c r="H850" s="54"/>
      <c r="I850" s="54"/>
      <c r="J850" s="54"/>
      <c r="K850" s="54"/>
      <c r="L850" s="54"/>
      <c r="M850" s="54"/>
      <c r="N850" s="54"/>
      <c r="O850" s="54"/>
      <c r="P850" s="54"/>
      <c r="Q850" s="54"/>
      <c r="R850" s="54"/>
      <c r="S850" s="54"/>
      <c r="T850" s="54"/>
      <c r="U850" s="54"/>
      <c r="V850" s="54"/>
      <c r="W850" s="54"/>
      <c r="X850" s="54"/>
      <c r="Y850" s="54"/>
      <c r="Z850" s="54"/>
    </row>
    <row r="851">
      <c r="A851" s="54"/>
      <c r="B851" s="55"/>
      <c r="C851" s="54"/>
      <c r="D851" s="63"/>
      <c r="E851" s="54"/>
      <c r="F851" s="54"/>
      <c r="G851" s="54"/>
      <c r="H851" s="54"/>
      <c r="I851" s="54"/>
      <c r="J851" s="54"/>
      <c r="K851" s="54"/>
      <c r="L851" s="54"/>
      <c r="M851" s="54"/>
      <c r="N851" s="54"/>
      <c r="O851" s="54"/>
      <c r="P851" s="54"/>
      <c r="Q851" s="54"/>
      <c r="R851" s="54"/>
      <c r="S851" s="54"/>
      <c r="T851" s="54"/>
      <c r="U851" s="54"/>
      <c r="V851" s="54"/>
      <c r="W851" s="54"/>
      <c r="X851" s="54"/>
      <c r="Y851" s="54"/>
      <c r="Z851" s="54"/>
    </row>
    <row r="852">
      <c r="A852" s="54"/>
      <c r="B852" s="55"/>
      <c r="C852" s="54"/>
      <c r="D852" s="63"/>
      <c r="E852" s="54"/>
      <c r="F852" s="54"/>
      <c r="G852" s="54"/>
      <c r="H852" s="54"/>
      <c r="I852" s="54"/>
      <c r="J852" s="54"/>
      <c r="K852" s="54"/>
      <c r="L852" s="54"/>
      <c r="M852" s="54"/>
      <c r="N852" s="54"/>
      <c r="O852" s="54"/>
      <c r="P852" s="54"/>
      <c r="Q852" s="54"/>
      <c r="R852" s="54"/>
      <c r="S852" s="54"/>
      <c r="T852" s="54"/>
      <c r="U852" s="54"/>
      <c r="V852" s="54"/>
      <c r="W852" s="54"/>
      <c r="X852" s="54"/>
      <c r="Y852" s="54"/>
      <c r="Z852" s="54"/>
    </row>
    <row r="853">
      <c r="A853" s="54"/>
      <c r="B853" s="55"/>
      <c r="C853" s="54"/>
      <c r="D853" s="63"/>
      <c r="E853" s="54"/>
      <c r="F853" s="54"/>
      <c r="G853" s="54"/>
      <c r="H853" s="54"/>
      <c r="I853" s="54"/>
      <c r="J853" s="54"/>
      <c r="K853" s="54"/>
      <c r="L853" s="54"/>
      <c r="M853" s="54"/>
      <c r="N853" s="54"/>
      <c r="O853" s="54"/>
      <c r="P853" s="54"/>
      <c r="Q853" s="54"/>
      <c r="R853" s="54"/>
      <c r="S853" s="54"/>
      <c r="T853" s="54"/>
      <c r="U853" s="54"/>
      <c r="V853" s="54"/>
      <c r="W853" s="54"/>
      <c r="X853" s="54"/>
      <c r="Y853" s="54"/>
      <c r="Z853" s="54"/>
    </row>
    <row r="854">
      <c r="A854" s="54"/>
      <c r="B854" s="55"/>
      <c r="C854" s="54"/>
      <c r="D854" s="63"/>
      <c r="E854" s="54"/>
      <c r="F854" s="54"/>
      <c r="G854" s="54"/>
      <c r="H854" s="54"/>
      <c r="I854" s="54"/>
      <c r="J854" s="54"/>
      <c r="K854" s="54"/>
      <c r="L854" s="54"/>
      <c r="M854" s="54"/>
      <c r="N854" s="54"/>
      <c r="O854" s="54"/>
      <c r="P854" s="54"/>
      <c r="Q854" s="54"/>
      <c r="R854" s="54"/>
      <c r="S854" s="54"/>
      <c r="T854" s="54"/>
      <c r="U854" s="54"/>
      <c r="V854" s="54"/>
      <c r="W854" s="54"/>
      <c r="X854" s="54"/>
      <c r="Y854" s="54"/>
      <c r="Z854" s="54"/>
    </row>
    <row r="855">
      <c r="A855" s="54"/>
      <c r="B855" s="55"/>
      <c r="C855" s="54"/>
      <c r="D855" s="63"/>
      <c r="E855" s="54"/>
      <c r="F855" s="54"/>
      <c r="G855" s="54"/>
      <c r="H855" s="54"/>
      <c r="I855" s="54"/>
      <c r="J855" s="54"/>
      <c r="K855" s="54"/>
      <c r="L855" s="54"/>
      <c r="M855" s="54"/>
      <c r="N855" s="54"/>
      <c r="O855" s="54"/>
      <c r="P855" s="54"/>
      <c r="Q855" s="54"/>
      <c r="R855" s="54"/>
      <c r="S855" s="54"/>
      <c r="T855" s="54"/>
      <c r="U855" s="54"/>
      <c r="V855" s="54"/>
      <c r="W855" s="54"/>
      <c r="X855" s="54"/>
      <c r="Y855" s="54"/>
      <c r="Z855" s="54"/>
    </row>
    <row r="856">
      <c r="A856" s="54"/>
      <c r="B856" s="55"/>
      <c r="C856" s="54"/>
      <c r="D856" s="63"/>
      <c r="E856" s="54"/>
      <c r="F856" s="54"/>
      <c r="G856" s="54"/>
      <c r="H856" s="54"/>
      <c r="I856" s="54"/>
      <c r="J856" s="54"/>
      <c r="K856" s="54"/>
      <c r="L856" s="54"/>
      <c r="M856" s="54"/>
      <c r="N856" s="54"/>
      <c r="O856" s="54"/>
      <c r="P856" s="54"/>
      <c r="Q856" s="54"/>
      <c r="R856" s="54"/>
      <c r="S856" s="54"/>
      <c r="T856" s="54"/>
      <c r="U856" s="54"/>
      <c r="V856" s="54"/>
      <c r="W856" s="54"/>
      <c r="X856" s="54"/>
      <c r="Y856" s="54"/>
      <c r="Z856" s="54"/>
    </row>
    <row r="857">
      <c r="A857" s="54"/>
      <c r="B857" s="55"/>
      <c r="C857" s="54"/>
      <c r="D857" s="63"/>
      <c r="E857" s="54"/>
      <c r="F857" s="54"/>
      <c r="G857" s="54"/>
      <c r="H857" s="54"/>
      <c r="I857" s="54"/>
      <c r="J857" s="54"/>
      <c r="K857" s="54"/>
      <c r="L857" s="54"/>
      <c r="M857" s="54"/>
      <c r="N857" s="54"/>
      <c r="O857" s="54"/>
      <c r="P857" s="54"/>
      <c r="Q857" s="54"/>
      <c r="R857" s="54"/>
      <c r="S857" s="54"/>
      <c r="T857" s="54"/>
      <c r="U857" s="54"/>
      <c r="V857" s="54"/>
      <c r="W857" s="54"/>
      <c r="X857" s="54"/>
      <c r="Y857" s="54"/>
      <c r="Z857" s="54"/>
    </row>
    <row r="858">
      <c r="A858" s="54"/>
      <c r="B858" s="55"/>
      <c r="C858" s="54"/>
      <c r="D858" s="63"/>
      <c r="E858" s="54"/>
      <c r="F858" s="54"/>
      <c r="G858" s="54"/>
      <c r="H858" s="54"/>
      <c r="I858" s="54"/>
      <c r="J858" s="54"/>
      <c r="K858" s="54"/>
      <c r="L858" s="54"/>
      <c r="M858" s="54"/>
      <c r="N858" s="54"/>
      <c r="O858" s="54"/>
      <c r="P858" s="54"/>
      <c r="Q858" s="54"/>
      <c r="R858" s="54"/>
      <c r="S858" s="54"/>
      <c r="T858" s="54"/>
      <c r="U858" s="54"/>
      <c r="V858" s="54"/>
      <c r="W858" s="54"/>
      <c r="X858" s="54"/>
      <c r="Y858" s="54"/>
      <c r="Z858" s="54"/>
    </row>
    <row r="859">
      <c r="A859" s="54"/>
      <c r="B859" s="55"/>
      <c r="C859" s="54"/>
      <c r="D859" s="63"/>
      <c r="E859" s="54"/>
      <c r="F859" s="54"/>
      <c r="G859" s="54"/>
      <c r="H859" s="54"/>
      <c r="I859" s="54"/>
      <c r="J859" s="54"/>
      <c r="K859" s="54"/>
      <c r="L859" s="54"/>
      <c r="M859" s="54"/>
      <c r="N859" s="54"/>
      <c r="O859" s="54"/>
      <c r="P859" s="54"/>
      <c r="Q859" s="54"/>
      <c r="R859" s="54"/>
      <c r="S859" s="54"/>
      <c r="T859" s="54"/>
      <c r="U859" s="54"/>
      <c r="V859" s="54"/>
      <c r="W859" s="54"/>
      <c r="X859" s="54"/>
      <c r="Y859" s="54"/>
      <c r="Z859" s="54"/>
    </row>
    <row r="860">
      <c r="A860" s="54"/>
      <c r="B860" s="55"/>
      <c r="C860" s="54"/>
      <c r="D860" s="63"/>
      <c r="E860" s="54"/>
      <c r="F860" s="54"/>
      <c r="G860" s="54"/>
      <c r="H860" s="54"/>
      <c r="I860" s="54"/>
      <c r="J860" s="54"/>
      <c r="K860" s="54"/>
      <c r="L860" s="54"/>
      <c r="M860" s="54"/>
      <c r="N860" s="54"/>
      <c r="O860" s="54"/>
      <c r="P860" s="54"/>
      <c r="Q860" s="54"/>
      <c r="R860" s="54"/>
      <c r="S860" s="54"/>
      <c r="T860" s="54"/>
      <c r="U860" s="54"/>
      <c r="V860" s="54"/>
      <c r="W860" s="54"/>
      <c r="X860" s="54"/>
      <c r="Y860" s="54"/>
      <c r="Z860" s="54"/>
    </row>
    <row r="861">
      <c r="A861" s="54"/>
      <c r="B861" s="55"/>
      <c r="C861" s="54"/>
      <c r="D861" s="63"/>
      <c r="E861" s="54"/>
      <c r="F861" s="54"/>
      <c r="G861" s="54"/>
      <c r="H861" s="54"/>
      <c r="I861" s="54"/>
      <c r="J861" s="54"/>
      <c r="K861" s="54"/>
      <c r="L861" s="54"/>
      <c r="M861" s="54"/>
      <c r="N861" s="54"/>
      <c r="O861" s="54"/>
      <c r="P861" s="54"/>
      <c r="Q861" s="54"/>
      <c r="R861" s="54"/>
      <c r="S861" s="54"/>
      <c r="T861" s="54"/>
      <c r="U861" s="54"/>
      <c r="V861" s="54"/>
      <c r="W861" s="54"/>
      <c r="X861" s="54"/>
      <c r="Y861" s="54"/>
      <c r="Z861" s="54"/>
    </row>
    <row r="862">
      <c r="A862" s="54"/>
      <c r="B862" s="55"/>
      <c r="C862" s="54"/>
      <c r="D862" s="63"/>
      <c r="E862" s="54"/>
      <c r="F862" s="54"/>
      <c r="G862" s="54"/>
      <c r="H862" s="54"/>
      <c r="I862" s="54"/>
      <c r="J862" s="54"/>
      <c r="K862" s="54"/>
      <c r="L862" s="54"/>
      <c r="M862" s="54"/>
      <c r="N862" s="54"/>
      <c r="O862" s="54"/>
      <c r="P862" s="54"/>
      <c r="Q862" s="54"/>
      <c r="R862" s="54"/>
      <c r="S862" s="54"/>
      <c r="T862" s="54"/>
      <c r="U862" s="54"/>
      <c r="V862" s="54"/>
      <c r="W862" s="54"/>
      <c r="X862" s="54"/>
      <c r="Y862" s="54"/>
      <c r="Z862" s="54"/>
    </row>
    <row r="863">
      <c r="A863" s="54"/>
      <c r="B863" s="55"/>
      <c r="C863" s="54"/>
      <c r="D863" s="63"/>
      <c r="E863" s="54"/>
      <c r="F863" s="54"/>
      <c r="G863" s="54"/>
      <c r="H863" s="54"/>
      <c r="I863" s="54"/>
      <c r="J863" s="54"/>
      <c r="K863" s="54"/>
      <c r="L863" s="54"/>
      <c r="M863" s="54"/>
      <c r="N863" s="54"/>
      <c r="O863" s="54"/>
      <c r="P863" s="54"/>
      <c r="Q863" s="54"/>
      <c r="R863" s="54"/>
      <c r="S863" s="54"/>
      <c r="T863" s="54"/>
      <c r="U863" s="54"/>
      <c r="V863" s="54"/>
      <c r="W863" s="54"/>
      <c r="X863" s="54"/>
      <c r="Y863" s="54"/>
      <c r="Z863" s="54"/>
    </row>
    <row r="864">
      <c r="A864" s="54"/>
      <c r="B864" s="55"/>
      <c r="C864" s="54"/>
      <c r="D864" s="63"/>
      <c r="E864" s="54"/>
      <c r="F864" s="54"/>
      <c r="G864" s="54"/>
      <c r="H864" s="54"/>
      <c r="I864" s="54"/>
      <c r="J864" s="54"/>
      <c r="K864" s="54"/>
      <c r="L864" s="54"/>
      <c r="M864" s="54"/>
      <c r="N864" s="54"/>
      <c r="O864" s="54"/>
      <c r="P864" s="54"/>
      <c r="Q864" s="54"/>
      <c r="R864" s="54"/>
      <c r="S864" s="54"/>
      <c r="T864" s="54"/>
      <c r="U864" s="54"/>
      <c r="V864" s="54"/>
      <c r="W864" s="54"/>
      <c r="X864" s="54"/>
      <c r="Y864" s="54"/>
      <c r="Z864" s="54"/>
    </row>
    <row r="865">
      <c r="A865" s="54"/>
      <c r="B865" s="55"/>
      <c r="C865" s="54"/>
      <c r="D865" s="63"/>
      <c r="E865" s="54"/>
      <c r="F865" s="54"/>
      <c r="G865" s="54"/>
      <c r="H865" s="54"/>
      <c r="I865" s="54"/>
      <c r="J865" s="54"/>
      <c r="K865" s="54"/>
      <c r="L865" s="54"/>
      <c r="M865" s="54"/>
      <c r="N865" s="54"/>
      <c r="O865" s="54"/>
      <c r="P865" s="54"/>
      <c r="Q865" s="54"/>
      <c r="R865" s="54"/>
      <c r="S865" s="54"/>
      <c r="T865" s="54"/>
      <c r="U865" s="54"/>
      <c r="V865" s="54"/>
      <c r="W865" s="54"/>
      <c r="X865" s="54"/>
      <c r="Y865" s="54"/>
      <c r="Z865" s="54"/>
    </row>
    <row r="866">
      <c r="A866" s="54"/>
      <c r="B866" s="55"/>
      <c r="C866" s="54"/>
      <c r="D866" s="63"/>
      <c r="E866" s="54"/>
      <c r="F866" s="54"/>
      <c r="G866" s="54"/>
      <c r="H866" s="54"/>
      <c r="I866" s="54"/>
      <c r="J866" s="54"/>
      <c r="K866" s="54"/>
      <c r="L866" s="54"/>
      <c r="M866" s="54"/>
      <c r="N866" s="54"/>
      <c r="O866" s="54"/>
      <c r="P866" s="54"/>
      <c r="Q866" s="54"/>
      <c r="R866" s="54"/>
      <c r="S866" s="54"/>
      <c r="T866" s="54"/>
      <c r="U866" s="54"/>
      <c r="V866" s="54"/>
      <c r="W866" s="54"/>
      <c r="X866" s="54"/>
      <c r="Y866" s="54"/>
      <c r="Z866" s="54"/>
    </row>
    <row r="867">
      <c r="A867" s="54"/>
      <c r="B867" s="55"/>
      <c r="C867" s="54"/>
      <c r="D867" s="63"/>
      <c r="E867" s="54"/>
      <c r="F867" s="54"/>
      <c r="G867" s="54"/>
      <c r="H867" s="54"/>
      <c r="I867" s="54"/>
      <c r="J867" s="54"/>
      <c r="K867" s="54"/>
      <c r="L867" s="54"/>
      <c r="M867" s="54"/>
      <c r="N867" s="54"/>
      <c r="O867" s="54"/>
      <c r="P867" s="54"/>
      <c r="Q867" s="54"/>
      <c r="R867" s="54"/>
      <c r="S867" s="54"/>
      <c r="T867" s="54"/>
      <c r="U867" s="54"/>
      <c r="V867" s="54"/>
      <c r="W867" s="54"/>
      <c r="X867" s="54"/>
      <c r="Y867" s="54"/>
      <c r="Z867" s="54"/>
    </row>
    <row r="868">
      <c r="A868" s="54"/>
      <c r="B868" s="55"/>
      <c r="C868" s="54"/>
      <c r="D868" s="63"/>
      <c r="E868" s="54"/>
      <c r="F868" s="54"/>
      <c r="G868" s="54"/>
      <c r="H868" s="54"/>
      <c r="I868" s="54"/>
      <c r="J868" s="54"/>
      <c r="K868" s="54"/>
      <c r="L868" s="54"/>
      <c r="M868" s="54"/>
      <c r="N868" s="54"/>
      <c r="O868" s="54"/>
      <c r="P868" s="54"/>
      <c r="Q868" s="54"/>
      <c r="R868" s="54"/>
      <c r="S868" s="54"/>
      <c r="T868" s="54"/>
      <c r="U868" s="54"/>
      <c r="V868" s="54"/>
      <c r="W868" s="54"/>
      <c r="X868" s="54"/>
      <c r="Y868" s="54"/>
      <c r="Z868" s="54"/>
    </row>
    <row r="869">
      <c r="A869" s="54"/>
      <c r="B869" s="55"/>
      <c r="C869" s="54"/>
      <c r="D869" s="63"/>
      <c r="E869" s="54"/>
      <c r="F869" s="54"/>
      <c r="G869" s="54"/>
      <c r="H869" s="54"/>
      <c r="I869" s="54"/>
      <c r="J869" s="54"/>
      <c r="K869" s="54"/>
      <c r="L869" s="54"/>
      <c r="M869" s="54"/>
      <c r="N869" s="54"/>
      <c r="O869" s="54"/>
      <c r="P869" s="54"/>
      <c r="Q869" s="54"/>
      <c r="R869" s="54"/>
      <c r="S869" s="54"/>
      <c r="T869" s="54"/>
      <c r="U869" s="54"/>
      <c r="V869" s="54"/>
      <c r="W869" s="54"/>
      <c r="X869" s="54"/>
      <c r="Y869" s="54"/>
      <c r="Z869" s="54"/>
    </row>
    <row r="870">
      <c r="A870" s="54"/>
      <c r="B870" s="55"/>
      <c r="C870" s="54"/>
      <c r="D870" s="63"/>
      <c r="E870" s="54"/>
      <c r="F870" s="54"/>
      <c r="G870" s="54"/>
      <c r="H870" s="54"/>
      <c r="I870" s="54"/>
      <c r="J870" s="54"/>
      <c r="K870" s="54"/>
      <c r="L870" s="54"/>
      <c r="M870" s="54"/>
      <c r="N870" s="54"/>
      <c r="O870" s="54"/>
      <c r="P870" s="54"/>
      <c r="Q870" s="54"/>
      <c r="R870" s="54"/>
      <c r="S870" s="54"/>
      <c r="T870" s="54"/>
      <c r="U870" s="54"/>
      <c r="V870" s="54"/>
      <c r="W870" s="54"/>
      <c r="X870" s="54"/>
      <c r="Y870" s="54"/>
      <c r="Z870" s="54"/>
    </row>
    <row r="871">
      <c r="A871" s="54"/>
      <c r="B871" s="55"/>
      <c r="C871" s="54"/>
      <c r="D871" s="63"/>
      <c r="E871" s="54"/>
      <c r="F871" s="54"/>
      <c r="G871" s="54"/>
      <c r="H871" s="54"/>
      <c r="I871" s="54"/>
      <c r="J871" s="54"/>
      <c r="K871" s="54"/>
      <c r="L871" s="54"/>
      <c r="M871" s="54"/>
      <c r="N871" s="54"/>
      <c r="O871" s="54"/>
      <c r="P871" s="54"/>
      <c r="Q871" s="54"/>
      <c r="R871" s="54"/>
      <c r="S871" s="54"/>
      <c r="T871" s="54"/>
      <c r="U871" s="54"/>
      <c r="V871" s="54"/>
      <c r="W871" s="54"/>
      <c r="X871" s="54"/>
      <c r="Y871" s="54"/>
      <c r="Z871" s="54"/>
    </row>
    <row r="872">
      <c r="A872" s="54"/>
      <c r="B872" s="55"/>
      <c r="C872" s="54"/>
      <c r="D872" s="63"/>
      <c r="E872" s="54"/>
      <c r="F872" s="54"/>
      <c r="G872" s="54"/>
      <c r="H872" s="54"/>
      <c r="I872" s="54"/>
      <c r="J872" s="54"/>
      <c r="K872" s="54"/>
      <c r="L872" s="54"/>
      <c r="M872" s="54"/>
      <c r="N872" s="54"/>
      <c r="O872" s="54"/>
      <c r="P872" s="54"/>
      <c r="Q872" s="54"/>
      <c r="R872" s="54"/>
      <c r="S872" s="54"/>
      <c r="T872" s="54"/>
      <c r="U872" s="54"/>
      <c r="V872" s="54"/>
      <c r="W872" s="54"/>
      <c r="X872" s="54"/>
      <c r="Y872" s="54"/>
      <c r="Z872" s="54"/>
    </row>
    <row r="873">
      <c r="A873" s="54"/>
      <c r="B873" s="55"/>
      <c r="C873" s="54"/>
      <c r="D873" s="63"/>
      <c r="E873" s="54"/>
      <c r="F873" s="54"/>
      <c r="G873" s="54"/>
      <c r="H873" s="54"/>
      <c r="I873" s="54"/>
      <c r="J873" s="54"/>
      <c r="K873" s="54"/>
      <c r="L873" s="54"/>
      <c r="M873" s="54"/>
      <c r="N873" s="54"/>
      <c r="O873" s="54"/>
      <c r="P873" s="54"/>
      <c r="Q873" s="54"/>
      <c r="R873" s="54"/>
      <c r="S873" s="54"/>
      <c r="T873" s="54"/>
      <c r="U873" s="54"/>
      <c r="V873" s="54"/>
      <c r="W873" s="54"/>
      <c r="X873" s="54"/>
      <c r="Y873" s="54"/>
      <c r="Z873" s="54"/>
    </row>
    <row r="874">
      <c r="A874" s="54"/>
      <c r="B874" s="55"/>
      <c r="C874" s="54"/>
      <c r="D874" s="63"/>
      <c r="E874" s="54"/>
      <c r="F874" s="54"/>
      <c r="G874" s="54"/>
      <c r="H874" s="54"/>
      <c r="I874" s="54"/>
      <c r="J874" s="54"/>
      <c r="K874" s="54"/>
      <c r="L874" s="54"/>
      <c r="M874" s="54"/>
      <c r="N874" s="54"/>
      <c r="O874" s="54"/>
      <c r="P874" s="54"/>
      <c r="Q874" s="54"/>
      <c r="R874" s="54"/>
      <c r="S874" s="54"/>
      <c r="T874" s="54"/>
      <c r="U874" s="54"/>
      <c r="V874" s="54"/>
      <c r="W874" s="54"/>
      <c r="X874" s="54"/>
      <c r="Y874" s="54"/>
      <c r="Z874" s="54"/>
    </row>
    <row r="875">
      <c r="A875" s="54"/>
      <c r="B875" s="55"/>
      <c r="C875" s="54"/>
      <c r="D875" s="63"/>
      <c r="E875" s="54"/>
      <c r="F875" s="54"/>
      <c r="G875" s="54"/>
      <c r="H875" s="54"/>
      <c r="I875" s="54"/>
      <c r="J875" s="54"/>
      <c r="K875" s="54"/>
      <c r="L875" s="54"/>
      <c r="M875" s="54"/>
      <c r="N875" s="54"/>
      <c r="O875" s="54"/>
      <c r="P875" s="54"/>
      <c r="Q875" s="54"/>
      <c r="R875" s="54"/>
      <c r="S875" s="54"/>
      <c r="T875" s="54"/>
      <c r="U875" s="54"/>
      <c r="V875" s="54"/>
      <c r="W875" s="54"/>
      <c r="X875" s="54"/>
      <c r="Y875" s="54"/>
      <c r="Z875" s="54"/>
    </row>
    <row r="876">
      <c r="A876" s="54"/>
      <c r="B876" s="55"/>
      <c r="C876" s="54"/>
      <c r="D876" s="63"/>
      <c r="E876" s="54"/>
      <c r="F876" s="54"/>
      <c r="G876" s="54"/>
      <c r="H876" s="54"/>
      <c r="I876" s="54"/>
      <c r="J876" s="54"/>
      <c r="K876" s="54"/>
      <c r="L876" s="54"/>
      <c r="M876" s="54"/>
      <c r="N876" s="54"/>
      <c r="O876" s="54"/>
      <c r="P876" s="54"/>
      <c r="Q876" s="54"/>
      <c r="R876" s="54"/>
      <c r="S876" s="54"/>
      <c r="T876" s="54"/>
      <c r="U876" s="54"/>
      <c r="V876" s="54"/>
      <c r="W876" s="54"/>
      <c r="X876" s="54"/>
      <c r="Y876" s="54"/>
      <c r="Z876" s="54"/>
    </row>
    <row r="877">
      <c r="A877" s="54"/>
      <c r="B877" s="55"/>
      <c r="C877" s="54"/>
      <c r="D877" s="63"/>
      <c r="E877" s="54"/>
      <c r="F877" s="54"/>
      <c r="G877" s="54"/>
      <c r="H877" s="54"/>
      <c r="I877" s="54"/>
      <c r="J877" s="54"/>
      <c r="K877" s="54"/>
      <c r="L877" s="54"/>
      <c r="M877" s="54"/>
      <c r="N877" s="54"/>
      <c r="O877" s="54"/>
      <c r="P877" s="54"/>
      <c r="Q877" s="54"/>
      <c r="R877" s="54"/>
      <c r="S877" s="54"/>
      <c r="T877" s="54"/>
      <c r="U877" s="54"/>
      <c r="V877" s="54"/>
      <c r="W877" s="54"/>
      <c r="X877" s="54"/>
      <c r="Y877" s="54"/>
      <c r="Z877" s="54"/>
    </row>
    <row r="878">
      <c r="A878" s="54"/>
      <c r="B878" s="55"/>
      <c r="C878" s="54"/>
      <c r="D878" s="63"/>
      <c r="E878" s="54"/>
      <c r="F878" s="54"/>
      <c r="G878" s="54"/>
      <c r="H878" s="54"/>
      <c r="I878" s="54"/>
      <c r="J878" s="54"/>
      <c r="K878" s="54"/>
      <c r="L878" s="54"/>
      <c r="M878" s="54"/>
      <c r="N878" s="54"/>
      <c r="O878" s="54"/>
      <c r="P878" s="54"/>
      <c r="Q878" s="54"/>
      <c r="R878" s="54"/>
      <c r="S878" s="54"/>
      <c r="T878" s="54"/>
      <c r="U878" s="54"/>
      <c r="V878" s="54"/>
      <c r="W878" s="54"/>
      <c r="X878" s="54"/>
      <c r="Y878" s="54"/>
      <c r="Z878" s="54"/>
    </row>
    <row r="879">
      <c r="A879" s="54"/>
      <c r="B879" s="55"/>
      <c r="C879" s="54"/>
      <c r="D879" s="63"/>
      <c r="E879" s="54"/>
      <c r="F879" s="54"/>
      <c r="G879" s="54"/>
      <c r="H879" s="54"/>
      <c r="I879" s="54"/>
      <c r="J879" s="54"/>
      <c r="K879" s="54"/>
      <c r="L879" s="54"/>
      <c r="M879" s="54"/>
      <c r="N879" s="54"/>
      <c r="O879" s="54"/>
      <c r="P879" s="54"/>
      <c r="Q879" s="54"/>
      <c r="R879" s="54"/>
      <c r="S879" s="54"/>
      <c r="T879" s="54"/>
      <c r="U879" s="54"/>
      <c r="V879" s="54"/>
      <c r="W879" s="54"/>
      <c r="X879" s="54"/>
      <c r="Y879" s="54"/>
      <c r="Z879" s="54"/>
    </row>
    <row r="880">
      <c r="A880" s="54"/>
      <c r="B880" s="55"/>
      <c r="C880" s="54"/>
      <c r="D880" s="63"/>
      <c r="E880" s="54"/>
      <c r="F880" s="54"/>
      <c r="G880" s="54"/>
      <c r="H880" s="54"/>
      <c r="I880" s="54"/>
      <c r="J880" s="54"/>
      <c r="K880" s="54"/>
      <c r="L880" s="54"/>
      <c r="M880" s="54"/>
      <c r="N880" s="54"/>
      <c r="O880" s="54"/>
      <c r="P880" s="54"/>
      <c r="Q880" s="54"/>
      <c r="R880" s="54"/>
      <c r="S880" s="54"/>
      <c r="T880" s="54"/>
      <c r="U880" s="54"/>
      <c r="V880" s="54"/>
      <c r="W880" s="54"/>
      <c r="X880" s="54"/>
      <c r="Y880" s="54"/>
      <c r="Z880" s="54"/>
    </row>
    <row r="881">
      <c r="A881" s="54"/>
      <c r="B881" s="55"/>
      <c r="C881" s="54"/>
      <c r="D881" s="63"/>
      <c r="E881" s="54"/>
      <c r="F881" s="54"/>
      <c r="G881" s="54"/>
      <c r="H881" s="54"/>
      <c r="I881" s="54"/>
      <c r="J881" s="54"/>
      <c r="K881" s="54"/>
      <c r="L881" s="54"/>
      <c r="M881" s="54"/>
      <c r="N881" s="54"/>
      <c r="O881" s="54"/>
      <c r="P881" s="54"/>
      <c r="Q881" s="54"/>
      <c r="R881" s="54"/>
      <c r="S881" s="54"/>
      <c r="T881" s="54"/>
      <c r="U881" s="54"/>
      <c r="V881" s="54"/>
      <c r="W881" s="54"/>
      <c r="X881" s="54"/>
      <c r="Y881" s="54"/>
      <c r="Z881" s="54"/>
    </row>
    <row r="882">
      <c r="A882" s="54"/>
      <c r="B882" s="55"/>
      <c r="C882" s="54"/>
      <c r="D882" s="63"/>
      <c r="E882" s="54"/>
      <c r="F882" s="54"/>
      <c r="G882" s="54"/>
      <c r="H882" s="54"/>
      <c r="I882" s="54"/>
      <c r="J882" s="54"/>
      <c r="K882" s="54"/>
      <c r="L882" s="54"/>
      <c r="M882" s="54"/>
      <c r="N882" s="54"/>
      <c r="O882" s="54"/>
      <c r="P882" s="54"/>
      <c r="Q882" s="54"/>
      <c r="R882" s="54"/>
      <c r="S882" s="54"/>
      <c r="T882" s="54"/>
      <c r="U882" s="54"/>
      <c r="V882" s="54"/>
      <c r="W882" s="54"/>
      <c r="X882" s="54"/>
      <c r="Y882" s="54"/>
      <c r="Z882" s="54"/>
    </row>
    <row r="883">
      <c r="A883" s="54"/>
      <c r="B883" s="55"/>
      <c r="C883" s="54"/>
      <c r="D883" s="63"/>
      <c r="E883" s="54"/>
      <c r="F883" s="54"/>
      <c r="G883" s="54"/>
      <c r="H883" s="54"/>
      <c r="I883" s="54"/>
      <c r="J883" s="54"/>
      <c r="K883" s="54"/>
      <c r="L883" s="54"/>
      <c r="M883" s="54"/>
      <c r="N883" s="54"/>
      <c r="O883" s="54"/>
      <c r="P883" s="54"/>
      <c r="Q883" s="54"/>
      <c r="R883" s="54"/>
      <c r="S883" s="54"/>
      <c r="T883" s="54"/>
      <c r="U883" s="54"/>
      <c r="V883" s="54"/>
      <c r="W883" s="54"/>
      <c r="X883" s="54"/>
      <c r="Y883" s="54"/>
      <c r="Z883" s="54"/>
    </row>
    <row r="884">
      <c r="A884" s="54"/>
      <c r="B884" s="55"/>
      <c r="C884" s="54"/>
      <c r="D884" s="63"/>
      <c r="E884" s="54"/>
      <c r="F884" s="54"/>
      <c r="G884" s="54"/>
      <c r="H884" s="54"/>
      <c r="I884" s="54"/>
      <c r="J884" s="54"/>
      <c r="K884" s="54"/>
      <c r="L884" s="54"/>
      <c r="M884" s="54"/>
      <c r="N884" s="54"/>
      <c r="O884" s="54"/>
      <c r="P884" s="54"/>
      <c r="Q884" s="54"/>
      <c r="R884" s="54"/>
      <c r="S884" s="54"/>
      <c r="T884" s="54"/>
      <c r="U884" s="54"/>
      <c r="V884" s="54"/>
      <c r="W884" s="54"/>
      <c r="X884" s="54"/>
      <c r="Y884" s="54"/>
      <c r="Z884" s="54"/>
    </row>
    <row r="885">
      <c r="A885" s="54"/>
      <c r="B885" s="55"/>
      <c r="C885" s="54"/>
      <c r="D885" s="63"/>
      <c r="E885" s="54"/>
      <c r="F885" s="54"/>
      <c r="G885" s="54"/>
      <c r="H885" s="54"/>
      <c r="I885" s="54"/>
      <c r="J885" s="54"/>
      <c r="K885" s="54"/>
      <c r="L885" s="54"/>
      <c r="M885" s="54"/>
      <c r="N885" s="54"/>
      <c r="O885" s="54"/>
      <c r="P885" s="54"/>
      <c r="Q885" s="54"/>
      <c r="R885" s="54"/>
      <c r="S885" s="54"/>
      <c r="T885" s="54"/>
      <c r="U885" s="54"/>
      <c r="V885" s="54"/>
      <c r="W885" s="54"/>
      <c r="X885" s="54"/>
      <c r="Y885" s="54"/>
      <c r="Z885" s="54"/>
    </row>
    <row r="886">
      <c r="A886" s="54"/>
      <c r="B886" s="55"/>
      <c r="C886" s="54"/>
      <c r="D886" s="63"/>
      <c r="E886" s="54"/>
      <c r="F886" s="54"/>
      <c r="G886" s="54"/>
      <c r="H886" s="54"/>
      <c r="I886" s="54"/>
      <c r="J886" s="54"/>
      <c r="K886" s="54"/>
      <c r="L886" s="54"/>
      <c r="M886" s="54"/>
      <c r="N886" s="54"/>
      <c r="O886" s="54"/>
      <c r="P886" s="54"/>
      <c r="Q886" s="54"/>
      <c r="R886" s="54"/>
      <c r="S886" s="54"/>
      <c r="T886" s="54"/>
      <c r="U886" s="54"/>
      <c r="V886" s="54"/>
      <c r="W886" s="54"/>
      <c r="X886" s="54"/>
      <c r="Y886" s="54"/>
      <c r="Z886" s="54"/>
    </row>
    <row r="887">
      <c r="A887" s="54"/>
      <c r="B887" s="55"/>
      <c r="C887" s="54"/>
      <c r="D887" s="63"/>
      <c r="E887" s="54"/>
      <c r="F887" s="54"/>
      <c r="G887" s="54"/>
      <c r="H887" s="54"/>
      <c r="I887" s="54"/>
      <c r="J887" s="54"/>
      <c r="K887" s="54"/>
      <c r="L887" s="54"/>
      <c r="M887" s="54"/>
      <c r="N887" s="54"/>
      <c r="O887" s="54"/>
      <c r="P887" s="54"/>
      <c r="Q887" s="54"/>
      <c r="R887" s="54"/>
      <c r="S887" s="54"/>
      <c r="T887" s="54"/>
      <c r="U887" s="54"/>
      <c r="V887" s="54"/>
      <c r="W887" s="54"/>
      <c r="X887" s="54"/>
      <c r="Y887" s="54"/>
      <c r="Z887" s="54"/>
    </row>
    <row r="888">
      <c r="A888" s="54"/>
      <c r="B888" s="55"/>
      <c r="C888" s="54"/>
      <c r="D888" s="63"/>
      <c r="E888" s="54"/>
      <c r="F888" s="54"/>
      <c r="G888" s="54"/>
      <c r="H888" s="54"/>
      <c r="I888" s="54"/>
      <c r="J888" s="54"/>
      <c r="K888" s="54"/>
      <c r="L888" s="54"/>
      <c r="M888" s="54"/>
      <c r="N888" s="54"/>
      <c r="O888" s="54"/>
      <c r="P888" s="54"/>
      <c r="Q888" s="54"/>
      <c r="R888" s="54"/>
      <c r="S888" s="54"/>
      <c r="T888" s="54"/>
      <c r="U888" s="54"/>
      <c r="V888" s="54"/>
      <c r="W888" s="54"/>
      <c r="X888" s="54"/>
      <c r="Y888" s="54"/>
      <c r="Z888" s="54"/>
    </row>
    <row r="889">
      <c r="A889" s="54"/>
      <c r="B889" s="55"/>
      <c r="C889" s="54"/>
      <c r="D889" s="63"/>
      <c r="E889" s="54"/>
      <c r="F889" s="54"/>
      <c r="G889" s="54"/>
      <c r="H889" s="54"/>
      <c r="I889" s="54"/>
      <c r="J889" s="54"/>
      <c r="K889" s="54"/>
      <c r="L889" s="54"/>
      <c r="M889" s="54"/>
      <c r="N889" s="54"/>
      <c r="O889" s="54"/>
      <c r="P889" s="54"/>
      <c r="Q889" s="54"/>
      <c r="R889" s="54"/>
      <c r="S889" s="54"/>
      <c r="T889" s="54"/>
      <c r="U889" s="54"/>
      <c r="V889" s="54"/>
      <c r="W889" s="54"/>
      <c r="X889" s="54"/>
      <c r="Y889" s="54"/>
      <c r="Z889" s="54"/>
    </row>
    <row r="890">
      <c r="A890" s="54"/>
      <c r="B890" s="55"/>
      <c r="C890" s="54"/>
      <c r="D890" s="63"/>
      <c r="E890" s="54"/>
      <c r="F890" s="54"/>
      <c r="G890" s="54"/>
      <c r="H890" s="54"/>
      <c r="I890" s="54"/>
      <c r="J890" s="54"/>
      <c r="K890" s="54"/>
      <c r="L890" s="54"/>
      <c r="M890" s="54"/>
      <c r="N890" s="54"/>
      <c r="O890" s="54"/>
      <c r="P890" s="54"/>
      <c r="Q890" s="54"/>
      <c r="R890" s="54"/>
      <c r="S890" s="54"/>
      <c r="T890" s="54"/>
      <c r="U890" s="54"/>
      <c r="V890" s="54"/>
      <c r="W890" s="54"/>
      <c r="X890" s="54"/>
      <c r="Y890" s="54"/>
      <c r="Z890" s="54"/>
    </row>
    <row r="891">
      <c r="A891" s="54"/>
      <c r="B891" s="55"/>
      <c r="C891" s="54"/>
      <c r="D891" s="63"/>
      <c r="E891" s="54"/>
      <c r="F891" s="54"/>
      <c r="G891" s="54"/>
      <c r="H891" s="54"/>
      <c r="I891" s="54"/>
      <c r="J891" s="54"/>
      <c r="K891" s="54"/>
      <c r="L891" s="54"/>
      <c r="M891" s="54"/>
      <c r="N891" s="54"/>
      <c r="O891" s="54"/>
      <c r="P891" s="54"/>
      <c r="Q891" s="54"/>
      <c r="R891" s="54"/>
      <c r="S891" s="54"/>
      <c r="T891" s="54"/>
      <c r="U891" s="54"/>
      <c r="V891" s="54"/>
      <c r="W891" s="54"/>
      <c r="X891" s="54"/>
      <c r="Y891" s="54"/>
      <c r="Z891" s="54"/>
    </row>
    <row r="892">
      <c r="A892" s="54"/>
      <c r="B892" s="55"/>
      <c r="C892" s="54"/>
      <c r="D892" s="63"/>
      <c r="E892" s="54"/>
      <c r="F892" s="54"/>
      <c r="G892" s="54"/>
      <c r="H892" s="54"/>
      <c r="I892" s="54"/>
      <c r="J892" s="54"/>
      <c r="K892" s="54"/>
      <c r="L892" s="54"/>
      <c r="M892" s="54"/>
      <c r="N892" s="54"/>
      <c r="O892" s="54"/>
      <c r="P892" s="54"/>
      <c r="Q892" s="54"/>
      <c r="R892" s="54"/>
      <c r="S892" s="54"/>
      <c r="T892" s="54"/>
      <c r="U892" s="54"/>
      <c r="V892" s="54"/>
      <c r="W892" s="54"/>
      <c r="X892" s="54"/>
      <c r="Y892" s="54"/>
      <c r="Z892" s="54"/>
    </row>
    <row r="893">
      <c r="A893" s="54"/>
      <c r="B893" s="55"/>
      <c r="C893" s="54"/>
      <c r="D893" s="63"/>
      <c r="E893" s="54"/>
      <c r="F893" s="54"/>
      <c r="G893" s="54"/>
      <c r="H893" s="54"/>
      <c r="I893" s="54"/>
      <c r="J893" s="54"/>
      <c r="K893" s="54"/>
      <c r="L893" s="54"/>
      <c r="M893" s="54"/>
      <c r="N893" s="54"/>
      <c r="O893" s="54"/>
      <c r="P893" s="54"/>
      <c r="Q893" s="54"/>
      <c r="R893" s="54"/>
      <c r="S893" s="54"/>
      <c r="T893" s="54"/>
      <c r="U893" s="54"/>
      <c r="V893" s="54"/>
      <c r="W893" s="54"/>
      <c r="X893" s="54"/>
      <c r="Y893" s="54"/>
      <c r="Z893" s="54"/>
    </row>
    <row r="894">
      <c r="A894" s="54"/>
      <c r="B894" s="55"/>
      <c r="C894" s="54"/>
      <c r="D894" s="63"/>
      <c r="E894" s="54"/>
      <c r="F894" s="54"/>
      <c r="G894" s="54"/>
      <c r="H894" s="54"/>
      <c r="I894" s="54"/>
      <c r="J894" s="54"/>
      <c r="K894" s="54"/>
      <c r="L894" s="54"/>
      <c r="M894" s="54"/>
      <c r="N894" s="54"/>
      <c r="O894" s="54"/>
      <c r="P894" s="54"/>
      <c r="Q894" s="54"/>
      <c r="R894" s="54"/>
      <c r="S894" s="54"/>
      <c r="T894" s="54"/>
      <c r="U894" s="54"/>
      <c r="V894" s="54"/>
      <c r="W894" s="54"/>
      <c r="X894" s="54"/>
      <c r="Y894" s="54"/>
      <c r="Z894" s="54"/>
    </row>
    <row r="895">
      <c r="A895" s="54"/>
      <c r="B895" s="55"/>
      <c r="C895" s="54"/>
      <c r="D895" s="63"/>
      <c r="E895" s="54"/>
      <c r="F895" s="54"/>
      <c r="G895" s="54"/>
      <c r="H895" s="54"/>
      <c r="I895" s="54"/>
      <c r="J895" s="54"/>
      <c r="K895" s="54"/>
      <c r="L895" s="54"/>
      <c r="M895" s="54"/>
      <c r="N895" s="54"/>
      <c r="O895" s="54"/>
      <c r="P895" s="54"/>
      <c r="Q895" s="54"/>
      <c r="R895" s="54"/>
      <c r="S895" s="54"/>
      <c r="T895" s="54"/>
      <c r="U895" s="54"/>
      <c r="V895" s="54"/>
      <c r="W895" s="54"/>
      <c r="X895" s="54"/>
      <c r="Y895" s="54"/>
      <c r="Z895" s="54"/>
    </row>
    <row r="896">
      <c r="A896" s="54"/>
      <c r="B896" s="55"/>
      <c r="C896" s="54"/>
      <c r="D896" s="63"/>
      <c r="E896" s="54"/>
      <c r="F896" s="54"/>
      <c r="G896" s="54"/>
      <c r="H896" s="54"/>
      <c r="I896" s="54"/>
      <c r="J896" s="54"/>
      <c r="K896" s="54"/>
      <c r="L896" s="54"/>
      <c r="M896" s="54"/>
      <c r="N896" s="54"/>
      <c r="O896" s="54"/>
      <c r="P896" s="54"/>
      <c r="Q896" s="54"/>
      <c r="R896" s="54"/>
      <c r="S896" s="54"/>
      <c r="T896" s="54"/>
      <c r="U896" s="54"/>
      <c r="V896" s="54"/>
      <c r="W896" s="54"/>
      <c r="X896" s="54"/>
      <c r="Y896" s="54"/>
      <c r="Z896" s="54"/>
    </row>
    <row r="897">
      <c r="A897" s="54"/>
      <c r="B897" s="55"/>
      <c r="C897" s="54"/>
      <c r="D897" s="63"/>
      <c r="E897" s="54"/>
      <c r="F897" s="54"/>
      <c r="G897" s="54"/>
      <c r="H897" s="54"/>
      <c r="I897" s="54"/>
      <c r="J897" s="54"/>
      <c r="K897" s="54"/>
      <c r="L897" s="54"/>
      <c r="M897" s="54"/>
      <c r="N897" s="54"/>
      <c r="O897" s="54"/>
      <c r="P897" s="54"/>
      <c r="Q897" s="54"/>
      <c r="R897" s="54"/>
      <c r="S897" s="54"/>
      <c r="T897" s="54"/>
      <c r="U897" s="54"/>
      <c r="V897" s="54"/>
      <c r="W897" s="54"/>
      <c r="X897" s="54"/>
      <c r="Y897" s="54"/>
      <c r="Z897" s="54"/>
    </row>
    <row r="898">
      <c r="A898" s="54"/>
      <c r="B898" s="55"/>
      <c r="C898" s="54"/>
      <c r="D898" s="63"/>
      <c r="E898" s="54"/>
      <c r="F898" s="54"/>
      <c r="G898" s="54"/>
      <c r="H898" s="54"/>
      <c r="I898" s="54"/>
      <c r="J898" s="54"/>
      <c r="K898" s="54"/>
      <c r="L898" s="54"/>
      <c r="M898" s="54"/>
      <c r="N898" s="54"/>
      <c r="O898" s="54"/>
      <c r="P898" s="54"/>
      <c r="Q898" s="54"/>
      <c r="R898" s="54"/>
      <c r="S898" s="54"/>
      <c r="T898" s="54"/>
      <c r="U898" s="54"/>
      <c r="V898" s="54"/>
      <c r="W898" s="54"/>
      <c r="X898" s="54"/>
      <c r="Y898" s="54"/>
      <c r="Z898" s="54"/>
    </row>
    <row r="899">
      <c r="A899" s="54"/>
      <c r="B899" s="55"/>
      <c r="C899" s="54"/>
      <c r="D899" s="63"/>
      <c r="E899" s="54"/>
      <c r="F899" s="54"/>
      <c r="G899" s="54"/>
      <c r="H899" s="54"/>
      <c r="I899" s="54"/>
      <c r="J899" s="54"/>
      <c r="K899" s="54"/>
      <c r="L899" s="54"/>
      <c r="M899" s="54"/>
      <c r="N899" s="54"/>
      <c r="O899" s="54"/>
      <c r="P899" s="54"/>
      <c r="Q899" s="54"/>
      <c r="R899" s="54"/>
      <c r="S899" s="54"/>
      <c r="T899" s="54"/>
      <c r="U899" s="54"/>
      <c r="V899" s="54"/>
      <c r="W899" s="54"/>
      <c r="X899" s="54"/>
      <c r="Y899" s="54"/>
      <c r="Z899" s="54"/>
    </row>
    <row r="900">
      <c r="A900" s="54"/>
      <c r="B900" s="55"/>
      <c r="C900" s="54"/>
      <c r="D900" s="63"/>
      <c r="E900" s="54"/>
      <c r="F900" s="54"/>
      <c r="G900" s="54"/>
      <c r="H900" s="54"/>
      <c r="I900" s="54"/>
      <c r="J900" s="54"/>
      <c r="K900" s="54"/>
      <c r="L900" s="54"/>
      <c r="M900" s="54"/>
      <c r="N900" s="54"/>
      <c r="O900" s="54"/>
      <c r="P900" s="54"/>
      <c r="Q900" s="54"/>
      <c r="R900" s="54"/>
      <c r="S900" s="54"/>
      <c r="T900" s="54"/>
      <c r="U900" s="54"/>
      <c r="V900" s="54"/>
      <c r="W900" s="54"/>
      <c r="X900" s="54"/>
      <c r="Y900" s="54"/>
      <c r="Z900" s="54"/>
    </row>
    <row r="901">
      <c r="A901" s="54"/>
      <c r="B901" s="55"/>
      <c r="C901" s="54"/>
      <c r="D901" s="63"/>
      <c r="E901" s="54"/>
      <c r="F901" s="54"/>
      <c r="G901" s="54"/>
      <c r="H901" s="54"/>
      <c r="I901" s="54"/>
      <c r="J901" s="54"/>
      <c r="K901" s="54"/>
      <c r="L901" s="54"/>
      <c r="M901" s="54"/>
      <c r="N901" s="54"/>
      <c r="O901" s="54"/>
      <c r="P901" s="54"/>
      <c r="Q901" s="54"/>
      <c r="R901" s="54"/>
      <c r="S901" s="54"/>
      <c r="T901" s="54"/>
      <c r="U901" s="54"/>
      <c r="V901" s="54"/>
      <c r="W901" s="54"/>
      <c r="X901" s="54"/>
      <c r="Y901" s="54"/>
      <c r="Z901" s="54"/>
    </row>
    <row r="902">
      <c r="A902" s="54"/>
      <c r="B902" s="55"/>
      <c r="C902" s="54"/>
      <c r="D902" s="63"/>
      <c r="E902" s="54"/>
      <c r="F902" s="54"/>
      <c r="G902" s="54"/>
      <c r="H902" s="54"/>
      <c r="I902" s="54"/>
      <c r="J902" s="54"/>
      <c r="K902" s="54"/>
      <c r="L902" s="54"/>
      <c r="M902" s="54"/>
      <c r="N902" s="54"/>
      <c r="O902" s="54"/>
      <c r="P902" s="54"/>
      <c r="Q902" s="54"/>
      <c r="R902" s="54"/>
      <c r="S902" s="54"/>
      <c r="T902" s="54"/>
      <c r="U902" s="54"/>
      <c r="V902" s="54"/>
      <c r="W902" s="54"/>
      <c r="X902" s="54"/>
      <c r="Y902" s="54"/>
      <c r="Z902" s="54"/>
    </row>
    <row r="903">
      <c r="A903" s="54"/>
      <c r="B903" s="55"/>
      <c r="C903" s="54"/>
      <c r="D903" s="63"/>
      <c r="E903" s="54"/>
      <c r="F903" s="54"/>
      <c r="G903" s="54"/>
      <c r="H903" s="54"/>
      <c r="I903" s="54"/>
      <c r="J903" s="54"/>
      <c r="K903" s="54"/>
      <c r="L903" s="54"/>
      <c r="M903" s="54"/>
      <c r="N903" s="54"/>
      <c r="O903" s="54"/>
      <c r="P903" s="54"/>
      <c r="Q903" s="54"/>
      <c r="R903" s="54"/>
      <c r="S903" s="54"/>
      <c r="T903" s="54"/>
      <c r="U903" s="54"/>
      <c r="V903" s="54"/>
      <c r="W903" s="54"/>
      <c r="X903" s="54"/>
      <c r="Y903" s="54"/>
      <c r="Z903" s="54"/>
    </row>
    <row r="904">
      <c r="A904" s="54"/>
      <c r="B904" s="55"/>
      <c r="C904" s="54"/>
      <c r="D904" s="63"/>
      <c r="E904" s="54"/>
      <c r="F904" s="54"/>
      <c r="G904" s="54"/>
      <c r="H904" s="54"/>
      <c r="I904" s="54"/>
      <c r="J904" s="54"/>
      <c r="K904" s="54"/>
      <c r="L904" s="54"/>
      <c r="M904" s="54"/>
      <c r="N904" s="54"/>
      <c r="O904" s="54"/>
      <c r="P904" s="54"/>
      <c r="Q904" s="54"/>
      <c r="R904" s="54"/>
      <c r="S904" s="54"/>
      <c r="T904" s="54"/>
      <c r="U904" s="54"/>
      <c r="V904" s="54"/>
      <c r="W904" s="54"/>
      <c r="X904" s="54"/>
      <c r="Y904" s="54"/>
      <c r="Z904" s="54"/>
    </row>
    <row r="905">
      <c r="A905" s="54"/>
      <c r="B905" s="55"/>
      <c r="C905" s="54"/>
      <c r="D905" s="63"/>
      <c r="E905" s="54"/>
      <c r="F905" s="54"/>
      <c r="G905" s="54"/>
      <c r="H905" s="54"/>
      <c r="I905" s="54"/>
      <c r="J905" s="54"/>
      <c r="K905" s="54"/>
      <c r="L905" s="54"/>
      <c r="M905" s="54"/>
      <c r="N905" s="54"/>
      <c r="O905" s="54"/>
      <c r="P905" s="54"/>
      <c r="Q905" s="54"/>
      <c r="R905" s="54"/>
      <c r="S905" s="54"/>
      <c r="T905" s="54"/>
      <c r="U905" s="54"/>
      <c r="V905" s="54"/>
      <c r="W905" s="54"/>
      <c r="X905" s="54"/>
      <c r="Y905" s="54"/>
      <c r="Z905" s="54"/>
    </row>
    <row r="906">
      <c r="A906" s="54"/>
      <c r="B906" s="55"/>
      <c r="C906" s="54"/>
      <c r="D906" s="63"/>
      <c r="E906" s="54"/>
      <c r="F906" s="54"/>
      <c r="G906" s="54"/>
      <c r="H906" s="54"/>
      <c r="I906" s="54"/>
      <c r="J906" s="54"/>
      <c r="K906" s="54"/>
      <c r="L906" s="54"/>
      <c r="M906" s="54"/>
      <c r="N906" s="54"/>
      <c r="O906" s="54"/>
      <c r="P906" s="54"/>
      <c r="Q906" s="54"/>
      <c r="R906" s="54"/>
      <c r="S906" s="54"/>
      <c r="T906" s="54"/>
      <c r="U906" s="54"/>
      <c r="V906" s="54"/>
      <c r="W906" s="54"/>
      <c r="X906" s="54"/>
      <c r="Y906" s="54"/>
      <c r="Z906" s="54"/>
    </row>
    <row r="907">
      <c r="A907" s="54"/>
      <c r="B907" s="55"/>
      <c r="C907" s="54"/>
      <c r="D907" s="63"/>
      <c r="E907" s="54"/>
      <c r="F907" s="54"/>
      <c r="G907" s="54"/>
      <c r="H907" s="54"/>
      <c r="I907" s="54"/>
      <c r="J907" s="54"/>
      <c r="K907" s="54"/>
      <c r="L907" s="54"/>
      <c r="M907" s="54"/>
      <c r="N907" s="54"/>
      <c r="O907" s="54"/>
      <c r="P907" s="54"/>
      <c r="Q907" s="54"/>
      <c r="R907" s="54"/>
      <c r="S907" s="54"/>
      <c r="T907" s="54"/>
      <c r="U907" s="54"/>
      <c r="V907" s="54"/>
      <c r="W907" s="54"/>
      <c r="X907" s="54"/>
      <c r="Y907" s="54"/>
      <c r="Z907" s="54"/>
    </row>
    <row r="908">
      <c r="A908" s="54"/>
      <c r="B908" s="55"/>
      <c r="C908" s="54"/>
      <c r="D908" s="63"/>
      <c r="E908" s="54"/>
      <c r="F908" s="54"/>
      <c r="G908" s="54"/>
      <c r="H908" s="54"/>
      <c r="I908" s="54"/>
      <c r="J908" s="54"/>
      <c r="K908" s="54"/>
      <c r="L908" s="54"/>
      <c r="M908" s="54"/>
      <c r="N908" s="54"/>
      <c r="O908" s="54"/>
      <c r="P908" s="54"/>
      <c r="Q908" s="54"/>
      <c r="R908" s="54"/>
      <c r="S908" s="54"/>
      <c r="T908" s="54"/>
      <c r="U908" s="54"/>
      <c r="V908" s="54"/>
      <c r="W908" s="54"/>
      <c r="X908" s="54"/>
      <c r="Y908" s="54"/>
      <c r="Z908" s="54"/>
    </row>
    <row r="909">
      <c r="A909" s="54"/>
      <c r="B909" s="55"/>
      <c r="C909" s="54"/>
      <c r="D909" s="63"/>
      <c r="E909" s="54"/>
      <c r="F909" s="54"/>
      <c r="G909" s="54"/>
      <c r="H909" s="54"/>
      <c r="I909" s="54"/>
      <c r="J909" s="54"/>
      <c r="K909" s="54"/>
      <c r="L909" s="54"/>
      <c r="M909" s="54"/>
      <c r="N909" s="54"/>
      <c r="O909" s="54"/>
      <c r="P909" s="54"/>
      <c r="Q909" s="54"/>
      <c r="R909" s="54"/>
      <c r="S909" s="54"/>
      <c r="T909" s="54"/>
      <c r="U909" s="54"/>
      <c r="V909" s="54"/>
      <c r="W909" s="54"/>
      <c r="X909" s="54"/>
      <c r="Y909" s="54"/>
      <c r="Z909" s="54"/>
    </row>
    <row r="910">
      <c r="A910" s="54"/>
      <c r="B910" s="55"/>
      <c r="C910" s="54"/>
      <c r="D910" s="63"/>
      <c r="E910" s="54"/>
      <c r="F910" s="54"/>
      <c r="G910" s="54"/>
      <c r="H910" s="54"/>
      <c r="I910" s="54"/>
      <c r="J910" s="54"/>
      <c r="K910" s="54"/>
      <c r="L910" s="54"/>
      <c r="M910" s="54"/>
      <c r="N910" s="54"/>
      <c r="O910" s="54"/>
      <c r="P910" s="54"/>
      <c r="Q910" s="54"/>
      <c r="R910" s="54"/>
      <c r="S910" s="54"/>
      <c r="T910" s="54"/>
      <c r="U910" s="54"/>
      <c r="V910" s="54"/>
      <c r="W910" s="54"/>
      <c r="X910" s="54"/>
      <c r="Y910" s="54"/>
      <c r="Z910" s="54"/>
    </row>
    <row r="911">
      <c r="A911" s="54"/>
      <c r="B911" s="55"/>
      <c r="C911" s="54"/>
      <c r="D911" s="63"/>
      <c r="E911" s="54"/>
      <c r="F911" s="54"/>
      <c r="G911" s="54"/>
      <c r="H911" s="54"/>
      <c r="I911" s="54"/>
      <c r="J911" s="54"/>
      <c r="K911" s="54"/>
      <c r="L911" s="54"/>
      <c r="M911" s="54"/>
      <c r="N911" s="54"/>
      <c r="O911" s="54"/>
      <c r="P911" s="54"/>
      <c r="Q911" s="54"/>
      <c r="R911" s="54"/>
      <c r="S911" s="54"/>
      <c r="T911" s="54"/>
      <c r="U911" s="54"/>
      <c r="V911" s="54"/>
      <c r="W911" s="54"/>
      <c r="X911" s="54"/>
      <c r="Y911" s="54"/>
      <c r="Z911" s="54"/>
    </row>
    <row r="912">
      <c r="A912" s="54"/>
      <c r="B912" s="55"/>
      <c r="C912" s="54"/>
      <c r="D912" s="63"/>
      <c r="E912" s="54"/>
      <c r="F912" s="54"/>
      <c r="G912" s="54"/>
      <c r="H912" s="54"/>
      <c r="I912" s="54"/>
      <c r="J912" s="54"/>
      <c r="K912" s="54"/>
      <c r="L912" s="54"/>
      <c r="M912" s="54"/>
      <c r="N912" s="54"/>
      <c r="O912" s="54"/>
      <c r="P912" s="54"/>
      <c r="Q912" s="54"/>
      <c r="R912" s="54"/>
      <c r="S912" s="54"/>
      <c r="T912" s="54"/>
      <c r="U912" s="54"/>
      <c r="V912" s="54"/>
      <c r="W912" s="54"/>
      <c r="X912" s="54"/>
      <c r="Y912" s="54"/>
      <c r="Z912" s="54"/>
    </row>
    <row r="913">
      <c r="A913" s="54"/>
      <c r="B913" s="55"/>
      <c r="C913" s="54"/>
      <c r="D913" s="63"/>
      <c r="E913" s="54"/>
      <c r="F913" s="54"/>
      <c r="G913" s="54"/>
      <c r="H913" s="54"/>
      <c r="I913" s="54"/>
      <c r="J913" s="54"/>
      <c r="K913" s="54"/>
      <c r="L913" s="54"/>
      <c r="M913" s="54"/>
      <c r="N913" s="54"/>
      <c r="O913" s="54"/>
      <c r="P913" s="54"/>
      <c r="Q913" s="54"/>
      <c r="R913" s="54"/>
      <c r="S913" s="54"/>
      <c r="T913" s="54"/>
      <c r="U913" s="54"/>
      <c r="V913" s="54"/>
      <c r="W913" s="54"/>
      <c r="X913" s="54"/>
      <c r="Y913" s="54"/>
      <c r="Z913" s="54"/>
    </row>
    <row r="914">
      <c r="A914" s="54"/>
      <c r="B914" s="55"/>
      <c r="C914" s="54"/>
      <c r="D914" s="63"/>
      <c r="E914" s="54"/>
      <c r="F914" s="54"/>
      <c r="G914" s="54"/>
      <c r="H914" s="54"/>
      <c r="I914" s="54"/>
      <c r="J914" s="54"/>
      <c r="K914" s="54"/>
      <c r="L914" s="54"/>
      <c r="M914" s="54"/>
      <c r="N914" s="54"/>
      <c r="O914" s="54"/>
      <c r="P914" s="54"/>
      <c r="Q914" s="54"/>
      <c r="R914" s="54"/>
      <c r="S914" s="54"/>
      <c r="T914" s="54"/>
      <c r="U914" s="54"/>
      <c r="V914" s="54"/>
      <c r="W914" s="54"/>
      <c r="X914" s="54"/>
      <c r="Y914" s="54"/>
      <c r="Z914" s="54"/>
    </row>
    <row r="915">
      <c r="A915" s="54"/>
      <c r="B915" s="55"/>
      <c r="C915" s="54"/>
      <c r="D915" s="63"/>
      <c r="E915" s="54"/>
      <c r="F915" s="54"/>
      <c r="G915" s="54"/>
      <c r="H915" s="54"/>
      <c r="I915" s="54"/>
      <c r="J915" s="54"/>
      <c r="K915" s="54"/>
      <c r="L915" s="54"/>
      <c r="M915" s="54"/>
      <c r="N915" s="54"/>
      <c r="O915" s="54"/>
      <c r="P915" s="54"/>
      <c r="Q915" s="54"/>
      <c r="R915" s="54"/>
      <c r="S915" s="54"/>
      <c r="T915" s="54"/>
      <c r="U915" s="54"/>
      <c r="V915" s="54"/>
      <c r="W915" s="54"/>
      <c r="X915" s="54"/>
      <c r="Y915" s="54"/>
      <c r="Z915" s="54"/>
    </row>
    <row r="916">
      <c r="A916" s="54"/>
      <c r="B916" s="55"/>
      <c r="C916" s="54"/>
      <c r="D916" s="63"/>
      <c r="E916" s="54"/>
      <c r="F916" s="54"/>
      <c r="G916" s="54"/>
      <c r="H916" s="54"/>
      <c r="I916" s="54"/>
      <c r="J916" s="54"/>
      <c r="K916" s="54"/>
      <c r="L916" s="54"/>
      <c r="M916" s="54"/>
      <c r="N916" s="54"/>
      <c r="O916" s="54"/>
      <c r="P916" s="54"/>
      <c r="Q916" s="54"/>
      <c r="R916" s="54"/>
      <c r="S916" s="54"/>
      <c r="T916" s="54"/>
      <c r="U916" s="54"/>
      <c r="V916" s="54"/>
      <c r="W916" s="54"/>
      <c r="X916" s="54"/>
      <c r="Y916" s="54"/>
      <c r="Z916" s="54"/>
    </row>
    <row r="917">
      <c r="A917" s="54"/>
      <c r="B917" s="55"/>
      <c r="C917" s="54"/>
      <c r="D917" s="63"/>
      <c r="E917" s="54"/>
      <c r="F917" s="54"/>
      <c r="G917" s="54"/>
      <c r="H917" s="54"/>
      <c r="I917" s="54"/>
      <c r="J917" s="54"/>
      <c r="K917" s="54"/>
      <c r="L917" s="54"/>
      <c r="M917" s="54"/>
      <c r="N917" s="54"/>
      <c r="O917" s="54"/>
      <c r="P917" s="54"/>
      <c r="Q917" s="54"/>
      <c r="R917" s="54"/>
      <c r="S917" s="54"/>
      <c r="T917" s="54"/>
      <c r="U917" s="54"/>
      <c r="V917" s="54"/>
      <c r="W917" s="54"/>
      <c r="X917" s="54"/>
      <c r="Y917" s="54"/>
      <c r="Z917" s="54"/>
    </row>
    <row r="918">
      <c r="A918" s="54"/>
      <c r="B918" s="55"/>
      <c r="C918" s="54"/>
      <c r="D918" s="63"/>
      <c r="E918" s="54"/>
      <c r="F918" s="54"/>
      <c r="G918" s="54"/>
      <c r="H918" s="54"/>
      <c r="I918" s="54"/>
      <c r="J918" s="54"/>
      <c r="K918" s="54"/>
      <c r="L918" s="54"/>
      <c r="M918" s="54"/>
      <c r="N918" s="54"/>
      <c r="O918" s="54"/>
      <c r="P918" s="54"/>
      <c r="Q918" s="54"/>
      <c r="R918" s="54"/>
      <c r="S918" s="54"/>
      <c r="T918" s="54"/>
      <c r="U918" s="54"/>
      <c r="V918" s="54"/>
      <c r="W918" s="54"/>
      <c r="X918" s="54"/>
      <c r="Y918" s="54"/>
      <c r="Z918" s="54"/>
    </row>
    <row r="919">
      <c r="A919" s="54"/>
      <c r="B919" s="55"/>
      <c r="C919" s="54"/>
      <c r="D919" s="63"/>
      <c r="E919" s="54"/>
      <c r="F919" s="54"/>
      <c r="G919" s="54"/>
      <c r="H919" s="54"/>
      <c r="I919" s="54"/>
      <c r="J919" s="54"/>
      <c r="K919" s="54"/>
      <c r="L919" s="54"/>
      <c r="M919" s="54"/>
      <c r="N919" s="54"/>
      <c r="O919" s="54"/>
      <c r="P919" s="54"/>
      <c r="Q919" s="54"/>
      <c r="R919" s="54"/>
      <c r="S919" s="54"/>
      <c r="T919" s="54"/>
      <c r="U919" s="54"/>
      <c r="V919" s="54"/>
      <c r="W919" s="54"/>
      <c r="X919" s="54"/>
      <c r="Y919" s="54"/>
      <c r="Z919" s="54"/>
    </row>
    <row r="920">
      <c r="A920" s="54"/>
      <c r="B920" s="55"/>
      <c r="C920" s="54"/>
      <c r="D920" s="63"/>
      <c r="E920" s="54"/>
      <c r="F920" s="54"/>
      <c r="G920" s="54"/>
      <c r="H920" s="54"/>
      <c r="I920" s="54"/>
      <c r="J920" s="54"/>
      <c r="K920" s="54"/>
      <c r="L920" s="54"/>
      <c r="M920" s="54"/>
      <c r="N920" s="54"/>
      <c r="O920" s="54"/>
      <c r="P920" s="54"/>
      <c r="Q920" s="54"/>
      <c r="R920" s="54"/>
      <c r="S920" s="54"/>
      <c r="T920" s="54"/>
      <c r="U920" s="54"/>
      <c r="V920" s="54"/>
      <c r="W920" s="54"/>
      <c r="X920" s="54"/>
      <c r="Y920" s="54"/>
      <c r="Z920" s="54"/>
    </row>
    <row r="921">
      <c r="A921" s="54"/>
      <c r="B921" s="55"/>
      <c r="C921" s="54"/>
      <c r="D921" s="63"/>
      <c r="E921" s="54"/>
      <c r="F921" s="54"/>
      <c r="G921" s="54"/>
      <c r="H921" s="54"/>
      <c r="I921" s="54"/>
      <c r="J921" s="54"/>
      <c r="K921" s="54"/>
      <c r="L921" s="54"/>
      <c r="M921" s="54"/>
      <c r="N921" s="54"/>
      <c r="O921" s="54"/>
      <c r="P921" s="54"/>
      <c r="Q921" s="54"/>
      <c r="R921" s="54"/>
      <c r="S921" s="54"/>
      <c r="T921" s="54"/>
      <c r="U921" s="54"/>
      <c r="V921" s="54"/>
      <c r="W921" s="54"/>
      <c r="X921" s="54"/>
      <c r="Y921" s="54"/>
      <c r="Z921" s="54"/>
    </row>
    <row r="922">
      <c r="A922" s="54"/>
      <c r="B922" s="55"/>
      <c r="C922" s="54"/>
      <c r="D922" s="63"/>
      <c r="E922" s="54"/>
      <c r="F922" s="54"/>
      <c r="G922" s="54"/>
      <c r="H922" s="54"/>
      <c r="I922" s="54"/>
      <c r="J922" s="54"/>
      <c r="K922" s="54"/>
      <c r="L922" s="54"/>
      <c r="M922" s="54"/>
      <c r="N922" s="54"/>
      <c r="O922" s="54"/>
      <c r="P922" s="54"/>
      <c r="Q922" s="54"/>
      <c r="R922" s="54"/>
      <c r="S922" s="54"/>
      <c r="T922" s="54"/>
      <c r="U922" s="54"/>
      <c r="V922" s="54"/>
      <c r="W922" s="54"/>
      <c r="X922" s="54"/>
      <c r="Y922" s="54"/>
      <c r="Z922" s="54"/>
    </row>
    <row r="923">
      <c r="A923" s="54"/>
      <c r="B923" s="55"/>
      <c r="C923" s="54"/>
      <c r="D923" s="63"/>
      <c r="E923" s="54"/>
      <c r="F923" s="54"/>
      <c r="G923" s="54"/>
      <c r="H923" s="54"/>
      <c r="I923" s="54"/>
      <c r="J923" s="54"/>
      <c r="K923" s="54"/>
      <c r="L923" s="54"/>
      <c r="M923" s="54"/>
      <c r="N923" s="54"/>
      <c r="O923" s="54"/>
      <c r="P923" s="54"/>
      <c r="Q923" s="54"/>
      <c r="R923" s="54"/>
      <c r="S923" s="54"/>
      <c r="T923" s="54"/>
      <c r="U923" s="54"/>
      <c r="V923" s="54"/>
      <c r="W923" s="54"/>
      <c r="X923" s="54"/>
      <c r="Y923" s="54"/>
      <c r="Z923" s="54"/>
    </row>
    <row r="924">
      <c r="A924" s="54"/>
      <c r="B924" s="55"/>
      <c r="C924" s="54"/>
      <c r="D924" s="63"/>
      <c r="E924" s="54"/>
      <c r="F924" s="54"/>
      <c r="G924" s="54"/>
      <c r="H924" s="54"/>
      <c r="I924" s="54"/>
      <c r="J924" s="54"/>
      <c r="K924" s="54"/>
      <c r="L924" s="54"/>
      <c r="M924" s="54"/>
      <c r="N924" s="54"/>
      <c r="O924" s="54"/>
      <c r="P924" s="54"/>
      <c r="Q924" s="54"/>
      <c r="R924" s="54"/>
      <c r="S924" s="54"/>
      <c r="T924" s="54"/>
      <c r="U924" s="54"/>
      <c r="V924" s="54"/>
      <c r="W924" s="54"/>
      <c r="X924" s="54"/>
      <c r="Y924" s="54"/>
      <c r="Z924" s="54"/>
    </row>
    <row r="925">
      <c r="A925" s="54"/>
      <c r="B925" s="55"/>
      <c r="C925" s="54"/>
      <c r="D925" s="63"/>
      <c r="E925" s="54"/>
      <c r="F925" s="54"/>
      <c r="G925" s="54"/>
      <c r="H925" s="54"/>
      <c r="I925" s="54"/>
      <c r="J925" s="54"/>
      <c r="K925" s="54"/>
      <c r="L925" s="54"/>
      <c r="M925" s="54"/>
      <c r="N925" s="54"/>
      <c r="O925" s="54"/>
      <c r="P925" s="54"/>
      <c r="Q925" s="54"/>
      <c r="R925" s="54"/>
      <c r="S925" s="54"/>
      <c r="T925" s="54"/>
      <c r="U925" s="54"/>
      <c r="V925" s="54"/>
      <c r="W925" s="54"/>
      <c r="X925" s="54"/>
      <c r="Y925" s="54"/>
      <c r="Z925" s="54"/>
    </row>
    <row r="926">
      <c r="A926" s="54"/>
      <c r="B926" s="55"/>
      <c r="C926" s="54"/>
      <c r="D926" s="63"/>
      <c r="E926" s="54"/>
      <c r="F926" s="54"/>
      <c r="G926" s="54"/>
      <c r="H926" s="54"/>
      <c r="I926" s="54"/>
      <c r="J926" s="54"/>
      <c r="K926" s="54"/>
      <c r="L926" s="54"/>
      <c r="M926" s="54"/>
      <c r="N926" s="54"/>
      <c r="O926" s="54"/>
      <c r="P926" s="54"/>
      <c r="Q926" s="54"/>
      <c r="R926" s="54"/>
      <c r="S926" s="54"/>
      <c r="T926" s="54"/>
      <c r="U926" s="54"/>
      <c r="V926" s="54"/>
      <c r="W926" s="54"/>
      <c r="X926" s="54"/>
      <c r="Y926" s="54"/>
      <c r="Z926" s="54"/>
    </row>
    <row r="927">
      <c r="A927" s="54"/>
      <c r="B927" s="55"/>
      <c r="C927" s="54"/>
      <c r="D927" s="63"/>
      <c r="E927" s="54"/>
      <c r="F927" s="54"/>
      <c r="G927" s="54"/>
      <c r="H927" s="54"/>
      <c r="I927" s="54"/>
      <c r="J927" s="54"/>
      <c r="K927" s="54"/>
      <c r="L927" s="54"/>
      <c r="M927" s="54"/>
      <c r="N927" s="54"/>
      <c r="O927" s="54"/>
      <c r="P927" s="54"/>
      <c r="Q927" s="54"/>
      <c r="R927" s="54"/>
      <c r="S927" s="54"/>
      <c r="T927" s="54"/>
      <c r="U927" s="54"/>
      <c r="V927" s="54"/>
      <c r="W927" s="54"/>
      <c r="X927" s="54"/>
      <c r="Y927" s="54"/>
      <c r="Z927" s="54"/>
    </row>
    <row r="928">
      <c r="A928" s="54"/>
      <c r="B928" s="55"/>
      <c r="C928" s="54"/>
      <c r="D928" s="63"/>
      <c r="E928" s="54"/>
      <c r="F928" s="54"/>
      <c r="G928" s="54"/>
      <c r="H928" s="54"/>
      <c r="I928" s="54"/>
      <c r="J928" s="54"/>
      <c r="K928" s="54"/>
      <c r="L928" s="54"/>
      <c r="M928" s="54"/>
      <c r="N928" s="54"/>
      <c r="O928" s="54"/>
      <c r="P928" s="54"/>
      <c r="Q928" s="54"/>
      <c r="R928" s="54"/>
      <c r="S928" s="54"/>
      <c r="T928" s="54"/>
      <c r="U928" s="54"/>
      <c r="V928" s="54"/>
      <c r="W928" s="54"/>
      <c r="X928" s="54"/>
      <c r="Y928" s="54"/>
      <c r="Z928" s="54"/>
    </row>
    <row r="929">
      <c r="A929" s="54"/>
      <c r="B929" s="55"/>
      <c r="C929" s="54"/>
      <c r="D929" s="63"/>
      <c r="E929" s="54"/>
      <c r="F929" s="54"/>
      <c r="G929" s="54"/>
      <c r="H929" s="54"/>
      <c r="I929" s="54"/>
      <c r="J929" s="54"/>
      <c r="K929" s="54"/>
      <c r="L929" s="54"/>
      <c r="M929" s="54"/>
      <c r="N929" s="54"/>
      <c r="O929" s="54"/>
      <c r="P929" s="54"/>
      <c r="Q929" s="54"/>
      <c r="R929" s="54"/>
      <c r="S929" s="54"/>
      <c r="T929" s="54"/>
      <c r="U929" s="54"/>
      <c r="V929" s="54"/>
      <c r="W929" s="54"/>
      <c r="X929" s="54"/>
      <c r="Y929" s="54"/>
      <c r="Z929" s="54"/>
    </row>
    <row r="930">
      <c r="A930" s="54"/>
      <c r="B930" s="55"/>
      <c r="C930" s="54"/>
      <c r="D930" s="63"/>
      <c r="E930" s="54"/>
      <c r="F930" s="54"/>
      <c r="G930" s="54"/>
      <c r="H930" s="54"/>
      <c r="I930" s="54"/>
      <c r="J930" s="54"/>
      <c r="K930" s="54"/>
      <c r="L930" s="54"/>
      <c r="M930" s="54"/>
      <c r="N930" s="54"/>
      <c r="O930" s="54"/>
      <c r="P930" s="54"/>
      <c r="Q930" s="54"/>
      <c r="R930" s="54"/>
      <c r="S930" s="54"/>
      <c r="T930" s="54"/>
      <c r="U930" s="54"/>
      <c r="V930" s="54"/>
      <c r="W930" s="54"/>
      <c r="X930" s="54"/>
      <c r="Y930" s="54"/>
      <c r="Z930" s="54"/>
    </row>
    <row r="931">
      <c r="A931" s="54"/>
      <c r="B931" s="55"/>
      <c r="C931" s="54"/>
      <c r="D931" s="63"/>
      <c r="E931" s="54"/>
      <c r="F931" s="54"/>
      <c r="G931" s="54"/>
      <c r="H931" s="54"/>
      <c r="I931" s="54"/>
      <c r="J931" s="54"/>
      <c r="K931" s="54"/>
      <c r="L931" s="54"/>
      <c r="M931" s="54"/>
      <c r="N931" s="54"/>
      <c r="O931" s="54"/>
      <c r="P931" s="54"/>
      <c r="Q931" s="54"/>
      <c r="R931" s="54"/>
      <c r="S931" s="54"/>
      <c r="T931" s="54"/>
      <c r="U931" s="54"/>
      <c r="V931" s="54"/>
      <c r="W931" s="54"/>
      <c r="X931" s="54"/>
      <c r="Y931" s="54"/>
      <c r="Z931" s="54"/>
    </row>
    <row r="932">
      <c r="A932" s="54"/>
      <c r="B932" s="55"/>
      <c r="C932" s="54"/>
      <c r="D932" s="63"/>
      <c r="E932" s="54"/>
      <c r="F932" s="54"/>
      <c r="G932" s="54"/>
      <c r="H932" s="54"/>
      <c r="I932" s="54"/>
      <c r="J932" s="54"/>
      <c r="K932" s="54"/>
      <c r="L932" s="54"/>
      <c r="M932" s="54"/>
      <c r="N932" s="54"/>
      <c r="O932" s="54"/>
      <c r="P932" s="54"/>
      <c r="Q932" s="54"/>
      <c r="R932" s="54"/>
      <c r="S932" s="54"/>
      <c r="T932" s="54"/>
      <c r="U932" s="54"/>
      <c r="V932" s="54"/>
      <c r="W932" s="54"/>
      <c r="X932" s="54"/>
      <c r="Y932" s="54"/>
      <c r="Z932" s="54"/>
    </row>
    <row r="933">
      <c r="A933" s="54"/>
      <c r="B933" s="55"/>
      <c r="C933" s="54"/>
      <c r="D933" s="63"/>
      <c r="E933" s="54"/>
      <c r="F933" s="54"/>
      <c r="G933" s="54"/>
      <c r="H933" s="54"/>
      <c r="I933" s="54"/>
      <c r="J933" s="54"/>
      <c r="K933" s="54"/>
      <c r="L933" s="54"/>
      <c r="M933" s="54"/>
      <c r="N933" s="54"/>
      <c r="O933" s="54"/>
      <c r="P933" s="54"/>
      <c r="Q933" s="54"/>
      <c r="R933" s="54"/>
      <c r="S933" s="54"/>
      <c r="T933" s="54"/>
      <c r="U933" s="54"/>
      <c r="V933" s="54"/>
      <c r="W933" s="54"/>
      <c r="X933" s="54"/>
      <c r="Y933" s="54"/>
      <c r="Z933" s="54"/>
    </row>
    <row r="934">
      <c r="A934" s="54"/>
      <c r="B934" s="55"/>
      <c r="C934" s="54"/>
      <c r="D934" s="63"/>
      <c r="E934" s="54"/>
      <c r="F934" s="54"/>
      <c r="G934" s="54"/>
      <c r="H934" s="54"/>
      <c r="I934" s="54"/>
      <c r="J934" s="54"/>
      <c r="K934" s="54"/>
      <c r="L934" s="54"/>
      <c r="M934" s="54"/>
      <c r="N934" s="54"/>
      <c r="O934" s="54"/>
      <c r="P934" s="54"/>
      <c r="Q934" s="54"/>
      <c r="R934" s="54"/>
      <c r="S934" s="54"/>
      <c r="T934" s="54"/>
      <c r="U934" s="54"/>
      <c r="V934" s="54"/>
      <c r="W934" s="54"/>
      <c r="X934" s="54"/>
      <c r="Y934" s="54"/>
      <c r="Z934" s="54"/>
    </row>
    <row r="935">
      <c r="A935" s="54"/>
      <c r="B935" s="55"/>
      <c r="C935" s="54"/>
      <c r="D935" s="63"/>
      <c r="E935" s="54"/>
      <c r="F935" s="54"/>
      <c r="G935" s="54"/>
      <c r="H935" s="54"/>
      <c r="I935" s="54"/>
      <c r="J935" s="54"/>
      <c r="K935" s="54"/>
      <c r="L935" s="54"/>
      <c r="M935" s="54"/>
      <c r="N935" s="54"/>
      <c r="O935" s="54"/>
      <c r="P935" s="54"/>
      <c r="Q935" s="54"/>
      <c r="R935" s="54"/>
      <c r="S935" s="54"/>
      <c r="T935" s="54"/>
      <c r="U935" s="54"/>
      <c r="V935" s="54"/>
      <c r="W935" s="54"/>
      <c r="X935" s="54"/>
      <c r="Y935" s="54"/>
      <c r="Z935" s="54"/>
    </row>
    <row r="936">
      <c r="A936" s="54"/>
      <c r="B936" s="55"/>
      <c r="C936" s="54"/>
      <c r="D936" s="63"/>
      <c r="E936" s="54"/>
      <c r="F936" s="54"/>
      <c r="G936" s="54"/>
      <c r="H936" s="54"/>
      <c r="I936" s="54"/>
      <c r="J936" s="54"/>
      <c r="K936" s="54"/>
      <c r="L936" s="54"/>
      <c r="M936" s="54"/>
      <c r="N936" s="54"/>
      <c r="O936" s="54"/>
      <c r="P936" s="54"/>
      <c r="Q936" s="54"/>
      <c r="R936" s="54"/>
      <c r="S936" s="54"/>
      <c r="T936" s="54"/>
      <c r="U936" s="54"/>
      <c r="V936" s="54"/>
      <c r="W936" s="54"/>
      <c r="X936" s="54"/>
      <c r="Y936" s="54"/>
      <c r="Z936" s="54"/>
    </row>
    <row r="937">
      <c r="A937" s="54"/>
      <c r="B937" s="55"/>
      <c r="C937" s="54"/>
      <c r="D937" s="63"/>
      <c r="E937" s="54"/>
      <c r="F937" s="54"/>
      <c r="G937" s="54"/>
      <c r="H937" s="54"/>
      <c r="I937" s="54"/>
      <c r="J937" s="54"/>
      <c r="K937" s="54"/>
      <c r="L937" s="54"/>
      <c r="M937" s="54"/>
      <c r="N937" s="54"/>
      <c r="O937" s="54"/>
      <c r="P937" s="54"/>
      <c r="Q937" s="54"/>
      <c r="R937" s="54"/>
      <c r="S937" s="54"/>
      <c r="T937" s="54"/>
      <c r="U937" s="54"/>
      <c r="V937" s="54"/>
      <c r="W937" s="54"/>
      <c r="X937" s="54"/>
      <c r="Y937" s="54"/>
      <c r="Z937" s="54"/>
    </row>
    <row r="938">
      <c r="A938" s="54"/>
      <c r="B938" s="55"/>
      <c r="C938" s="54"/>
      <c r="D938" s="63"/>
      <c r="E938" s="54"/>
      <c r="F938" s="54"/>
      <c r="G938" s="54"/>
      <c r="H938" s="54"/>
      <c r="I938" s="54"/>
      <c r="J938" s="54"/>
      <c r="K938" s="54"/>
      <c r="L938" s="54"/>
      <c r="M938" s="54"/>
      <c r="N938" s="54"/>
      <c r="O938" s="54"/>
      <c r="P938" s="54"/>
      <c r="Q938" s="54"/>
      <c r="R938" s="54"/>
      <c r="S938" s="54"/>
      <c r="T938" s="54"/>
      <c r="U938" s="54"/>
      <c r="V938" s="54"/>
      <c r="W938" s="54"/>
      <c r="X938" s="54"/>
      <c r="Y938" s="54"/>
      <c r="Z938" s="54"/>
    </row>
    <row r="939">
      <c r="A939" s="54"/>
      <c r="B939" s="55"/>
      <c r="C939" s="54"/>
      <c r="D939" s="63"/>
      <c r="E939" s="54"/>
      <c r="F939" s="54"/>
      <c r="G939" s="54"/>
      <c r="H939" s="54"/>
      <c r="I939" s="54"/>
      <c r="J939" s="54"/>
      <c r="K939" s="54"/>
      <c r="L939" s="54"/>
      <c r="M939" s="54"/>
      <c r="N939" s="54"/>
      <c r="O939" s="54"/>
      <c r="P939" s="54"/>
      <c r="Q939" s="54"/>
      <c r="R939" s="54"/>
      <c r="S939" s="54"/>
      <c r="T939" s="54"/>
      <c r="U939" s="54"/>
      <c r="V939" s="54"/>
      <c r="W939" s="54"/>
      <c r="X939" s="54"/>
      <c r="Y939" s="54"/>
      <c r="Z939" s="54"/>
    </row>
    <row r="940">
      <c r="A940" s="54"/>
      <c r="B940" s="55"/>
      <c r="C940" s="54"/>
      <c r="D940" s="63"/>
      <c r="E940" s="54"/>
      <c r="F940" s="54"/>
      <c r="G940" s="54"/>
      <c r="H940" s="54"/>
      <c r="I940" s="54"/>
      <c r="J940" s="54"/>
      <c r="K940" s="54"/>
      <c r="L940" s="54"/>
      <c r="M940" s="54"/>
      <c r="N940" s="54"/>
      <c r="O940" s="54"/>
      <c r="P940" s="54"/>
      <c r="Q940" s="54"/>
      <c r="R940" s="54"/>
      <c r="S940" s="54"/>
      <c r="T940" s="54"/>
      <c r="U940" s="54"/>
      <c r="V940" s="54"/>
      <c r="W940" s="54"/>
      <c r="X940" s="54"/>
      <c r="Y940" s="54"/>
      <c r="Z940" s="54"/>
    </row>
    <row r="941">
      <c r="A941" s="54"/>
      <c r="B941" s="55"/>
      <c r="C941" s="54"/>
      <c r="D941" s="63"/>
      <c r="E941" s="54"/>
      <c r="F941" s="54"/>
      <c r="G941" s="54"/>
      <c r="H941" s="54"/>
      <c r="I941" s="54"/>
      <c r="J941" s="54"/>
      <c r="K941" s="54"/>
      <c r="L941" s="54"/>
      <c r="M941" s="54"/>
      <c r="N941" s="54"/>
      <c r="O941" s="54"/>
      <c r="P941" s="54"/>
      <c r="Q941" s="54"/>
      <c r="R941" s="54"/>
      <c r="S941" s="54"/>
      <c r="T941" s="54"/>
      <c r="U941" s="54"/>
      <c r="V941" s="54"/>
      <c r="W941" s="54"/>
      <c r="X941" s="54"/>
      <c r="Y941" s="54"/>
      <c r="Z941" s="54"/>
    </row>
    <row r="942">
      <c r="A942" s="54"/>
      <c r="B942" s="55"/>
      <c r="C942" s="54"/>
      <c r="D942" s="63"/>
      <c r="E942" s="54"/>
      <c r="F942" s="54"/>
      <c r="G942" s="54"/>
      <c r="H942" s="54"/>
      <c r="I942" s="54"/>
      <c r="J942" s="54"/>
      <c r="K942" s="54"/>
      <c r="L942" s="54"/>
      <c r="M942" s="54"/>
      <c r="N942" s="54"/>
      <c r="O942" s="54"/>
      <c r="P942" s="54"/>
      <c r="Q942" s="54"/>
      <c r="R942" s="54"/>
      <c r="S942" s="54"/>
      <c r="T942" s="54"/>
      <c r="U942" s="54"/>
      <c r="V942" s="54"/>
      <c r="W942" s="54"/>
      <c r="X942" s="54"/>
      <c r="Y942" s="54"/>
      <c r="Z942" s="54"/>
    </row>
    <row r="943">
      <c r="A943" s="54"/>
      <c r="B943" s="55"/>
      <c r="C943" s="54"/>
      <c r="D943" s="63"/>
      <c r="E943" s="54"/>
      <c r="F943" s="54"/>
      <c r="G943" s="54"/>
      <c r="H943" s="54"/>
      <c r="I943" s="54"/>
      <c r="J943" s="54"/>
      <c r="K943" s="54"/>
      <c r="L943" s="54"/>
      <c r="M943" s="54"/>
      <c r="N943" s="54"/>
      <c r="O943" s="54"/>
      <c r="P943" s="54"/>
      <c r="Q943" s="54"/>
      <c r="R943" s="54"/>
      <c r="S943" s="54"/>
      <c r="T943" s="54"/>
      <c r="U943" s="54"/>
      <c r="V943" s="54"/>
      <c r="W943" s="54"/>
      <c r="X943" s="54"/>
      <c r="Y943" s="54"/>
      <c r="Z943" s="54"/>
    </row>
    <row r="944">
      <c r="A944" s="54"/>
      <c r="B944" s="55"/>
      <c r="C944" s="54"/>
      <c r="D944" s="63"/>
      <c r="E944" s="54"/>
      <c r="F944" s="54"/>
      <c r="G944" s="54"/>
      <c r="H944" s="54"/>
      <c r="I944" s="54"/>
      <c r="J944" s="54"/>
      <c r="K944" s="54"/>
      <c r="L944" s="54"/>
      <c r="M944" s="54"/>
      <c r="N944" s="54"/>
      <c r="O944" s="54"/>
      <c r="P944" s="54"/>
      <c r="Q944" s="54"/>
      <c r="R944" s="54"/>
      <c r="S944" s="54"/>
      <c r="T944" s="54"/>
      <c r="U944" s="54"/>
      <c r="V944" s="54"/>
      <c r="W944" s="54"/>
      <c r="X944" s="54"/>
      <c r="Y944" s="54"/>
      <c r="Z944" s="54"/>
    </row>
    <row r="945">
      <c r="A945" s="54"/>
      <c r="B945" s="55"/>
      <c r="C945" s="54"/>
      <c r="D945" s="63"/>
      <c r="E945" s="54"/>
      <c r="F945" s="54"/>
      <c r="G945" s="54"/>
      <c r="H945" s="54"/>
      <c r="I945" s="54"/>
      <c r="J945" s="54"/>
      <c r="K945" s="54"/>
      <c r="L945" s="54"/>
      <c r="M945" s="54"/>
      <c r="N945" s="54"/>
      <c r="O945" s="54"/>
      <c r="P945" s="54"/>
      <c r="Q945" s="54"/>
      <c r="R945" s="54"/>
      <c r="S945" s="54"/>
      <c r="T945" s="54"/>
      <c r="U945" s="54"/>
      <c r="V945" s="54"/>
      <c r="W945" s="54"/>
      <c r="X945" s="54"/>
      <c r="Y945" s="54"/>
      <c r="Z945" s="54"/>
    </row>
    <row r="946">
      <c r="A946" s="54"/>
      <c r="B946" s="55"/>
      <c r="C946" s="54"/>
      <c r="D946" s="63"/>
      <c r="E946" s="54"/>
      <c r="F946" s="54"/>
      <c r="G946" s="54"/>
      <c r="H946" s="54"/>
      <c r="I946" s="54"/>
      <c r="J946" s="54"/>
      <c r="K946" s="54"/>
      <c r="L946" s="54"/>
      <c r="M946" s="54"/>
      <c r="N946" s="54"/>
      <c r="O946" s="54"/>
      <c r="P946" s="54"/>
      <c r="Q946" s="54"/>
      <c r="R946" s="54"/>
      <c r="S946" s="54"/>
      <c r="T946" s="54"/>
      <c r="U946" s="54"/>
      <c r="V946" s="54"/>
      <c r="W946" s="54"/>
      <c r="X946" s="54"/>
      <c r="Y946" s="54"/>
      <c r="Z946" s="54"/>
    </row>
    <row r="947">
      <c r="A947" s="54"/>
      <c r="B947" s="55"/>
      <c r="C947" s="54"/>
      <c r="D947" s="63"/>
      <c r="E947" s="54"/>
      <c r="F947" s="54"/>
      <c r="G947" s="54"/>
      <c r="H947" s="54"/>
      <c r="I947" s="54"/>
      <c r="J947" s="54"/>
      <c r="K947" s="54"/>
      <c r="L947" s="54"/>
      <c r="M947" s="54"/>
      <c r="N947" s="54"/>
      <c r="O947" s="54"/>
      <c r="P947" s="54"/>
      <c r="Q947" s="54"/>
      <c r="R947" s="54"/>
      <c r="S947" s="54"/>
      <c r="T947" s="54"/>
      <c r="U947" s="54"/>
      <c r="V947" s="54"/>
      <c r="W947" s="54"/>
      <c r="X947" s="54"/>
      <c r="Y947" s="54"/>
      <c r="Z947" s="54"/>
    </row>
    <row r="948">
      <c r="A948" s="54"/>
      <c r="B948" s="55"/>
      <c r="C948" s="54"/>
      <c r="D948" s="63"/>
      <c r="E948" s="54"/>
      <c r="F948" s="54"/>
      <c r="G948" s="54"/>
      <c r="H948" s="54"/>
      <c r="I948" s="54"/>
      <c r="J948" s="54"/>
      <c r="K948" s="54"/>
      <c r="L948" s="54"/>
      <c r="M948" s="54"/>
      <c r="N948" s="54"/>
      <c r="O948" s="54"/>
      <c r="P948" s="54"/>
      <c r="Q948" s="54"/>
      <c r="R948" s="54"/>
      <c r="S948" s="54"/>
      <c r="T948" s="54"/>
      <c r="U948" s="54"/>
      <c r="V948" s="54"/>
      <c r="W948" s="54"/>
      <c r="X948" s="54"/>
      <c r="Y948" s="54"/>
      <c r="Z948" s="54"/>
    </row>
    <row r="949">
      <c r="A949" s="54"/>
      <c r="B949" s="55"/>
      <c r="C949" s="54"/>
      <c r="D949" s="63"/>
      <c r="E949" s="54"/>
      <c r="F949" s="54"/>
      <c r="G949" s="54"/>
      <c r="H949" s="54"/>
      <c r="I949" s="54"/>
      <c r="J949" s="54"/>
      <c r="K949" s="54"/>
      <c r="L949" s="54"/>
      <c r="M949" s="54"/>
      <c r="N949" s="54"/>
      <c r="O949" s="54"/>
      <c r="P949" s="54"/>
      <c r="Q949" s="54"/>
      <c r="R949" s="54"/>
      <c r="S949" s="54"/>
      <c r="T949" s="54"/>
      <c r="U949" s="54"/>
      <c r="V949" s="54"/>
      <c r="W949" s="54"/>
      <c r="X949" s="54"/>
      <c r="Y949" s="54"/>
      <c r="Z949" s="54"/>
    </row>
    <row r="950">
      <c r="A950" s="54"/>
      <c r="B950" s="55"/>
      <c r="C950" s="54"/>
      <c r="D950" s="63"/>
      <c r="E950" s="54"/>
      <c r="F950" s="54"/>
      <c r="G950" s="54"/>
      <c r="H950" s="54"/>
      <c r="I950" s="54"/>
      <c r="J950" s="54"/>
      <c r="K950" s="54"/>
      <c r="L950" s="54"/>
      <c r="M950" s="54"/>
      <c r="N950" s="54"/>
      <c r="O950" s="54"/>
      <c r="P950" s="54"/>
      <c r="Q950" s="54"/>
      <c r="R950" s="54"/>
      <c r="S950" s="54"/>
      <c r="T950" s="54"/>
      <c r="U950" s="54"/>
      <c r="V950" s="54"/>
      <c r="W950" s="54"/>
      <c r="X950" s="54"/>
      <c r="Y950" s="54"/>
      <c r="Z950" s="54"/>
    </row>
    <row r="951">
      <c r="A951" s="54"/>
      <c r="B951" s="55"/>
      <c r="C951" s="54"/>
      <c r="D951" s="63"/>
      <c r="E951" s="54"/>
      <c r="F951" s="54"/>
      <c r="G951" s="54"/>
      <c r="H951" s="54"/>
      <c r="I951" s="54"/>
      <c r="J951" s="54"/>
      <c r="K951" s="54"/>
      <c r="L951" s="54"/>
      <c r="M951" s="54"/>
      <c r="N951" s="54"/>
      <c r="O951" s="54"/>
      <c r="P951" s="54"/>
      <c r="Q951" s="54"/>
      <c r="R951" s="54"/>
      <c r="S951" s="54"/>
      <c r="T951" s="54"/>
      <c r="U951" s="54"/>
      <c r="V951" s="54"/>
      <c r="W951" s="54"/>
      <c r="X951" s="54"/>
      <c r="Y951" s="54"/>
      <c r="Z951" s="54"/>
    </row>
    <row r="952">
      <c r="A952" s="54"/>
      <c r="B952" s="55"/>
      <c r="C952" s="54"/>
      <c r="D952" s="63"/>
      <c r="E952" s="54"/>
      <c r="F952" s="54"/>
      <c r="G952" s="54"/>
      <c r="H952" s="54"/>
      <c r="I952" s="54"/>
      <c r="J952" s="54"/>
      <c r="K952" s="54"/>
      <c r="L952" s="54"/>
      <c r="M952" s="54"/>
      <c r="N952" s="54"/>
      <c r="O952" s="54"/>
      <c r="P952" s="54"/>
      <c r="Q952" s="54"/>
      <c r="R952" s="54"/>
      <c r="S952" s="54"/>
      <c r="T952" s="54"/>
      <c r="U952" s="54"/>
      <c r="V952" s="54"/>
      <c r="W952" s="54"/>
      <c r="X952" s="54"/>
      <c r="Y952" s="54"/>
      <c r="Z952" s="54"/>
    </row>
    <row r="953">
      <c r="A953" s="54"/>
      <c r="B953" s="55"/>
      <c r="C953" s="54"/>
      <c r="D953" s="63"/>
      <c r="E953" s="54"/>
      <c r="F953" s="54"/>
      <c r="G953" s="54"/>
      <c r="H953" s="54"/>
      <c r="I953" s="54"/>
      <c r="J953" s="54"/>
      <c r="K953" s="54"/>
      <c r="L953" s="54"/>
      <c r="M953" s="54"/>
      <c r="N953" s="54"/>
      <c r="O953" s="54"/>
      <c r="P953" s="54"/>
      <c r="Q953" s="54"/>
      <c r="R953" s="54"/>
      <c r="S953" s="54"/>
      <c r="T953" s="54"/>
      <c r="U953" s="54"/>
      <c r="V953" s="54"/>
      <c r="W953" s="54"/>
      <c r="X953" s="54"/>
      <c r="Y953" s="54"/>
      <c r="Z953" s="54"/>
    </row>
    <row r="954">
      <c r="A954" s="54"/>
      <c r="B954" s="55"/>
      <c r="C954" s="54"/>
      <c r="D954" s="63"/>
      <c r="E954" s="54"/>
      <c r="F954" s="54"/>
      <c r="G954" s="54"/>
      <c r="H954" s="54"/>
      <c r="I954" s="54"/>
      <c r="J954" s="54"/>
      <c r="K954" s="54"/>
      <c r="L954" s="54"/>
      <c r="M954" s="54"/>
      <c r="N954" s="54"/>
      <c r="O954" s="54"/>
      <c r="P954" s="54"/>
      <c r="Q954" s="54"/>
      <c r="R954" s="54"/>
      <c r="S954" s="54"/>
      <c r="T954" s="54"/>
      <c r="U954" s="54"/>
      <c r="V954" s="54"/>
      <c r="W954" s="54"/>
      <c r="X954" s="54"/>
      <c r="Y954" s="54"/>
      <c r="Z954" s="54"/>
    </row>
    <row r="955">
      <c r="A955" s="54"/>
      <c r="B955" s="55"/>
      <c r="C955" s="54"/>
      <c r="D955" s="63"/>
      <c r="E955" s="54"/>
      <c r="F955" s="54"/>
      <c r="G955" s="54"/>
      <c r="H955" s="54"/>
      <c r="I955" s="54"/>
      <c r="J955" s="54"/>
      <c r="K955" s="54"/>
      <c r="L955" s="54"/>
      <c r="M955" s="54"/>
      <c r="N955" s="54"/>
      <c r="O955" s="54"/>
      <c r="P955" s="54"/>
      <c r="Q955" s="54"/>
      <c r="R955" s="54"/>
      <c r="S955" s="54"/>
      <c r="T955" s="54"/>
      <c r="U955" s="54"/>
      <c r="V955" s="54"/>
      <c r="W955" s="54"/>
      <c r="X955" s="54"/>
      <c r="Y955" s="54"/>
      <c r="Z955" s="54"/>
    </row>
    <row r="956">
      <c r="A956" s="54"/>
      <c r="B956" s="55"/>
      <c r="C956" s="54"/>
      <c r="D956" s="63"/>
      <c r="E956" s="54"/>
      <c r="F956" s="54"/>
      <c r="G956" s="54"/>
      <c r="H956" s="54"/>
      <c r="I956" s="54"/>
      <c r="J956" s="54"/>
      <c r="K956" s="54"/>
      <c r="L956" s="54"/>
      <c r="M956" s="54"/>
      <c r="N956" s="54"/>
      <c r="O956" s="54"/>
      <c r="P956" s="54"/>
      <c r="Q956" s="54"/>
      <c r="R956" s="54"/>
      <c r="S956" s="54"/>
      <c r="T956" s="54"/>
      <c r="U956" s="54"/>
      <c r="V956" s="54"/>
      <c r="W956" s="54"/>
      <c r="X956" s="54"/>
      <c r="Y956" s="54"/>
      <c r="Z956" s="54"/>
    </row>
    <row r="957">
      <c r="A957" s="54"/>
      <c r="B957" s="55"/>
      <c r="C957" s="54"/>
      <c r="D957" s="63"/>
      <c r="E957" s="54"/>
      <c r="F957" s="54"/>
      <c r="G957" s="54"/>
      <c r="H957" s="54"/>
      <c r="I957" s="54"/>
      <c r="J957" s="54"/>
      <c r="K957" s="54"/>
      <c r="L957" s="54"/>
      <c r="M957" s="54"/>
      <c r="N957" s="54"/>
      <c r="O957" s="54"/>
      <c r="P957" s="54"/>
      <c r="Q957" s="54"/>
      <c r="R957" s="54"/>
      <c r="S957" s="54"/>
      <c r="T957" s="54"/>
      <c r="U957" s="54"/>
      <c r="V957" s="54"/>
      <c r="W957" s="54"/>
      <c r="X957" s="54"/>
      <c r="Y957" s="54"/>
      <c r="Z957" s="54"/>
    </row>
    <row r="958">
      <c r="A958" s="54"/>
      <c r="B958" s="55"/>
      <c r="C958" s="54"/>
      <c r="D958" s="63"/>
      <c r="E958" s="54"/>
      <c r="F958" s="54"/>
      <c r="G958" s="54"/>
      <c r="H958" s="54"/>
      <c r="I958" s="54"/>
      <c r="J958" s="54"/>
      <c r="K958" s="54"/>
      <c r="L958" s="54"/>
      <c r="M958" s="54"/>
      <c r="N958" s="54"/>
      <c r="O958" s="54"/>
      <c r="P958" s="54"/>
      <c r="Q958" s="54"/>
      <c r="R958" s="54"/>
      <c r="S958" s="54"/>
      <c r="T958" s="54"/>
      <c r="U958" s="54"/>
      <c r="V958" s="54"/>
      <c r="W958" s="54"/>
      <c r="X958" s="54"/>
      <c r="Y958" s="54"/>
      <c r="Z958" s="54"/>
    </row>
    <row r="959">
      <c r="A959" s="54"/>
      <c r="B959" s="55"/>
      <c r="C959" s="54"/>
      <c r="D959" s="63"/>
      <c r="E959" s="54"/>
      <c r="F959" s="54"/>
      <c r="G959" s="54"/>
      <c r="H959" s="54"/>
      <c r="I959" s="54"/>
      <c r="J959" s="54"/>
      <c r="K959" s="54"/>
      <c r="L959" s="54"/>
      <c r="M959" s="54"/>
      <c r="N959" s="54"/>
      <c r="O959" s="54"/>
      <c r="P959" s="54"/>
      <c r="Q959" s="54"/>
      <c r="R959" s="54"/>
      <c r="S959" s="54"/>
      <c r="T959" s="54"/>
      <c r="U959" s="54"/>
      <c r="V959" s="54"/>
      <c r="W959" s="54"/>
      <c r="X959" s="54"/>
      <c r="Y959" s="54"/>
      <c r="Z959" s="54"/>
    </row>
    <row r="960">
      <c r="A960" s="54"/>
      <c r="B960" s="55"/>
      <c r="C960" s="54"/>
      <c r="D960" s="63"/>
      <c r="E960" s="54"/>
      <c r="F960" s="54"/>
      <c r="G960" s="54"/>
      <c r="H960" s="54"/>
      <c r="I960" s="54"/>
      <c r="J960" s="54"/>
      <c r="K960" s="54"/>
      <c r="L960" s="54"/>
      <c r="M960" s="54"/>
      <c r="N960" s="54"/>
      <c r="O960" s="54"/>
      <c r="P960" s="54"/>
      <c r="Q960" s="54"/>
      <c r="R960" s="54"/>
      <c r="S960" s="54"/>
      <c r="T960" s="54"/>
      <c r="U960" s="54"/>
      <c r="V960" s="54"/>
      <c r="W960" s="54"/>
      <c r="X960" s="54"/>
      <c r="Y960" s="54"/>
      <c r="Z960" s="54"/>
    </row>
    <row r="961">
      <c r="A961" s="54"/>
      <c r="B961" s="55"/>
      <c r="C961" s="54"/>
      <c r="D961" s="63"/>
      <c r="E961" s="54"/>
      <c r="F961" s="54"/>
      <c r="G961" s="54"/>
      <c r="H961" s="54"/>
      <c r="I961" s="54"/>
      <c r="J961" s="54"/>
      <c r="K961" s="54"/>
      <c r="L961" s="54"/>
      <c r="M961" s="54"/>
      <c r="N961" s="54"/>
      <c r="O961" s="54"/>
      <c r="P961" s="54"/>
      <c r="Q961" s="54"/>
      <c r="R961" s="54"/>
      <c r="S961" s="54"/>
      <c r="T961" s="54"/>
      <c r="U961" s="54"/>
      <c r="V961" s="54"/>
      <c r="W961" s="54"/>
      <c r="X961" s="54"/>
      <c r="Y961" s="54"/>
      <c r="Z961" s="54"/>
    </row>
    <row r="962">
      <c r="A962" s="54"/>
      <c r="B962" s="55"/>
      <c r="C962" s="54"/>
      <c r="D962" s="63"/>
      <c r="E962" s="54"/>
      <c r="F962" s="54"/>
      <c r="G962" s="54"/>
      <c r="H962" s="54"/>
      <c r="I962" s="54"/>
      <c r="J962" s="54"/>
      <c r="K962" s="54"/>
      <c r="L962" s="54"/>
      <c r="M962" s="54"/>
      <c r="N962" s="54"/>
      <c r="O962" s="54"/>
      <c r="P962" s="54"/>
      <c r="Q962" s="54"/>
      <c r="R962" s="54"/>
      <c r="S962" s="54"/>
      <c r="T962" s="54"/>
      <c r="U962" s="54"/>
      <c r="V962" s="54"/>
      <c r="W962" s="54"/>
      <c r="X962" s="54"/>
      <c r="Y962" s="54"/>
      <c r="Z962" s="54"/>
    </row>
    <row r="963">
      <c r="A963" s="54"/>
      <c r="B963" s="55"/>
      <c r="C963" s="54"/>
      <c r="D963" s="63"/>
      <c r="E963" s="54"/>
      <c r="F963" s="54"/>
      <c r="G963" s="54"/>
      <c r="H963" s="54"/>
      <c r="I963" s="54"/>
      <c r="J963" s="54"/>
      <c r="K963" s="54"/>
      <c r="L963" s="54"/>
      <c r="M963" s="54"/>
      <c r="N963" s="54"/>
      <c r="O963" s="54"/>
      <c r="P963" s="54"/>
      <c r="Q963" s="54"/>
      <c r="R963" s="54"/>
      <c r="S963" s="54"/>
      <c r="T963" s="54"/>
      <c r="U963" s="54"/>
      <c r="V963" s="54"/>
      <c r="W963" s="54"/>
      <c r="X963" s="54"/>
      <c r="Y963" s="54"/>
      <c r="Z963" s="54"/>
    </row>
    <row r="964">
      <c r="A964" s="54"/>
      <c r="B964" s="55"/>
      <c r="C964" s="54"/>
      <c r="D964" s="63"/>
      <c r="E964" s="54"/>
      <c r="F964" s="54"/>
      <c r="G964" s="54"/>
      <c r="H964" s="54"/>
      <c r="I964" s="54"/>
      <c r="J964" s="54"/>
      <c r="K964" s="54"/>
      <c r="L964" s="54"/>
      <c r="M964" s="54"/>
      <c r="N964" s="54"/>
      <c r="O964" s="54"/>
      <c r="P964" s="54"/>
      <c r="Q964" s="54"/>
      <c r="R964" s="54"/>
      <c r="S964" s="54"/>
      <c r="T964" s="54"/>
      <c r="U964" s="54"/>
      <c r="V964" s="54"/>
      <c r="W964" s="54"/>
      <c r="X964" s="54"/>
      <c r="Y964" s="54"/>
      <c r="Z964" s="54"/>
    </row>
    <row r="965">
      <c r="A965" s="54"/>
      <c r="B965" s="55"/>
      <c r="C965" s="54"/>
      <c r="D965" s="63"/>
      <c r="E965" s="54"/>
      <c r="F965" s="54"/>
      <c r="G965" s="54"/>
      <c r="H965" s="54"/>
      <c r="I965" s="54"/>
      <c r="J965" s="54"/>
      <c r="K965" s="54"/>
      <c r="L965" s="54"/>
      <c r="M965" s="54"/>
      <c r="N965" s="54"/>
      <c r="O965" s="54"/>
      <c r="P965" s="54"/>
      <c r="Q965" s="54"/>
      <c r="R965" s="54"/>
      <c r="S965" s="54"/>
      <c r="T965" s="54"/>
      <c r="U965" s="54"/>
      <c r="V965" s="54"/>
      <c r="W965" s="54"/>
      <c r="X965" s="54"/>
      <c r="Y965" s="54"/>
      <c r="Z965" s="54"/>
    </row>
    <row r="966">
      <c r="A966" s="54"/>
      <c r="B966" s="55"/>
      <c r="C966" s="54"/>
      <c r="D966" s="63"/>
      <c r="E966" s="54"/>
      <c r="F966" s="54"/>
      <c r="G966" s="54"/>
      <c r="H966" s="54"/>
      <c r="I966" s="54"/>
      <c r="J966" s="54"/>
      <c r="K966" s="54"/>
      <c r="L966" s="54"/>
      <c r="M966" s="54"/>
      <c r="N966" s="54"/>
      <c r="O966" s="54"/>
      <c r="P966" s="54"/>
      <c r="Q966" s="54"/>
      <c r="R966" s="54"/>
      <c r="S966" s="54"/>
      <c r="T966" s="54"/>
      <c r="U966" s="54"/>
      <c r="V966" s="54"/>
      <c r="W966" s="54"/>
      <c r="X966" s="54"/>
      <c r="Y966" s="54"/>
      <c r="Z966" s="54"/>
    </row>
    <row r="967">
      <c r="A967" s="54"/>
      <c r="B967" s="55"/>
      <c r="C967" s="54"/>
      <c r="D967" s="63"/>
      <c r="E967" s="54"/>
      <c r="F967" s="54"/>
      <c r="G967" s="54"/>
      <c r="H967" s="54"/>
      <c r="I967" s="54"/>
      <c r="J967" s="54"/>
      <c r="K967" s="54"/>
      <c r="L967" s="54"/>
      <c r="M967" s="54"/>
      <c r="N967" s="54"/>
      <c r="O967" s="54"/>
      <c r="P967" s="54"/>
      <c r="Q967" s="54"/>
      <c r="R967" s="54"/>
      <c r="S967" s="54"/>
      <c r="T967" s="54"/>
      <c r="U967" s="54"/>
      <c r="V967" s="54"/>
      <c r="W967" s="54"/>
      <c r="X967" s="54"/>
      <c r="Y967" s="54"/>
      <c r="Z967" s="54"/>
    </row>
    <row r="968">
      <c r="A968" s="54"/>
      <c r="B968" s="55"/>
      <c r="C968" s="54"/>
      <c r="D968" s="63"/>
      <c r="E968" s="54"/>
      <c r="F968" s="54"/>
      <c r="G968" s="54"/>
      <c r="H968" s="54"/>
      <c r="I968" s="54"/>
      <c r="J968" s="54"/>
      <c r="K968" s="54"/>
      <c r="L968" s="54"/>
      <c r="M968" s="54"/>
      <c r="N968" s="54"/>
      <c r="O968" s="54"/>
      <c r="P968" s="54"/>
      <c r="Q968" s="54"/>
      <c r="R968" s="54"/>
      <c r="S968" s="54"/>
      <c r="T968" s="54"/>
      <c r="U968" s="54"/>
      <c r="V968" s="54"/>
      <c r="W968" s="54"/>
      <c r="X968" s="54"/>
      <c r="Y968" s="54"/>
      <c r="Z968" s="54"/>
    </row>
    <row r="969">
      <c r="A969" s="54"/>
      <c r="B969" s="55"/>
      <c r="C969" s="54"/>
      <c r="D969" s="63"/>
      <c r="E969" s="54"/>
      <c r="F969" s="54"/>
      <c r="G969" s="54"/>
      <c r="H969" s="54"/>
      <c r="I969" s="54"/>
      <c r="J969" s="54"/>
      <c r="K969" s="54"/>
      <c r="L969" s="54"/>
      <c r="M969" s="54"/>
      <c r="N969" s="54"/>
      <c r="O969" s="54"/>
      <c r="P969" s="54"/>
      <c r="Q969" s="54"/>
      <c r="R969" s="54"/>
      <c r="S969" s="54"/>
      <c r="T969" s="54"/>
      <c r="U969" s="54"/>
      <c r="V969" s="54"/>
      <c r="W969" s="54"/>
      <c r="X969" s="54"/>
      <c r="Y969" s="54"/>
      <c r="Z969" s="54"/>
    </row>
    <row r="970">
      <c r="A970" s="54"/>
      <c r="B970" s="55"/>
      <c r="C970" s="54"/>
      <c r="D970" s="63"/>
      <c r="E970" s="54"/>
      <c r="F970" s="54"/>
      <c r="G970" s="54"/>
      <c r="H970" s="54"/>
      <c r="I970" s="54"/>
      <c r="J970" s="54"/>
      <c r="K970" s="54"/>
      <c r="L970" s="54"/>
      <c r="M970" s="54"/>
      <c r="N970" s="54"/>
      <c r="O970" s="54"/>
      <c r="P970" s="54"/>
      <c r="Q970" s="54"/>
      <c r="R970" s="54"/>
      <c r="S970" s="54"/>
      <c r="T970" s="54"/>
      <c r="U970" s="54"/>
      <c r="V970" s="54"/>
      <c r="W970" s="54"/>
      <c r="X970" s="54"/>
      <c r="Y970" s="54"/>
      <c r="Z970" s="54"/>
    </row>
    <row r="971">
      <c r="A971" s="54"/>
      <c r="B971" s="55"/>
      <c r="C971" s="54"/>
      <c r="D971" s="63"/>
      <c r="E971" s="54"/>
      <c r="F971" s="54"/>
      <c r="G971" s="54"/>
      <c r="H971" s="54"/>
      <c r="I971" s="54"/>
      <c r="J971" s="54"/>
      <c r="K971" s="54"/>
      <c r="L971" s="54"/>
      <c r="M971" s="54"/>
      <c r="N971" s="54"/>
      <c r="O971" s="54"/>
      <c r="P971" s="54"/>
      <c r="Q971" s="54"/>
      <c r="R971" s="54"/>
      <c r="S971" s="54"/>
      <c r="T971" s="54"/>
      <c r="U971" s="54"/>
      <c r="V971" s="54"/>
      <c r="W971" s="54"/>
      <c r="X971" s="54"/>
      <c r="Y971" s="54"/>
      <c r="Z971" s="54"/>
    </row>
    <row r="972">
      <c r="A972" s="54"/>
      <c r="B972" s="55"/>
      <c r="C972" s="54"/>
      <c r="D972" s="63"/>
      <c r="E972" s="54"/>
      <c r="F972" s="54"/>
      <c r="G972" s="54"/>
      <c r="H972" s="54"/>
      <c r="I972" s="54"/>
      <c r="J972" s="54"/>
      <c r="K972" s="54"/>
      <c r="L972" s="54"/>
      <c r="M972" s="54"/>
      <c r="N972" s="54"/>
      <c r="O972" s="54"/>
      <c r="P972" s="54"/>
      <c r="Q972" s="54"/>
      <c r="R972" s="54"/>
      <c r="S972" s="54"/>
      <c r="T972" s="54"/>
      <c r="U972" s="54"/>
      <c r="V972" s="54"/>
      <c r="W972" s="54"/>
      <c r="X972" s="54"/>
      <c r="Y972" s="54"/>
      <c r="Z972" s="54"/>
    </row>
    <row r="973">
      <c r="A973" s="54"/>
      <c r="B973" s="55"/>
      <c r="C973" s="54"/>
      <c r="D973" s="63"/>
      <c r="E973" s="54"/>
      <c r="F973" s="54"/>
      <c r="G973" s="54"/>
      <c r="H973" s="54"/>
      <c r="I973" s="54"/>
      <c r="J973" s="54"/>
      <c r="K973" s="54"/>
      <c r="L973" s="54"/>
      <c r="M973" s="54"/>
      <c r="N973" s="54"/>
      <c r="O973" s="54"/>
      <c r="P973" s="54"/>
      <c r="Q973" s="54"/>
      <c r="R973" s="54"/>
      <c r="S973" s="54"/>
      <c r="T973" s="54"/>
      <c r="U973" s="54"/>
      <c r="V973" s="54"/>
      <c r="W973" s="54"/>
      <c r="X973" s="54"/>
      <c r="Y973" s="54"/>
      <c r="Z973" s="54"/>
    </row>
    <row r="974">
      <c r="A974" s="54"/>
      <c r="B974" s="55"/>
      <c r="C974" s="54"/>
      <c r="D974" s="63"/>
      <c r="E974" s="54"/>
      <c r="F974" s="54"/>
      <c r="G974" s="54"/>
      <c r="H974" s="54"/>
      <c r="I974" s="54"/>
      <c r="J974" s="54"/>
      <c r="K974" s="54"/>
      <c r="L974" s="54"/>
      <c r="M974" s="54"/>
      <c r="N974" s="54"/>
      <c r="O974" s="54"/>
      <c r="P974" s="54"/>
      <c r="Q974" s="54"/>
      <c r="R974" s="54"/>
      <c r="S974" s="54"/>
      <c r="T974" s="54"/>
      <c r="U974" s="54"/>
      <c r="V974" s="54"/>
      <c r="W974" s="54"/>
      <c r="X974" s="54"/>
      <c r="Y974" s="54"/>
      <c r="Z974" s="54"/>
    </row>
    <row r="975">
      <c r="A975" s="54"/>
      <c r="B975" s="55"/>
      <c r="C975" s="54"/>
      <c r="D975" s="63"/>
      <c r="E975" s="54"/>
      <c r="F975" s="54"/>
      <c r="G975" s="54"/>
      <c r="H975" s="54"/>
      <c r="I975" s="54"/>
      <c r="J975" s="54"/>
      <c r="K975" s="54"/>
      <c r="L975" s="54"/>
      <c r="M975" s="54"/>
      <c r="N975" s="54"/>
      <c r="O975" s="54"/>
      <c r="P975" s="54"/>
      <c r="Q975" s="54"/>
      <c r="R975" s="54"/>
      <c r="S975" s="54"/>
      <c r="T975" s="54"/>
      <c r="U975" s="54"/>
      <c r="V975" s="54"/>
      <c r="W975" s="54"/>
      <c r="X975" s="54"/>
      <c r="Y975" s="54"/>
      <c r="Z975" s="54"/>
    </row>
    <row r="976">
      <c r="A976" s="54"/>
      <c r="B976" s="55"/>
      <c r="C976" s="54"/>
      <c r="D976" s="63"/>
      <c r="E976" s="54"/>
      <c r="F976" s="54"/>
      <c r="G976" s="54"/>
      <c r="H976" s="54"/>
      <c r="I976" s="54"/>
      <c r="J976" s="54"/>
      <c r="K976" s="54"/>
      <c r="L976" s="54"/>
      <c r="M976" s="54"/>
      <c r="N976" s="54"/>
      <c r="O976" s="54"/>
      <c r="P976" s="54"/>
      <c r="Q976" s="54"/>
      <c r="R976" s="54"/>
      <c r="S976" s="54"/>
      <c r="T976" s="54"/>
      <c r="U976" s="54"/>
      <c r="V976" s="54"/>
      <c r="W976" s="54"/>
      <c r="X976" s="54"/>
      <c r="Y976" s="54"/>
      <c r="Z976" s="54"/>
    </row>
    <row r="977">
      <c r="A977" s="54"/>
      <c r="B977" s="55"/>
      <c r="C977" s="54"/>
      <c r="D977" s="63"/>
      <c r="E977" s="54"/>
      <c r="F977" s="54"/>
      <c r="G977" s="54"/>
      <c r="H977" s="54"/>
      <c r="I977" s="54"/>
      <c r="J977" s="54"/>
      <c r="K977" s="54"/>
      <c r="L977" s="54"/>
      <c r="M977" s="54"/>
      <c r="N977" s="54"/>
      <c r="O977" s="54"/>
      <c r="P977" s="54"/>
      <c r="Q977" s="54"/>
      <c r="R977" s="54"/>
      <c r="S977" s="54"/>
      <c r="T977" s="54"/>
      <c r="U977" s="54"/>
      <c r="V977" s="54"/>
      <c r="W977" s="54"/>
      <c r="X977" s="54"/>
      <c r="Y977" s="54"/>
      <c r="Z977" s="54"/>
    </row>
    <row r="978">
      <c r="A978" s="54"/>
      <c r="B978" s="55"/>
      <c r="C978" s="54"/>
      <c r="D978" s="63"/>
      <c r="E978" s="54"/>
      <c r="F978" s="54"/>
      <c r="G978" s="54"/>
      <c r="H978" s="54"/>
      <c r="I978" s="54"/>
      <c r="J978" s="54"/>
      <c r="K978" s="54"/>
      <c r="L978" s="54"/>
      <c r="M978" s="54"/>
      <c r="N978" s="54"/>
      <c r="O978" s="54"/>
      <c r="P978" s="54"/>
      <c r="Q978" s="54"/>
      <c r="R978" s="54"/>
      <c r="S978" s="54"/>
      <c r="T978" s="54"/>
      <c r="U978" s="54"/>
      <c r="V978" s="54"/>
      <c r="W978" s="54"/>
      <c r="X978" s="54"/>
      <c r="Y978" s="54"/>
      <c r="Z978" s="54"/>
    </row>
    <row r="979">
      <c r="A979" s="54"/>
      <c r="B979" s="55"/>
      <c r="C979" s="54"/>
      <c r="D979" s="63"/>
      <c r="E979" s="54"/>
      <c r="F979" s="54"/>
      <c r="G979" s="54"/>
      <c r="H979" s="54"/>
      <c r="I979" s="54"/>
      <c r="J979" s="54"/>
      <c r="K979" s="54"/>
      <c r="L979" s="54"/>
      <c r="M979" s="54"/>
      <c r="N979" s="54"/>
      <c r="O979" s="54"/>
      <c r="P979" s="54"/>
      <c r="Q979" s="54"/>
      <c r="R979" s="54"/>
      <c r="S979" s="54"/>
      <c r="T979" s="54"/>
      <c r="U979" s="54"/>
      <c r="V979" s="54"/>
      <c r="W979" s="54"/>
      <c r="X979" s="54"/>
      <c r="Y979" s="54"/>
      <c r="Z979" s="54"/>
    </row>
    <row r="980">
      <c r="A980" s="54"/>
      <c r="B980" s="55"/>
      <c r="C980" s="54"/>
      <c r="D980" s="63"/>
      <c r="E980" s="54"/>
      <c r="F980" s="54"/>
      <c r="G980" s="54"/>
      <c r="H980" s="54"/>
      <c r="I980" s="54"/>
      <c r="J980" s="54"/>
      <c r="K980" s="54"/>
      <c r="L980" s="54"/>
      <c r="M980" s="54"/>
      <c r="N980" s="54"/>
      <c r="O980" s="54"/>
      <c r="P980" s="54"/>
      <c r="Q980" s="54"/>
      <c r="R980" s="54"/>
      <c r="S980" s="54"/>
      <c r="T980" s="54"/>
      <c r="U980" s="54"/>
      <c r="V980" s="54"/>
      <c r="W980" s="54"/>
      <c r="X980" s="54"/>
      <c r="Y980" s="54"/>
      <c r="Z980" s="54"/>
    </row>
    <row r="981">
      <c r="A981" s="54"/>
      <c r="B981" s="55"/>
      <c r="C981" s="54"/>
      <c r="D981" s="63"/>
      <c r="E981" s="54"/>
      <c r="F981" s="54"/>
      <c r="G981" s="54"/>
      <c r="H981" s="54"/>
      <c r="I981" s="54"/>
      <c r="J981" s="54"/>
      <c r="K981" s="54"/>
      <c r="L981" s="54"/>
      <c r="M981" s="54"/>
      <c r="N981" s="54"/>
      <c r="O981" s="54"/>
      <c r="P981" s="54"/>
      <c r="Q981" s="54"/>
      <c r="R981" s="54"/>
      <c r="S981" s="54"/>
      <c r="T981" s="54"/>
      <c r="U981" s="54"/>
      <c r="V981" s="54"/>
      <c r="W981" s="54"/>
      <c r="X981" s="54"/>
      <c r="Y981" s="54"/>
      <c r="Z981" s="54"/>
    </row>
    <row r="982">
      <c r="A982" s="54"/>
      <c r="B982" s="55"/>
      <c r="C982" s="54"/>
      <c r="D982" s="63"/>
      <c r="E982" s="54"/>
      <c r="F982" s="54"/>
      <c r="G982" s="54"/>
      <c r="H982" s="54"/>
      <c r="I982" s="54"/>
      <c r="J982" s="54"/>
      <c r="K982" s="54"/>
      <c r="L982" s="54"/>
      <c r="M982" s="54"/>
      <c r="N982" s="54"/>
      <c r="O982" s="54"/>
      <c r="P982" s="54"/>
      <c r="Q982" s="54"/>
      <c r="R982" s="54"/>
      <c r="S982" s="54"/>
      <c r="T982" s="54"/>
      <c r="U982" s="54"/>
      <c r="V982" s="54"/>
      <c r="W982" s="54"/>
      <c r="X982" s="54"/>
      <c r="Y982" s="54"/>
      <c r="Z982" s="54"/>
    </row>
    <row r="983">
      <c r="A983" s="54"/>
      <c r="B983" s="55"/>
      <c r="C983" s="54"/>
      <c r="D983" s="63"/>
      <c r="E983" s="54"/>
      <c r="F983" s="54"/>
      <c r="G983" s="54"/>
      <c r="H983" s="54"/>
      <c r="I983" s="54"/>
      <c r="J983" s="54"/>
      <c r="K983" s="54"/>
      <c r="L983" s="54"/>
      <c r="M983" s="54"/>
      <c r="N983" s="54"/>
      <c r="O983" s="54"/>
      <c r="P983" s="54"/>
      <c r="Q983" s="54"/>
      <c r="R983" s="54"/>
      <c r="S983" s="54"/>
      <c r="T983" s="54"/>
      <c r="U983" s="54"/>
      <c r="V983" s="54"/>
      <c r="W983" s="54"/>
      <c r="X983" s="54"/>
      <c r="Y983" s="54"/>
      <c r="Z983" s="54"/>
    </row>
    <row r="984">
      <c r="A984" s="54"/>
      <c r="B984" s="55"/>
      <c r="C984" s="54"/>
      <c r="D984" s="63"/>
      <c r="E984" s="54"/>
      <c r="F984" s="54"/>
      <c r="G984" s="54"/>
      <c r="H984" s="54"/>
      <c r="I984" s="54"/>
      <c r="J984" s="54"/>
      <c r="K984" s="54"/>
      <c r="L984" s="54"/>
      <c r="M984" s="54"/>
      <c r="N984" s="54"/>
      <c r="O984" s="54"/>
      <c r="P984" s="54"/>
      <c r="Q984" s="54"/>
      <c r="R984" s="54"/>
      <c r="S984" s="54"/>
      <c r="T984" s="54"/>
      <c r="U984" s="54"/>
      <c r="V984" s="54"/>
      <c r="W984" s="54"/>
      <c r="X984" s="54"/>
      <c r="Y984" s="54"/>
      <c r="Z984" s="54"/>
    </row>
    <row r="985">
      <c r="A985" s="54"/>
      <c r="B985" s="55"/>
      <c r="C985" s="54"/>
      <c r="D985" s="63"/>
      <c r="E985" s="54"/>
      <c r="F985" s="54"/>
      <c r="G985" s="54"/>
      <c r="H985" s="54"/>
      <c r="I985" s="54"/>
      <c r="J985" s="54"/>
      <c r="K985" s="54"/>
      <c r="L985" s="54"/>
      <c r="M985" s="54"/>
      <c r="N985" s="54"/>
      <c r="O985" s="54"/>
      <c r="P985" s="54"/>
      <c r="Q985" s="54"/>
      <c r="R985" s="54"/>
      <c r="S985" s="54"/>
      <c r="T985" s="54"/>
      <c r="U985" s="54"/>
      <c r="V985" s="54"/>
      <c r="W985" s="54"/>
      <c r="X985" s="54"/>
      <c r="Y985" s="54"/>
      <c r="Z985" s="54"/>
    </row>
    <row r="986">
      <c r="A986" s="54"/>
      <c r="B986" s="55"/>
      <c r="C986" s="54"/>
      <c r="D986" s="63"/>
      <c r="E986" s="54"/>
      <c r="F986" s="54"/>
      <c r="G986" s="54"/>
      <c r="H986" s="54"/>
      <c r="I986" s="54"/>
      <c r="J986" s="54"/>
      <c r="K986" s="54"/>
      <c r="L986" s="54"/>
      <c r="M986" s="54"/>
      <c r="N986" s="54"/>
      <c r="O986" s="54"/>
      <c r="P986" s="54"/>
      <c r="Q986" s="54"/>
      <c r="R986" s="54"/>
      <c r="S986" s="54"/>
      <c r="T986" s="54"/>
      <c r="U986" s="54"/>
      <c r="V986" s="54"/>
      <c r="W986" s="54"/>
      <c r="X986" s="54"/>
      <c r="Y986" s="54"/>
      <c r="Z986" s="54"/>
    </row>
    <row r="987">
      <c r="A987" s="54"/>
      <c r="B987" s="55"/>
      <c r="C987" s="54"/>
      <c r="D987" s="63"/>
      <c r="E987" s="54"/>
      <c r="F987" s="54"/>
      <c r="G987" s="54"/>
      <c r="H987" s="54"/>
      <c r="I987" s="54"/>
      <c r="J987" s="54"/>
      <c r="K987" s="54"/>
      <c r="L987" s="54"/>
      <c r="M987" s="54"/>
      <c r="N987" s="54"/>
      <c r="O987" s="54"/>
      <c r="P987" s="54"/>
      <c r="Q987" s="54"/>
      <c r="R987" s="54"/>
      <c r="S987" s="54"/>
      <c r="T987" s="54"/>
      <c r="U987" s="54"/>
      <c r="V987" s="54"/>
      <c r="W987" s="54"/>
      <c r="X987" s="54"/>
      <c r="Y987" s="54"/>
      <c r="Z987" s="54"/>
    </row>
    <row r="988">
      <c r="A988" s="54"/>
      <c r="B988" s="55"/>
      <c r="C988" s="54"/>
      <c r="D988" s="63"/>
      <c r="E988" s="54"/>
      <c r="F988" s="54"/>
      <c r="G988" s="54"/>
      <c r="H988" s="54"/>
      <c r="I988" s="54"/>
      <c r="J988" s="54"/>
      <c r="K988" s="54"/>
      <c r="L988" s="54"/>
      <c r="M988" s="54"/>
      <c r="N988" s="54"/>
      <c r="O988" s="54"/>
      <c r="P988" s="54"/>
      <c r="Q988" s="54"/>
      <c r="R988" s="54"/>
      <c r="S988" s="54"/>
      <c r="T988" s="54"/>
      <c r="U988" s="54"/>
      <c r="V988" s="54"/>
      <c r="W988" s="54"/>
      <c r="X988" s="54"/>
      <c r="Y988" s="54"/>
      <c r="Z988" s="54"/>
    </row>
    <row r="989">
      <c r="A989" s="54"/>
      <c r="B989" s="55"/>
      <c r="C989" s="54"/>
      <c r="D989" s="63"/>
      <c r="E989" s="54"/>
      <c r="F989" s="54"/>
      <c r="G989" s="54"/>
      <c r="H989" s="54"/>
      <c r="I989" s="54"/>
      <c r="J989" s="54"/>
      <c r="K989" s="54"/>
      <c r="L989" s="54"/>
      <c r="M989" s="54"/>
      <c r="N989" s="54"/>
      <c r="O989" s="54"/>
      <c r="P989" s="54"/>
      <c r="Q989" s="54"/>
      <c r="R989" s="54"/>
      <c r="S989" s="54"/>
      <c r="T989" s="54"/>
      <c r="U989" s="54"/>
      <c r="V989" s="54"/>
      <c r="W989" s="54"/>
      <c r="X989" s="54"/>
      <c r="Y989" s="54"/>
      <c r="Z989" s="54"/>
    </row>
    <row r="990">
      <c r="A990" s="54"/>
      <c r="B990" s="55"/>
      <c r="C990" s="54"/>
      <c r="D990" s="63"/>
      <c r="E990" s="54"/>
      <c r="F990" s="54"/>
      <c r="G990" s="54"/>
      <c r="H990" s="54"/>
      <c r="I990" s="54"/>
      <c r="J990" s="54"/>
      <c r="K990" s="54"/>
      <c r="L990" s="54"/>
      <c r="M990" s="54"/>
      <c r="N990" s="54"/>
      <c r="O990" s="54"/>
      <c r="P990" s="54"/>
      <c r="Q990" s="54"/>
      <c r="R990" s="54"/>
      <c r="S990" s="54"/>
      <c r="T990" s="54"/>
      <c r="U990" s="54"/>
      <c r="V990" s="54"/>
      <c r="W990" s="54"/>
      <c r="X990" s="54"/>
      <c r="Y990" s="54"/>
      <c r="Z990" s="54"/>
    </row>
    <row r="991">
      <c r="A991" s="54"/>
      <c r="B991" s="55"/>
      <c r="C991" s="54"/>
      <c r="D991" s="63"/>
      <c r="E991" s="54"/>
      <c r="F991" s="54"/>
      <c r="G991" s="54"/>
      <c r="H991" s="54"/>
      <c r="I991" s="54"/>
      <c r="J991" s="54"/>
      <c r="K991" s="54"/>
      <c r="L991" s="54"/>
      <c r="M991" s="54"/>
      <c r="N991" s="54"/>
      <c r="O991" s="54"/>
      <c r="P991" s="54"/>
      <c r="Q991" s="54"/>
      <c r="R991" s="54"/>
      <c r="S991" s="54"/>
      <c r="T991" s="54"/>
      <c r="U991" s="54"/>
      <c r="V991" s="54"/>
      <c r="W991" s="54"/>
      <c r="X991" s="54"/>
      <c r="Y991" s="54"/>
      <c r="Z991" s="54"/>
    </row>
    <row r="992">
      <c r="A992" s="54"/>
      <c r="B992" s="55"/>
      <c r="C992" s="54"/>
      <c r="D992" s="63"/>
      <c r="E992" s="54"/>
      <c r="F992" s="54"/>
      <c r="G992" s="54"/>
      <c r="H992" s="54"/>
      <c r="I992" s="54"/>
      <c r="J992" s="54"/>
      <c r="K992" s="54"/>
      <c r="L992" s="54"/>
      <c r="M992" s="54"/>
      <c r="N992" s="54"/>
      <c r="O992" s="54"/>
      <c r="P992" s="54"/>
      <c r="Q992" s="54"/>
      <c r="R992" s="54"/>
      <c r="S992" s="54"/>
      <c r="T992" s="54"/>
      <c r="U992" s="54"/>
      <c r="V992" s="54"/>
      <c r="W992" s="54"/>
      <c r="X992" s="54"/>
      <c r="Y992" s="54"/>
      <c r="Z992" s="54"/>
    </row>
    <row r="993">
      <c r="A993" s="54"/>
      <c r="B993" s="55"/>
      <c r="C993" s="54"/>
      <c r="D993" s="63"/>
      <c r="E993" s="54"/>
      <c r="F993" s="54"/>
      <c r="G993" s="54"/>
      <c r="H993" s="54"/>
      <c r="I993" s="54"/>
      <c r="J993" s="54"/>
      <c r="K993" s="54"/>
      <c r="L993" s="54"/>
      <c r="M993" s="54"/>
      <c r="N993" s="54"/>
      <c r="O993" s="54"/>
      <c r="P993" s="54"/>
      <c r="Q993" s="54"/>
      <c r="R993" s="54"/>
      <c r="S993" s="54"/>
      <c r="T993" s="54"/>
      <c r="U993" s="54"/>
      <c r="V993" s="54"/>
      <c r="W993" s="54"/>
      <c r="X993" s="54"/>
      <c r="Y993" s="54"/>
      <c r="Z993" s="54"/>
    </row>
    <row r="994">
      <c r="A994" s="54"/>
      <c r="B994" s="55"/>
      <c r="C994" s="54"/>
      <c r="D994" s="63"/>
      <c r="E994" s="54"/>
      <c r="F994" s="54"/>
      <c r="G994" s="54"/>
      <c r="H994" s="54"/>
      <c r="I994" s="54"/>
      <c r="J994" s="54"/>
      <c r="K994" s="54"/>
      <c r="L994" s="54"/>
      <c r="M994" s="54"/>
      <c r="N994" s="54"/>
      <c r="O994" s="54"/>
      <c r="P994" s="54"/>
      <c r="Q994" s="54"/>
      <c r="R994" s="54"/>
      <c r="S994" s="54"/>
      <c r="T994" s="54"/>
      <c r="U994" s="54"/>
      <c r="V994" s="54"/>
      <c r="W994" s="54"/>
      <c r="X994" s="54"/>
      <c r="Y994" s="54"/>
      <c r="Z994" s="54"/>
    </row>
    <row r="995">
      <c r="A995" s="54"/>
      <c r="B995" s="55"/>
      <c r="C995" s="54"/>
      <c r="D995" s="63"/>
      <c r="E995" s="54"/>
      <c r="F995" s="54"/>
      <c r="G995" s="54"/>
      <c r="H995" s="54"/>
      <c r="I995" s="54"/>
      <c r="J995" s="54"/>
      <c r="K995" s="54"/>
      <c r="L995" s="54"/>
      <c r="M995" s="54"/>
      <c r="N995" s="54"/>
      <c r="O995" s="54"/>
      <c r="P995" s="54"/>
      <c r="Q995" s="54"/>
      <c r="R995" s="54"/>
      <c r="S995" s="54"/>
      <c r="T995" s="54"/>
      <c r="U995" s="54"/>
      <c r="V995" s="54"/>
      <c r="W995" s="54"/>
      <c r="X995" s="54"/>
      <c r="Y995" s="54"/>
      <c r="Z995" s="54"/>
    </row>
    <row r="996">
      <c r="A996" s="54"/>
      <c r="B996" s="55"/>
      <c r="C996" s="54"/>
      <c r="D996" s="63"/>
      <c r="E996" s="54"/>
      <c r="F996" s="54"/>
      <c r="G996" s="54"/>
      <c r="H996" s="54"/>
      <c r="I996" s="54"/>
      <c r="J996" s="54"/>
      <c r="K996" s="54"/>
      <c r="L996" s="54"/>
      <c r="M996" s="54"/>
      <c r="N996" s="54"/>
      <c r="O996" s="54"/>
      <c r="P996" s="54"/>
      <c r="Q996" s="54"/>
      <c r="R996" s="54"/>
      <c r="S996" s="54"/>
      <c r="T996" s="54"/>
      <c r="U996" s="54"/>
      <c r="V996" s="54"/>
      <c r="W996" s="54"/>
      <c r="X996" s="54"/>
      <c r="Y996" s="54"/>
      <c r="Z996" s="54"/>
    </row>
    <row r="997">
      <c r="A997" s="54"/>
      <c r="B997" s="55"/>
      <c r="C997" s="54"/>
      <c r="D997" s="63"/>
      <c r="E997" s="54"/>
      <c r="F997" s="54"/>
      <c r="G997" s="54"/>
      <c r="H997" s="54"/>
      <c r="I997" s="54"/>
      <c r="J997" s="54"/>
      <c r="K997" s="54"/>
      <c r="L997" s="54"/>
      <c r="M997" s="54"/>
      <c r="N997" s="54"/>
      <c r="O997" s="54"/>
      <c r="P997" s="54"/>
      <c r="Q997" s="54"/>
      <c r="R997" s="54"/>
      <c r="S997" s="54"/>
      <c r="T997" s="54"/>
      <c r="U997" s="54"/>
      <c r="V997" s="54"/>
      <c r="W997" s="54"/>
      <c r="X997" s="54"/>
      <c r="Y997" s="54"/>
      <c r="Z997" s="54"/>
    </row>
    <row r="998">
      <c r="A998" s="54"/>
      <c r="B998" s="55"/>
      <c r="C998" s="54"/>
      <c r="D998" s="63"/>
      <c r="E998" s="54"/>
      <c r="F998" s="54"/>
      <c r="G998" s="54"/>
      <c r="H998" s="54"/>
      <c r="I998" s="54"/>
      <c r="J998" s="54"/>
      <c r="K998" s="54"/>
      <c r="L998" s="54"/>
      <c r="M998" s="54"/>
      <c r="N998" s="54"/>
      <c r="O998" s="54"/>
      <c r="P998" s="54"/>
      <c r="Q998" s="54"/>
      <c r="R998" s="54"/>
      <c r="S998" s="54"/>
      <c r="T998" s="54"/>
      <c r="U998" s="54"/>
      <c r="V998" s="54"/>
      <c r="W998" s="54"/>
      <c r="X998" s="54"/>
      <c r="Y998" s="54"/>
      <c r="Z998" s="54"/>
    </row>
    <row r="999">
      <c r="A999" s="54"/>
      <c r="B999" s="55"/>
      <c r="C999" s="54"/>
      <c r="D999" s="63"/>
      <c r="E999" s="54"/>
      <c r="F999" s="54"/>
      <c r="G999" s="54"/>
      <c r="H999" s="54"/>
      <c r="I999" s="54"/>
      <c r="J999" s="54"/>
      <c r="K999" s="54"/>
      <c r="L999" s="54"/>
      <c r="M999" s="54"/>
      <c r="N999" s="54"/>
      <c r="O999" s="54"/>
      <c r="P999" s="54"/>
      <c r="Q999" s="54"/>
      <c r="R999" s="54"/>
      <c r="S999" s="54"/>
      <c r="T999" s="54"/>
      <c r="U999" s="54"/>
      <c r="V999" s="54"/>
      <c r="W999" s="54"/>
      <c r="X999" s="54"/>
      <c r="Y999" s="54"/>
      <c r="Z999" s="54"/>
    </row>
    <row r="1000">
      <c r="A1000" s="54"/>
      <c r="B1000" s="55"/>
      <c r="C1000" s="54"/>
      <c r="D1000" s="63"/>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sheetData>
  <hyperlinks>
    <hyperlink r:id="rId1" ref="C2"/>
    <hyperlink r:id="rId2" ref="C3"/>
    <hyperlink r:id="rId3" ref="C4"/>
    <hyperlink r:id="rId4" ref="C5"/>
    <hyperlink r:id="rId5" ref="C6"/>
    <hyperlink r:id="rId6" ref="C7"/>
    <hyperlink r:id="rId7" ref="C8"/>
    <hyperlink r:id="rId8" ref="C9"/>
    <hyperlink r:id="rId9" ref="C11"/>
    <hyperlink r:id="rId10" ref="C12"/>
    <hyperlink r:id="rId11" ref="C13"/>
    <hyperlink r:id="rId12" ref="C14"/>
    <hyperlink r:id="rId13" ref="C15"/>
    <hyperlink r:id="rId14" ref="C16"/>
    <hyperlink r:id="rId15" ref="C17"/>
    <hyperlink r:id="rId16" ref="C18"/>
    <hyperlink r:id="rId17" ref="C19"/>
    <hyperlink r:id="rId18" ref="C20"/>
    <hyperlink r:id="rId19" ref="C21"/>
    <hyperlink r:id="rId20" ref="C22"/>
    <hyperlink r:id="rId21" ref="C23"/>
    <hyperlink r:id="rId22" ref="C24"/>
    <hyperlink r:id="rId23" ref="C25"/>
    <hyperlink r:id="rId24" ref="C26"/>
    <hyperlink r:id="rId25" ref="C27"/>
    <hyperlink r:id="rId26" ref="C28"/>
    <hyperlink r:id="rId27" ref="C29"/>
    <hyperlink r:id="rId28" ref="C31"/>
    <hyperlink r:id="rId29" ref="C32"/>
    <hyperlink r:id="rId30" ref="C34"/>
    <hyperlink r:id="rId31" ref="C35"/>
    <hyperlink r:id="rId32" ref="C36"/>
    <hyperlink r:id="rId33" ref="F36"/>
    <hyperlink r:id="rId34" ref="C37"/>
    <hyperlink r:id="rId35" ref="C38"/>
    <hyperlink r:id="rId36" ref="C39"/>
    <hyperlink r:id="rId37" ref="C40"/>
    <hyperlink r:id="rId38" ref="C41"/>
    <hyperlink r:id="rId39" ref="C42"/>
    <hyperlink r:id="rId40" ref="C43"/>
    <hyperlink r:id="rId41" ref="C44"/>
    <hyperlink r:id="rId42" ref="C45"/>
    <hyperlink r:id="rId43" ref="C46"/>
    <hyperlink r:id="rId44" ref="C47"/>
    <hyperlink r:id="rId45" ref="C48"/>
    <hyperlink r:id="rId46" ref="C49"/>
    <hyperlink r:id="rId47" ref="C50"/>
    <hyperlink r:id="rId48" ref="C51"/>
    <hyperlink r:id="rId49" ref="C52"/>
    <hyperlink r:id="rId50" ref="D52"/>
    <hyperlink r:id="rId51" ref="C53"/>
    <hyperlink r:id="rId52" ref="C54"/>
    <hyperlink r:id="rId53" ref="C55"/>
    <hyperlink r:id="rId54" ref="C56"/>
    <hyperlink r:id="rId55" ref="C57"/>
    <hyperlink r:id="rId56" ref="C58"/>
    <hyperlink r:id="rId57" ref="C59"/>
    <hyperlink r:id="rId58" ref="D59"/>
    <hyperlink r:id="rId59" ref="C60"/>
    <hyperlink r:id="rId60" ref="D60"/>
    <hyperlink r:id="rId61" ref="C61"/>
    <hyperlink r:id="rId62" ref="D61"/>
    <hyperlink r:id="rId63" ref="C62"/>
    <hyperlink r:id="rId64" ref="C63"/>
    <hyperlink r:id="rId65" ref="C64"/>
    <hyperlink r:id="rId66" ref="D64"/>
    <hyperlink r:id="rId67" ref="F64"/>
    <hyperlink r:id="rId68" ref="C65"/>
    <hyperlink r:id="rId69" ref="C66"/>
    <hyperlink r:id="rId70" ref="C67"/>
    <hyperlink r:id="rId71" ref="C68"/>
    <hyperlink r:id="rId72" ref="C69"/>
    <hyperlink r:id="rId73" ref="C70"/>
    <hyperlink r:id="rId74" ref="E70"/>
    <hyperlink r:id="rId75" ref="C71"/>
    <hyperlink r:id="rId76" ref="C72"/>
    <hyperlink r:id="rId77" ref="C73"/>
    <hyperlink r:id="rId78" ref="C74"/>
    <hyperlink r:id="rId79" ref="C75"/>
    <hyperlink r:id="rId80" ref="C76"/>
    <hyperlink r:id="rId81" ref="C77"/>
    <hyperlink r:id="rId82" ref="C78"/>
    <hyperlink r:id="rId83" ref="D78"/>
    <hyperlink r:id="rId84" ref="C79"/>
    <hyperlink r:id="rId85" ref="C80"/>
    <hyperlink r:id="rId86" ref="C81"/>
    <hyperlink r:id="rId87" ref="H81"/>
    <hyperlink r:id="rId88" ref="C82"/>
    <hyperlink r:id="rId89" ref="C83"/>
    <hyperlink r:id="rId90" ref="C84"/>
    <hyperlink r:id="rId91" ref="C85"/>
    <hyperlink r:id="rId92" ref="C86"/>
    <hyperlink r:id="rId93" ref="C87"/>
    <hyperlink r:id="rId94" ref="D87"/>
    <hyperlink r:id="rId95" ref="C88"/>
    <hyperlink r:id="rId96" ref="C89"/>
    <hyperlink r:id="rId97" ref="C90"/>
    <hyperlink r:id="rId98" ref="C91"/>
    <hyperlink r:id="rId99" ref="C92"/>
    <hyperlink r:id="rId100" ref="C93"/>
    <hyperlink r:id="rId101" ref="C94"/>
    <hyperlink r:id="rId102" ref="E94"/>
    <hyperlink r:id="rId103" ref="C95"/>
    <hyperlink r:id="rId104" ref="C96"/>
    <hyperlink r:id="rId105" ref="C97"/>
    <hyperlink r:id="rId106" ref="C98"/>
    <hyperlink r:id="rId107" ref="C99"/>
    <hyperlink r:id="rId108" ref="C100"/>
    <hyperlink r:id="rId109" ref="C101"/>
    <hyperlink r:id="rId110" ref="C102"/>
    <hyperlink r:id="rId111" ref="C103"/>
    <hyperlink r:id="rId112" ref="C104"/>
    <hyperlink r:id="rId113" ref="C105"/>
    <hyperlink r:id="rId114" ref="C106"/>
    <hyperlink r:id="rId115" ref="C107"/>
    <hyperlink r:id="rId116" ref="C108"/>
    <hyperlink r:id="rId117" ref="C109"/>
    <hyperlink r:id="rId118" ref="C110"/>
    <hyperlink r:id="rId119" ref="D110"/>
    <hyperlink r:id="rId120" ref="C111"/>
    <hyperlink r:id="rId121" ref="C112"/>
    <hyperlink r:id="rId122" ref="C113"/>
    <hyperlink r:id="rId123" ref="C114"/>
    <hyperlink r:id="rId124" ref="C115"/>
    <hyperlink r:id="rId125" ref="C116"/>
    <hyperlink r:id="rId126" ref="C117"/>
    <hyperlink r:id="rId127" ref="C118"/>
    <hyperlink r:id="rId128" ref="F118"/>
    <hyperlink r:id="rId129" ref="C119"/>
    <hyperlink r:id="rId130" ref="C120"/>
    <hyperlink r:id="rId131" ref="C121"/>
    <hyperlink r:id="rId132" ref="C122"/>
    <hyperlink r:id="rId133" ref="C123"/>
    <hyperlink r:id="rId134" ref="C124"/>
    <hyperlink r:id="rId135" ref="C125"/>
    <hyperlink r:id="rId136" ref="C126"/>
    <hyperlink r:id="rId137" ref="C127"/>
    <hyperlink r:id="rId138" ref="C128"/>
    <hyperlink r:id="rId139" ref="C129"/>
    <hyperlink r:id="rId140" ref="C130"/>
    <hyperlink r:id="rId141" ref="C131"/>
    <hyperlink r:id="rId142" ref="C132"/>
    <hyperlink r:id="rId143" ref="C133"/>
    <hyperlink r:id="rId144" ref="C134"/>
    <hyperlink r:id="rId145" ref="C135"/>
    <hyperlink r:id="rId146" ref="C136"/>
    <hyperlink r:id="rId147" ref="C137"/>
    <hyperlink r:id="rId148" ref="C138"/>
    <hyperlink r:id="rId149" ref="C139"/>
    <hyperlink r:id="rId150" ref="C140"/>
    <hyperlink r:id="rId151" ref="C141"/>
    <hyperlink r:id="rId152" ref="C142"/>
    <hyperlink r:id="rId153" ref="C143"/>
    <hyperlink r:id="rId154" ref="C144"/>
    <hyperlink r:id="rId155" ref="C145"/>
    <hyperlink r:id="rId156" ref="C148"/>
    <hyperlink r:id="rId157" ref="C149"/>
    <hyperlink r:id="rId158" ref="C150"/>
    <hyperlink r:id="rId159" ref="C151"/>
    <hyperlink r:id="rId160" ref="C152"/>
    <hyperlink r:id="rId161" ref="C153"/>
    <hyperlink r:id="rId162" ref="C154"/>
    <hyperlink r:id="rId163" ref="C158"/>
    <hyperlink r:id="rId164" ref="C159"/>
    <hyperlink r:id="rId165" ref="C160"/>
    <hyperlink r:id="rId166" ref="C161"/>
    <hyperlink r:id="rId167" ref="C162"/>
    <hyperlink r:id="rId168" ref="C165"/>
    <hyperlink r:id="rId169" ref="C166"/>
    <hyperlink r:id="rId170" ref="C167"/>
    <hyperlink r:id="rId171" ref="C168"/>
    <hyperlink r:id="rId172" ref="C169"/>
    <hyperlink r:id="rId173" ref="C170"/>
  </hyperlinks>
  <drawing r:id="rId17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50.13"/>
    <col customWidth="1" min="4" max="4" width="56.88"/>
    <col customWidth="1" min="5" max="5" width="81.0"/>
    <col customWidth="1" min="6" max="6" width="61.25"/>
  </cols>
  <sheetData>
    <row r="1" ht="15.75" customHeight="1">
      <c r="A1" s="71" t="s">
        <v>398</v>
      </c>
      <c r="D1" s="72"/>
      <c r="E1" s="72"/>
      <c r="F1" s="72"/>
      <c r="G1" s="73"/>
      <c r="H1" s="73"/>
      <c r="I1" s="73"/>
      <c r="J1" s="73"/>
      <c r="K1" s="73"/>
      <c r="L1" s="73"/>
      <c r="M1" s="73"/>
      <c r="N1" s="73"/>
      <c r="O1" s="73"/>
      <c r="P1" s="73"/>
      <c r="Q1" s="73"/>
      <c r="R1" s="73"/>
      <c r="S1" s="73"/>
      <c r="T1" s="73"/>
      <c r="U1" s="73"/>
      <c r="V1" s="73"/>
      <c r="W1" s="73"/>
      <c r="X1" s="73"/>
      <c r="Y1" s="73"/>
      <c r="Z1" s="73"/>
    </row>
    <row r="2" ht="15.75" customHeight="1">
      <c r="A2" s="74" t="s">
        <v>399</v>
      </c>
      <c r="B2" s="74" t="s">
        <v>400</v>
      </c>
      <c r="C2" s="75" t="s">
        <v>401</v>
      </c>
      <c r="D2" s="76" t="s">
        <v>402</v>
      </c>
      <c r="E2" s="72"/>
      <c r="F2" s="72"/>
      <c r="G2" s="73"/>
      <c r="H2" s="73"/>
      <c r="I2" s="73"/>
      <c r="J2" s="73"/>
      <c r="K2" s="73"/>
      <c r="L2" s="73"/>
      <c r="M2" s="73"/>
      <c r="N2" s="73"/>
      <c r="O2" s="73"/>
      <c r="P2" s="73"/>
      <c r="Q2" s="73"/>
      <c r="R2" s="73"/>
      <c r="S2" s="73"/>
      <c r="T2" s="73"/>
      <c r="U2" s="73"/>
      <c r="V2" s="73"/>
      <c r="W2" s="73"/>
      <c r="X2" s="73"/>
      <c r="Y2" s="73"/>
      <c r="Z2" s="73"/>
    </row>
    <row r="3" ht="15.75" customHeight="1">
      <c r="A3" s="77" t="s">
        <v>403</v>
      </c>
      <c r="B3" s="53" t="s">
        <v>404</v>
      </c>
      <c r="C3" s="77" t="s">
        <v>405</v>
      </c>
      <c r="D3" s="78"/>
      <c r="E3" s="78"/>
      <c r="F3" s="78"/>
      <c r="G3" s="42"/>
      <c r="H3" s="42"/>
      <c r="I3" s="42"/>
      <c r="J3" s="42"/>
      <c r="K3" s="42"/>
      <c r="L3" s="42"/>
      <c r="M3" s="42"/>
      <c r="N3" s="42"/>
      <c r="O3" s="42"/>
      <c r="P3" s="42"/>
      <c r="Q3" s="42"/>
      <c r="R3" s="42"/>
      <c r="S3" s="42"/>
      <c r="T3" s="42"/>
      <c r="U3" s="42"/>
      <c r="V3" s="42"/>
      <c r="W3" s="42"/>
      <c r="X3" s="42"/>
      <c r="Y3" s="42"/>
      <c r="Z3" s="42"/>
    </row>
    <row r="4" ht="15.75" customHeight="1">
      <c r="A4" s="78"/>
      <c r="E4" s="78"/>
      <c r="F4" s="78"/>
    </row>
    <row r="5" ht="15.75" customHeight="1">
      <c r="A5" s="77" t="s">
        <v>406</v>
      </c>
      <c r="B5" s="78" t="s">
        <v>407</v>
      </c>
      <c r="C5" s="77" t="s">
        <v>408</v>
      </c>
      <c r="D5" s="77" t="s">
        <v>409</v>
      </c>
      <c r="E5" s="77" t="s">
        <v>410</v>
      </c>
      <c r="F5" s="78"/>
    </row>
    <row r="6" ht="15.75" customHeight="1">
      <c r="A6" s="77" t="s">
        <v>411</v>
      </c>
      <c r="B6" s="78" t="s">
        <v>412</v>
      </c>
      <c r="C6" s="77" t="s">
        <v>413</v>
      </c>
      <c r="D6" s="77" t="s">
        <v>414</v>
      </c>
      <c r="E6" s="77" t="s">
        <v>415</v>
      </c>
      <c r="F6" s="78"/>
    </row>
    <row r="7" ht="15.75" customHeight="1">
      <c r="A7" s="78"/>
      <c r="B7" s="78" t="s">
        <v>416</v>
      </c>
      <c r="C7" s="77" t="s">
        <v>417</v>
      </c>
      <c r="E7" s="77" t="s">
        <v>418</v>
      </c>
      <c r="F7" s="78"/>
    </row>
    <row r="8" ht="15.75" customHeight="1">
      <c r="A8" s="78"/>
      <c r="B8" s="77" t="s">
        <v>419</v>
      </c>
      <c r="C8" s="77" t="s">
        <v>420</v>
      </c>
      <c r="D8" s="77" t="s">
        <v>421</v>
      </c>
      <c r="E8" s="77" t="s">
        <v>422</v>
      </c>
      <c r="F8" s="78"/>
    </row>
    <row r="9" ht="15.75" customHeight="1">
      <c r="A9" s="78"/>
      <c r="B9" s="78" t="s">
        <v>423</v>
      </c>
      <c r="C9" s="77" t="s">
        <v>424</v>
      </c>
      <c r="D9" s="77" t="s">
        <v>425</v>
      </c>
      <c r="E9" s="77" t="s">
        <v>426</v>
      </c>
      <c r="F9" s="78"/>
    </row>
    <row r="10" ht="15.75" customHeight="1">
      <c r="A10" s="78"/>
      <c r="B10" s="78" t="s">
        <v>427</v>
      </c>
      <c r="C10" s="77" t="s">
        <v>428</v>
      </c>
      <c r="D10" s="78"/>
      <c r="E10" s="77" t="s">
        <v>429</v>
      </c>
      <c r="F10" s="78"/>
    </row>
    <row r="11" ht="15.75" customHeight="1">
      <c r="A11" s="78"/>
      <c r="B11" s="78" t="s">
        <v>430</v>
      </c>
      <c r="C11" s="77" t="s">
        <v>431</v>
      </c>
      <c r="D11" s="78"/>
      <c r="E11" s="77" t="s">
        <v>432</v>
      </c>
      <c r="F11" s="78"/>
    </row>
    <row r="12" ht="15.75" customHeight="1">
      <c r="A12" s="78"/>
      <c r="B12" s="78" t="s">
        <v>433</v>
      </c>
      <c r="E12" s="77" t="s">
        <v>434</v>
      </c>
      <c r="F12" s="78"/>
    </row>
    <row r="13" ht="15.75" customHeight="1">
      <c r="A13" s="78"/>
      <c r="B13" s="78" t="s">
        <v>435</v>
      </c>
      <c r="E13" s="77" t="s">
        <v>436</v>
      </c>
      <c r="F13" s="78"/>
    </row>
    <row r="14" ht="15.75" customHeight="1">
      <c r="A14" s="78"/>
      <c r="B14" s="78" t="s">
        <v>437</v>
      </c>
      <c r="E14" s="77" t="s">
        <v>438</v>
      </c>
      <c r="F14" s="78"/>
    </row>
    <row r="15" ht="15.75" customHeight="1">
      <c r="A15" s="78"/>
      <c r="B15" s="43" t="s">
        <v>439</v>
      </c>
      <c r="E15" s="78"/>
      <c r="F15" s="78"/>
    </row>
    <row r="16" ht="15.75" customHeight="1">
      <c r="A16" s="78"/>
      <c r="E16" s="78"/>
      <c r="F16" s="78"/>
    </row>
    <row r="17" ht="15.75" customHeight="1">
      <c r="A17" s="78"/>
      <c r="E17" s="77" t="s">
        <v>440</v>
      </c>
      <c r="F17" s="78"/>
    </row>
    <row r="18" ht="15.75" customHeight="1">
      <c r="A18" s="78"/>
      <c r="B18" s="43" t="s">
        <v>441</v>
      </c>
      <c r="C18" s="78" t="s">
        <v>442</v>
      </c>
      <c r="E18" s="77" t="s">
        <v>443</v>
      </c>
      <c r="F18" s="78"/>
    </row>
    <row r="19" ht="15.75" customHeight="1">
      <c r="A19" s="78"/>
      <c r="C19" s="78" t="s">
        <v>444</v>
      </c>
      <c r="E19" s="77" t="s">
        <v>445</v>
      </c>
      <c r="F19" s="78"/>
    </row>
    <row r="20" ht="15.75" customHeight="1">
      <c r="A20" s="78"/>
      <c r="C20" s="78" t="s">
        <v>446</v>
      </c>
      <c r="E20" s="77" t="s">
        <v>447</v>
      </c>
      <c r="F20" s="78"/>
    </row>
    <row r="21" ht="15.75" customHeight="1">
      <c r="A21" s="78"/>
      <c r="C21" s="78" t="s">
        <v>448</v>
      </c>
      <c r="E21" s="77" t="s">
        <v>449</v>
      </c>
      <c r="F21" s="78"/>
    </row>
    <row r="22" ht="15.75" customHeight="1">
      <c r="A22" s="78"/>
      <c r="C22" s="78" t="s">
        <v>450</v>
      </c>
      <c r="D22" s="78"/>
      <c r="E22" s="77"/>
      <c r="F22" s="78"/>
    </row>
    <row r="23" ht="15.75" customHeight="1">
      <c r="A23" s="78"/>
      <c r="C23" s="78" t="s">
        <v>451</v>
      </c>
      <c r="D23" s="78" t="s">
        <v>452</v>
      </c>
      <c r="E23" s="77"/>
      <c r="F23" s="78"/>
    </row>
    <row r="24" ht="15.75" customHeight="1">
      <c r="A24" s="78"/>
      <c r="C24" s="78" t="s">
        <v>453</v>
      </c>
      <c r="D24" s="78" t="s">
        <v>454</v>
      </c>
      <c r="E24" s="79"/>
      <c r="F24" s="78"/>
    </row>
    <row r="25" ht="15.75" customHeight="1">
      <c r="A25" s="78"/>
      <c r="D25" s="78" t="s">
        <v>455</v>
      </c>
      <c r="E25" s="79"/>
      <c r="F25" s="78"/>
    </row>
    <row r="26" ht="15.75" customHeight="1">
      <c r="A26" s="78"/>
      <c r="C26" s="78" t="s">
        <v>454</v>
      </c>
      <c r="D26" s="78" t="s">
        <v>456</v>
      </c>
      <c r="F26" s="78"/>
    </row>
    <row r="27" ht="15.75" customHeight="1">
      <c r="A27" s="78"/>
      <c r="C27" s="78" t="s">
        <v>442</v>
      </c>
      <c r="D27" s="78" t="s">
        <v>457</v>
      </c>
      <c r="E27" s="79"/>
      <c r="F27" s="78"/>
    </row>
    <row r="28" ht="15.75" customHeight="1">
      <c r="A28" s="78"/>
      <c r="C28" s="78" t="s">
        <v>458</v>
      </c>
      <c r="D28" s="78" t="s">
        <v>459</v>
      </c>
      <c r="E28" s="79"/>
      <c r="F28" s="78"/>
    </row>
    <row r="29" ht="15.75" customHeight="1">
      <c r="A29" s="78"/>
      <c r="B29" s="78" t="s">
        <v>407</v>
      </c>
      <c r="C29" s="12"/>
      <c r="D29" s="78" t="s">
        <v>460</v>
      </c>
      <c r="F29" s="78"/>
    </row>
    <row r="30" ht="15.75" customHeight="1">
      <c r="A30" s="78"/>
      <c r="B30" s="78" t="s">
        <v>461</v>
      </c>
      <c r="C30" s="78" t="s">
        <v>454</v>
      </c>
      <c r="D30" s="78" t="s">
        <v>462</v>
      </c>
      <c r="E30" s="78"/>
      <c r="F30" s="78"/>
    </row>
    <row r="31" ht="15.75" customHeight="1">
      <c r="A31" s="78"/>
      <c r="B31" s="78" t="s">
        <v>463</v>
      </c>
      <c r="C31" s="78" t="s">
        <v>464</v>
      </c>
      <c r="D31" s="78" t="s">
        <v>465</v>
      </c>
      <c r="E31" s="78"/>
      <c r="F31" s="78"/>
    </row>
    <row r="32" ht="15.75" customHeight="1">
      <c r="A32" s="78"/>
      <c r="B32" s="78" t="s">
        <v>466</v>
      </c>
      <c r="D32" s="78" t="s">
        <v>467</v>
      </c>
      <c r="E32" s="78"/>
      <c r="F32" s="78"/>
    </row>
    <row r="33" ht="15.75" customHeight="1">
      <c r="A33" s="78"/>
      <c r="B33" s="78" t="s">
        <v>468</v>
      </c>
      <c r="D33" s="78"/>
      <c r="E33" s="78"/>
      <c r="F33" s="78"/>
    </row>
    <row r="34" ht="15.75" customHeight="1">
      <c r="A34" s="78"/>
      <c r="B34" s="78" t="s">
        <v>469</v>
      </c>
      <c r="C34" s="78"/>
      <c r="D34" s="78" t="s">
        <v>470</v>
      </c>
      <c r="E34" s="78"/>
      <c r="F34" s="78"/>
    </row>
    <row r="35" ht="15.75" customHeight="1">
      <c r="A35" s="78"/>
      <c r="B35" s="78" t="s">
        <v>471</v>
      </c>
      <c r="C35" s="78"/>
      <c r="D35" s="78" t="s">
        <v>472</v>
      </c>
      <c r="E35" s="78"/>
      <c r="F35" s="78"/>
    </row>
    <row r="36" ht="15.75" customHeight="1">
      <c r="A36" s="78"/>
      <c r="B36" s="78" t="s">
        <v>473</v>
      </c>
      <c r="C36" s="78"/>
      <c r="D36" s="78" t="s">
        <v>474</v>
      </c>
      <c r="E36" s="78"/>
      <c r="F36" s="78"/>
    </row>
    <row r="37" ht="15.75" customHeight="1">
      <c r="A37" s="78"/>
      <c r="B37" s="78" t="s">
        <v>475</v>
      </c>
      <c r="C37" s="78"/>
      <c r="D37" s="78" t="s">
        <v>476</v>
      </c>
      <c r="E37" s="78"/>
      <c r="F37" s="78"/>
    </row>
    <row r="38" ht="15.75" customHeight="1">
      <c r="A38" s="78"/>
      <c r="B38" s="78" t="s">
        <v>477</v>
      </c>
      <c r="D38" s="78" t="s">
        <v>478</v>
      </c>
      <c r="E38" s="78"/>
      <c r="F38" s="78"/>
    </row>
    <row r="39" ht="15.75" customHeight="1">
      <c r="A39" s="78"/>
      <c r="B39" s="78" t="s">
        <v>479</v>
      </c>
      <c r="D39" s="78"/>
      <c r="E39" s="78"/>
      <c r="F39" s="78"/>
    </row>
    <row r="40" ht="15.75" customHeight="1">
      <c r="A40" s="78"/>
      <c r="B40" s="78" t="s">
        <v>480</v>
      </c>
      <c r="D40" s="78"/>
      <c r="E40" s="78"/>
      <c r="F40" s="78"/>
    </row>
    <row r="41" ht="15.75" customHeight="1">
      <c r="A41" s="78"/>
      <c r="B41" s="78"/>
      <c r="D41" s="78"/>
      <c r="E41" s="78"/>
      <c r="F41" s="78"/>
    </row>
    <row r="42" ht="15.75" customHeight="1">
      <c r="A42" s="78"/>
      <c r="B42" s="78"/>
      <c r="C42" s="78" t="s">
        <v>481</v>
      </c>
      <c r="D42" s="78"/>
      <c r="E42" s="78"/>
      <c r="F42" s="78"/>
    </row>
    <row r="43" ht="15.75" customHeight="1">
      <c r="A43" s="78"/>
      <c r="B43" s="78"/>
      <c r="C43" s="78" t="s">
        <v>482</v>
      </c>
      <c r="D43" s="78"/>
      <c r="E43" s="78"/>
      <c r="F43" s="78"/>
    </row>
    <row r="44" ht="15.75" customHeight="1">
      <c r="A44" s="78"/>
      <c r="B44" s="78" t="s">
        <v>483</v>
      </c>
      <c r="D44" s="78"/>
      <c r="E44" s="78"/>
      <c r="F44" s="78"/>
    </row>
    <row r="45" ht="15.75" customHeight="1">
      <c r="A45" s="78"/>
      <c r="B45" s="78"/>
      <c r="C45" s="78"/>
      <c r="D45" s="78"/>
      <c r="E45" s="78"/>
      <c r="F45" s="78"/>
    </row>
    <row r="46" ht="15.75" customHeight="1">
      <c r="A46" s="78"/>
      <c r="B46" s="78"/>
      <c r="C46" s="78" t="s">
        <v>484</v>
      </c>
      <c r="D46" s="78"/>
      <c r="E46" s="78"/>
      <c r="F46" s="78"/>
    </row>
    <row r="47" ht="15.75" customHeight="1">
      <c r="A47" s="78"/>
      <c r="B47" s="78"/>
      <c r="C47" s="78"/>
      <c r="D47" s="78"/>
      <c r="E47" s="78"/>
      <c r="F47" s="78"/>
    </row>
    <row r="48" ht="15.75" customHeight="1">
      <c r="A48" s="78"/>
      <c r="B48" s="78"/>
      <c r="C48" s="78" t="s">
        <v>485</v>
      </c>
      <c r="D48" s="77">
        <v>0.0</v>
      </c>
      <c r="E48" s="78"/>
      <c r="F48" s="78"/>
    </row>
    <row r="49" ht="15.75" customHeight="1">
      <c r="A49" s="78"/>
      <c r="B49" s="78"/>
      <c r="C49" s="78" t="s">
        <v>486</v>
      </c>
      <c r="D49" s="78"/>
      <c r="E49" s="78"/>
      <c r="F49" s="78"/>
    </row>
    <row r="50" ht="15.75" customHeight="1">
      <c r="A50" s="78"/>
      <c r="B50" s="78" t="s">
        <v>487</v>
      </c>
      <c r="C50" s="78" t="s">
        <v>488</v>
      </c>
      <c r="D50" s="78"/>
      <c r="E50" s="78"/>
      <c r="F50" s="78"/>
    </row>
    <row r="51" ht="15.75" customHeight="1">
      <c r="A51" s="78"/>
      <c r="B51" s="78" t="s">
        <v>489</v>
      </c>
      <c r="C51" s="78"/>
      <c r="D51" s="78"/>
      <c r="E51" s="78"/>
      <c r="F51" s="78"/>
    </row>
    <row r="52" ht="15.75" customHeight="1">
      <c r="A52" s="78"/>
      <c r="B52" s="78" t="s">
        <v>490</v>
      </c>
      <c r="C52" s="78"/>
      <c r="D52" s="78"/>
      <c r="E52" s="78"/>
      <c r="F52" s="78"/>
    </row>
    <row r="53" ht="15.75" customHeight="1">
      <c r="A53" s="78"/>
      <c r="B53" s="78" t="s">
        <v>491</v>
      </c>
      <c r="C53" s="77" t="s">
        <v>492</v>
      </c>
      <c r="D53" s="78"/>
      <c r="E53" s="78"/>
      <c r="F53" s="78"/>
    </row>
    <row r="54" ht="15.75" customHeight="1">
      <c r="A54" s="78"/>
      <c r="B54" s="78" t="s">
        <v>493</v>
      </c>
      <c r="C54" s="77" t="s">
        <v>494</v>
      </c>
      <c r="D54" s="78"/>
      <c r="E54" s="78"/>
      <c r="F54" s="78"/>
    </row>
    <row r="55" ht="15.75" customHeight="1">
      <c r="A55" s="78"/>
      <c r="B55" s="78" t="s">
        <v>495</v>
      </c>
      <c r="C55" s="80" t="s">
        <v>496</v>
      </c>
      <c r="D55" s="78"/>
      <c r="E55" s="78"/>
      <c r="F55" s="78"/>
    </row>
    <row r="56" ht="15.75" customHeight="1">
      <c r="A56" s="78"/>
      <c r="B56" s="78" t="s">
        <v>497</v>
      </c>
      <c r="C56" s="80" t="s">
        <v>498</v>
      </c>
      <c r="D56" s="78"/>
      <c r="E56" s="78"/>
      <c r="F56" s="78"/>
    </row>
    <row r="57" ht="15.75" customHeight="1">
      <c r="A57" s="78"/>
      <c r="B57" s="78"/>
      <c r="C57" s="80" t="s">
        <v>499</v>
      </c>
      <c r="D57" s="78"/>
      <c r="E57" s="78"/>
      <c r="F57" s="78"/>
    </row>
    <row r="58" ht="15.75" customHeight="1">
      <c r="A58" s="78"/>
      <c r="B58" s="78"/>
      <c r="C58" s="80" t="s">
        <v>500</v>
      </c>
      <c r="D58" s="78"/>
      <c r="E58" s="78"/>
      <c r="F58" s="78"/>
    </row>
    <row r="59" ht="15.75" customHeight="1">
      <c r="A59" s="78"/>
      <c r="B59" s="78"/>
      <c r="D59" s="78"/>
      <c r="E59" s="78"/>
      <c r="F59" s="78"/>
    </row>
    <row r="60" ht="15.75" customHeight="1">
      <c r="A60" s="78"/>
      <c r="B60" s="78" t="s">
        <v>470</v>
      </c>
      <c r="D60" s="78"/>
      <c r="E60" s="78"/>
      <c r="F60" s="78"/>
    </row>
    <row r="61" ht="15.75" customHeight="1">
      <c r="A61" s="78"/>
      <c r="B61" s="78" t="s">
        <v>472</v>
      </c>
      <c r="D61" s="78"/>
      <c r="E61" s="78"/>
      <c r="F61" s="78"/>
    </row>
    <row r="62" ht="15.75" customHeight="1">
      <c r="A62" s="78"/>
      <c r="B62" s="78" t="s">
        <v>490</v>
      </c>
      <c r="D62" s="78"/>
      <c r="E62" s="78"/>
      <c r="F62" s="78"/>
    </row>
    <row r="63" ht="15.75" customHeight="1">
      <c r="A63" s="78"/>
      <c r="B63" s="78"/>
      <c r="D63" s="78"/>
      <c r="E63" s="78"/>
      <c r="F63" s="78"/>
    </row>
    <row r="64" ht="15.75" customHeight="1">
      <c r="A64" s="78"/>
      <c r="B64" s="78" t="s">
        <v>501</v>
      </c>
      <c r="D64" s="78"/>
      <c r="E64" s="78"/>
      <c r="F64" s="78"/>
    </row>
    <row r="65" ht="15.75" customHeight="1">
      <c r="A65" s="78"/>
      <c r="B65" s="78"/>
      <c r="D65" s="78"/>
      <c r="E65" s="78"/>
      <c r="F65" s="78"/>
    </row>
    <row r="66" ht="15.75" customHeight="1">
      <c r="A66" s="78"/>
      <c r="B66" s="78" t="s">
        <v>491</v>
      </c>
      <c r="D66" s="78"/>
      <c r="E66" s="78"/>
      <c r="F66" s="78"/>
    </row>
    <row r="67" ht="15.75" customHeight="1">
      <c r="A67" s="78"/>
      <c r="B67" s="78" t="s">
        <v>502</v>
      </c>
      <c r="D67" s="78"/>
      <c r="E67" s="78"/>
      <c r="F67" s="78"/>
    </row>
    <row r="68" ht="15.75" customHeight="1">
      <c r="A68" s="78"/>
      <c r="B68" s="78" t="s">
        <v>503</v>
      </c>
      <c r="D68" s="78"/>
      <c r="E68" s="78"/>
      <c r="F68" s="78"/>
    </row>
    <row r="69" ht="15.75" customHeight="1">
      <c r="A69" s="78"/>
      <c r="B69" s="78" t="s">
        <v>476</v>
      </c>
      <c r="D69" s="78"/>
      <c r="E69" s="78"/>
      <c r="F69" s="78"/>
    </row>
    <row r="70" ht="15.75" customHeight="1">
      <c r="A70" s="78"/>
      <c r="B70" s="78" t="s">
        <v>478</v>
      </c>
      <c r="D70" s="78"/>
      <c r="E70" s="78"/>
      <c r="F70" s="78"/>
    </row>
    <row r="71" ht="15.75" customHeight="1">
      <c r="A71" s="78"/>
      <c r="B71" s="78"/>
      <c r="D71" s="78"/>
      <c r="E71" s="78"/>
      <c r="F71" s="78"/>
    </row>
    <row r="72" ht="15.75" customHeight="1">
      <c r="A72" s="78"/>
      <c r="B72" s="77" t="s">
        <v>504</v>
      </c>
      <c r="C72" s="43" t="s">
        <v>505</v>
      </c>
      <c r="D72" s="78"/>
      <c r="E72" s="78"/>
      <c r="F72" s="78"/>
    </row>
    <row r="73" ht="15.75" customHeight="1">
      <c r="A73" s="78"/>
      <c r="B73" s="77" t="s">
        <v>506</v>
      </c>
      <c r="C73" s="43" t="s">
        <v>507</v>
      </c>
      <c r="D73" s="78"/>
      <c r="E73" s="78"/>
      <c r="F73" s="78"/>
    </row>
    <row r="74" ht="15.75" customHeight="1">
      <c r="A74" s="78"/>
      <c r="B74" s="77" t="s">
        <v>508</v>
      </c>
      <c r="C74" s="43" t="s">
        <v>509</v>
      </c>
      <c r="D74" s="78"/>
      <c r="E74" s="78"/>
      <c r="F74" s="78"/>
    </row>
    <row r="75" ht="15.75" customHeight="1">
      <c r="A75" s="78"/>
      <c r="B75" s="43" t="s">
        <v>510</v>
      </c>
      <c r="C75" s="43" t="s">
        <v>511</v>
      </c>
      <c r="D75" s="78"/>
      <c r="E75" s="78"/>
      <c r="F75" s="78"/>
    </row>
    <row r="76" ht="15.75" customHeight="1">
      <c r="A76" s="78"/>
      <c r="B76" s="77" t="s">
        <v>512</v>
      </c>
      <c r="C76" s="43" t="s">
        <v>513</v>
      </c>
      <c r="D76" s="78"/>
      <c r="E76" s="78"/>
      <c r="F76" s="78"/>
    </row>
    <row r="77" ht="15.75" customHeight="1">
      <c r="A77" s="78"/>
      <c r="B77" s="43" t="s">
        <v>514</v>
      </c>
      <c r="C77" s="43" t="s">
        <v>515</v>
      </c>
      <c r="D77" s="78"/>
      <c r="E77" s="78"/>
      <c r="F77" s="78"/>
    </row>
    <row r="78" ht="15.75" customHeight="1">
      <c r="A78" s="78"/>
      <c r="B78" s="77" t="s">
        <v>516</v>
      </c>
      <c r="C78" s="43" t="s">
        <v>517</v>
      </c>
      <c r="D78" s="78"/>
      <c r="E78" s="78"/>
      <c r="F78" s="78"/>
    </row>
    <row r="79" ht="15.75" customHeight="1">
      <c r="A79" s="78"/>
      <c r="B79" s="43" t="s">
        <v>518</v>
      </c>
      <c r="C79" s="43" t="s">
        <v>519</v>
      </c>
      <c r="D79" s="78"/>
      <c r="E79" s="78"/>
      <c r="F79" s="78"/>
    </row>
    <row r="80" ht="15.75" customHeight="1">
      <c r="A80" s="78"/>
      <c r="B80" s="77" t="s">
        <v>520</v>
      </c>
      <c r="C80" s="43" t="s">
        <v>521</v>
      </c>
      <c r="D80" s="78"/>
      <c r="E80" s="78"/>
      <c r="F80" s="78"/>
    </row>
    <row r="81" ht="15.75" customHeight="1">
      <c r="A81" s="78"/>
      <c r="B81" s="43" t="s">
        <v>522</v>
      </c>
      <c r="C81" s="43" t="s">
        <v>523</v>
      </c>
      <c r="D81" s="78"/>
      <c r="E81" s="78"/>
      <c r="F81" s="78"/>
    </row>
    <row r="82" ht="15.75" customHeight="1">
      <c r="A82" s="78"/>
      <c r="B82" s="77" t="s">
        <v>514</v>
      </c>
      <c r="C82" s="43" t="s">
        <v>515</v>
      </c>
      <c r="D82" s="78"/>
      <c r="E82" s="78"/>
      <c r="F82" s="78"/>
    </row>
    <row r="83" ht="15.75" customHeight="1">
      <c r="A83" s="78"/>
      <c r="B83" s="43" t="s">
        <v>516</v>
      </c>
      <c r="C83" s="43" t="s">
        <v>517</v>
      </c>
      <c r="D83" s="78"/>
      <c r="E83" s="78"/>
      <c r="F83" s="78"/>
    </row>
    <row r="84" ht="15.75" customHeight="1">
      <c r="A84" s="78"/>
      <c r="B84" s="77" t="s">
        <v>524</v>
      </c>
      <c r="C84" s="77" t="s">
        <v>525</v>
      </c>
      <c r="D84" s="78"/>
      <c r="E84" s="78"/>
      <c r="F84" s="78"/>
    </row>
    <row r="85" ht="15.75" customHeight="1">
      <c r="A85" s="78"/>
      <c r="B85" s="43" t="s">
        <v>526</v>
      </c>
      <c r="C85" s="77" t="s">
        <v>527</v>
      </c>
      <c r="D85" s="78"/>
      <c r="E85" s="78"/>
      <c r="F85" s="78"/>
    </row>
    <row r="86" ht="15.75" customHeight="1">
      <c r="A86" s="78"/>
      <c r="B86" s="77" t="s">
        <v>528</v>
      </c>
      <c r="C86" s="77" t="s">
        <v>529</v>
      </c>
      <c r="D86" s="78"/>
      <c r="E86" s="78"/>
      <c r="F86" s="78"/>
    </row>
    <row r="87" ht="15.75" customHeight="1">
      <c r="A87" s="78"/>
      <c r="B87" s="43" t="s">
        <v>504</v>
      </c>
      <c r="C87" s="77" t="s">
        <v>505</v>
      </c>
      <c r="D87" s="78"/>
      <c r="E87" s="78"/>
      <c r="F87" s="78"/>
    </row>
    <row r="88" ht="15.75" customHeight="1">
      <c r="A88" s="78"/>
      <c r="B88" s="43" t="s">
        <v>506</v>
      </c>
      <c r="C88" s="77" t="s">
        <v>507</v>
      </c>
      <c r="D88" s="78"/>
      <c r="E88" s="78"/>
      <c r="F88" s="78"/>
    </row>
    <row r="89" ht="15.75" customHeight="1">
      <c r="A89" s="78"/>
      <c r="B89" s="43" t="s">
        <v>508</v>
      </c>
      <c r="C89" s="77" t="s">
        <v>509</v>
      </c>
      <c r="D89" s="78"/>
      <c r="E89" s="78"/>
      <c r="F89" s="78"/>
    </row>
    <row r="90" ht="15.75" customHeight="1">
      <c r="A90" s="78"/>
      <c r="B90" s="77" t="s">
        <v>510</v>
      </c>
      <c r="C90" s="77" t="s">
        <v>511</v>
      </c>
      <c r="D90" s="78"/>
      <c r="E90" s="78"/>
      <c r="F90" s="78"/>
    </row>
    <row r="91" ht="15.75" customHeight="1">
      <c r="A91" s="78"/>
      <c r="B91" s="43" t="s">
        <v>512</v>
      </c>
      <c r="C91" s="77" t="s">
        <v>513</v>
      </c>
      <c r="D91" s="78"/>
      <c r="E91" s="78"/>
      <c r="F91" s="78"/>
    </row>
    <row r="92" ht="15.75" customHeight="1">
      <c r="A92" s="78"/>
      <c r="B92" s="78"/>
      <c r="C92" s="78"/>
      <c r="D92" s="78"/>
      <c r="E92" s="78"/>
      <c r="F92" s="78"/>
    </row>
    <row r="93" ht="15.75" customHeight="1">
      <c r="A93" s="78"/>
      <c r="B93" s="78"/>
      <c r="C93" s="78"/>
      <c r="D93" s="78"/>
      <c r="E93" s="78"/>
      <c r="F93" s="78"/>
    </row>
    <row r="94" ht="15.75" customHeight="1">
      <c r="A94" s="78"/>
      <c r="B94" s="78"/>
      <c r="C94" s="78"/>
      <c r="D94" s="78"/>
      <c r="E94" s="78"/>
      <c r="F94" s="78"/>
    </row>
    <row r="95" ht="15.75" customHeight="1">
      <c r="A95" s="78"/>
      <c r="B95" s="78"/>
      <c r="C95" s="78"/>
      <c r="D95" s="78"/>
      <c r="E95" s="78"/>
      <c r="F95" s="78"/>
    </row>
    <row r="96" ht="15.75" customHeight="1">
      <c r="A96" s="78"/>
      <c r="B96" s="78"/>
      <c r="C96" s="78"/>
      <c r="D96" s="78"/>
      <c r="E96" s="78"/>
      <c r="F96" s="78"/>
    </row>
    <row r="97" ht="15.75" customHeight="1">
      <c r="A97" s="78"/>
      <c r="B97" s="78"/>
      <c r="C97" s="78"/>
      <c r="D97" s="78"/>
      <c r="E97" s="78"/>
      <c r="F97" s="78"/>
    </row>
    <row r="98" ht="15.75" customHeight="1">
      <c r="A98" s="78"/>
      <c r="B98" s="78"/>
      <c r="C98" s="78"/>
      <c r="D98" s="78"/>
      <c r="E98" s="78"/>
      <c r="F98" s="78"/>
    </row>
    <row r="99" ht="15.75" customHeight="1">
      <c r="A99" s="78"/>
      <c r="B99" s="78"/>
      <c r="D99" s="78"/>
      <c r="E99" s="78"/>
      <c r="F99" s="78"/>
    </row>
    <row r="100" ht="15.75" customHeight="1">
      <c r="A100" s="78"/>
      <c r="B100" s="78"/>
      <c r="D100" s="78"/>
      <c r="E100" s="78"/>
      <c r="F100" s="78"/>
    </row>
    <row r="101" ht="15.75" customHeight="1">
      <c r="A101" s="78"/>
      <c r="B101" s="78"/>
      <c r="D101" s="78"/>
      <c r="E101" s="78"/>
      <c r="F101" s="78"/>
    </row>
    <row r="102" ht="15.75" customHeight="1">
      <c r="A102" s="78"/>
      <c r="B102" s="78"/>
      <c r="D102" s="78"/>
      <c r="E102" s="78"/>
      <c r="F102" s="78"/>
    </row>
    <row r="103" ht="15.75" customHeight="1">
      <c r="A103" s="78"/>
      <c r="B103" s="78"/>
      <c r="D103" s="78"/>
      <c r="E103" s="78"/>
      <c r="F103" s="78"/>
    </row>
    <row r="104" ht="15.75" customHeight="1">
      <c r="A104" s="78"/>
      <c r="B104" s="78"/>
      <c r="D104" s="78"/>
      <c r="E104" s="78"/>
      <c r="F104" s="78"/>
    </row>
    <row r="105" ht="15.75" customHeight="1">
      <c r="A105" s="78"/>
      <c r="B105" s="78"/>
      <c r="D105" s="78"/>
      <c r="E105" s="78"/>
      <c r="F105" s="78"/>
    </row>
    <row r="106" ht="15.75" customHeight="1">
      <c r="A106" s="78"/>
      <c r="B106" s="78"/>
      <c r="C106" s="78"/>
      <c r="D106" s="78"/>
      <c r="E106" s="78"/>
      <c r="F106" s="78"/>
    </row>
    <row r="107" ht="15.75" customHeight="1">
      <c r="A107" s="78"/>
      <c r="B107" s="78"/>
      <c r="D107" s="78"/>
      <c r="E107" s="78"/>
      <c r="F107" s="78"/>
    </row>
    <row r="108" ht="15.75" customHeight="1">
      <c r="A108" s="78"/>
      <c r="B108" s="78"/>
      <c r="C108" s="78"/>
      <c r="D108" s="78"/>
      <c r="E108" s="78"/>
      <c r="F108" s="78"/>
    </row>
    <row r="109" ht="15.75" customHeight="1">
      <c r="A109" s="78"/>
      <c r="B109" s="78"/>
      <c r="D109" s="78"/>
      <c r="E109" s="78"/>
      <c r="F109" s="78"/>
    </row>
    <row r="110" ht="15.75" customHeight="1">
      <c r="A110" s="78"/>
      <c r="B110" s="78"/>
      <c r="C110" s="78"/>
      <c r="D110" s="78"/>
      <c r="E110" s="78"/>
      <c r="F110" s="78"/>
    </row>
    <row r="111" ht="15.75" customHeight="1">
      <c r="A111" s="78"/>
      <c r="B111" s="78"/>
      <c r="D111" s="78"/>
      <c r="E111" s="78"/>
      <c r="F111" s="78"/>
    </row>
    <row r="112" ht="15.75" customHeight="1">
      <c r="A112" s="78"/>
      <c r="B112" s="78"/>
      <c r="C112" s="78"/>
      <c r="D112" s="78"/>
      <c r="E112" s="78"/>
      <c r="F112" s="78"/>
    </row>
    <row r="113" ht="15.75" customHeight="1">
      <c r="A113" s="78"/>
      <c r="B113" s="78"/>
      <c r="C113" s="78"/>
      <c r="D113" s="78"/>
      <c r="E113" s="78"/>
      <c r="F113" s="78"/>
    </row>
    <row r="114" ht="15.75" customHeight="1">
      <c r="A114" s="78"/>
      <c r="B114" s="78"/>
      <c r="C114" s="78"/>
      <c r="D114" s="78"/>
      <c r="E114" s="78"/>
      <c r="F114" s="78"/>
    </row>
    <row r="115" ht="15.75" customHeight="1">
      <c r="A115" s="78"/>
      <c r="B115" s="78"/>
      <c r="C115" s="78"/>
      <c r="D115" s="78"/>
      <c r="E115" s="78"/>
      <c r="F115" s="78"/>
    </row>
    <row r="116" ht="15.75" customHeight="1">
      <c r="A116" s="78"/>
      <c r="B116" s="78"/>
      <c r="C116" s="78"/>
      <c r="D116" s="78"/>
      <c r="E116" s="78"/>
      <c r="F116" s="78"/>
    </row>
    <row r="117" ht="15.75" customHeight="1">
      <c r="A117" s="78"/>
      <c r="B117" s="78"/>
      <c r="C117" s="78"/>
      <c r="D117" s="78"/>
      <c r="E117" s="78"/>
      <c r="F117" s="78"/>
    </row>
    <row r="118" ht="15.75" customHeight="1">
      <c r="A118" s="78"/>
      <c r="B118" s="78"/>
      <c r="C118" s="78"/>
      <c r="D118" s="78"/>
      <c r="E118" s="78"/>
      <c r="F118" s="78"/>
    </row>
    <row r="119" ht="15.75" customHeight="1">
      <c r="A119" s="78"/>
      <c r="B119" s="78"/>
      <c r="C119" s="78"/>
      <c r="D119" s="78"/>
      <c r="E119" s="78"/>
      <c r="F119" s="78"/>
    </row>
    <row r="120" ht="15.75" customHeight="1">
      <c r="A120" s="78"/>
      <c r="B120" s="78"/>
      <c r="C120" s="78"/>
      <c r="D120" s="78"/>
      <c r="E120" s="78"/>
      <c r="F120" s="78"/>
    </row>
    <row r="121" ht="15.75" customHeight="1">
      <c r="A121" s="78"/>
      <c r="B121" s="78"/>
      <c r="C121" s="78"/>
      <c r="D121" s="78"/>
      <c r="E121" s="78"/>
      <c r="F121" s="78"/>
    </row>
    <row r="122" ht="15.75" customHeight="1">
      <c r="A122" s="78"/>
      <c r="B122" s="78"/>
      <c r="C122" s="78"/>
      <c r="D122" s="78"/>
      <c r="E122" s="78"/>
      <c r="F122" s="78"/>
    </row>
    <row r="123" ht="15.75" customHeight="1">
      <c r="A123" s="78"/>
      <c r="B123" s="78"/>
      <c r="C123" s="78"/>
      <c r="D123" s="78"/>
      <c r="E123" s="78"/>
      <c r="F123" s="78"/>
    </row>
    <row r="124" ht="15.75" customHeight="1">
      <c r="A124" s="78"/>
      <c r="B124" s="78"/>
      <c r="C124" s="77" t="s">
        <v>530</v>
      </c>
      <c r="D124" s="78"/>
      <c r="E124" s="78"/>
      <c r="F124" s="78"/>
    </row>
    <row r="125" ht="15.75" customHeight="1">
      <c r="A125" s="78"/>
      <c r="B125" s="78"/>
      <c r="C125" s="78"/>
      <c r="D125" s="78"/>
      <c r="E125" s="78"/>
      <c r="F125" s="78"/>
    </row>
    <row r="126" ht="15.75" customHeight="1">
      <c r="A126" s="78"/>
      <c r="B126" s="78"/>
      <c r="C126" s="77" t="s">
        <v>531</v>
      </c>
      <c r="D126" s="78"/>
      <c r="E126" s="78"/>
      <c r="F126" s="78"/>
    </row>
    <row r="127" ht="15.75" customHeight="1">
      <c r="A127" s="78"/>
      <c r="B127" s="78"/>
      <c r="C127" s="78"/>
      <c r="D127" s="78"/>
      <c r="E127" s="78"/>
      <c r="F127" s="78"/>
    </row>
    <row r="128" ht="15.75" customHeight="1">
      <c r="A128" s="78"/>
      <c r="B128" s="78"/>
      <c r="C128" s="77" t="s">
        <v>532</v>
      </c>
      <c r="D128" s="78"/>
      <c r="E128" s="78"/>
      <c r="F128" s="78"/>
    </row>
    <row r="129" ht="15.75" customHeight="1">
      <c r="A129" s="78"/>
      <c r="B129" s="78"/>
      <c r="C129" s="78"/>
      <c r="D129" s="78"/>
      <c r="E129" s="78"/>
      <c r="F129" s="78"/>
    </row>
    <row r="130" ht="15.75" customHeight="1">
      <c r="A130" s="78"/>
      <c r="B130" s="78"/>
      <c r="C130" s="77" t="s">
        <v>533</v>
      </c>
      <c r="D130" s="78"/>
      <c r="E130" s="78"/>
      <c r="F130" s="78"/>
    </row>
    <row r="131" ht="15.75" customHeight="1">
      <c r="A131" s="78"/>
      <c r="B131" s="78"/>
      <c r="C131" s="78"/>
      <c r="D131" s="78"/>
      <c r="E131" s="78"/>
      <c r="F131" s="78"/>
    </row>
    <row r="132" ht="15.75" customHeight="1">
      <c r="A132" s="78"/>
      <c r="B132" s="78"/>
      <c r="C132" s="77" t="s">
        <v>534</v>
      </c>
      <c r="D132" s="78"/>
      <c r="E132" s="78"/>
      <c r="F132" s="78"/>
    </row>
    <row r="133" ht="15.75" customHeight="1">
      <c r="A133" s="78"/>
      <c r="B133" s="78"/>
      <c r="C133" s="78"/>
      <c r="D133" s="78"/>
      <c r="E133" s="78"/>
      <c r="F133" s="78"/>
    </row>
    <row r="134" ht="15.75" customHeight="1">
      <c r="A134" s="78"/>
      <c r="B134" s="78"/>
      <c r="C134" s="77" t="s">
        <v>535</v>
      </c>
      <c r="D134" s="78"/>
      <c r="E134" s="78"/>
      <c r="F134" s="78"/>
    </row>
    <row r="135" ht="15.75" customHeight="1">
      <c r="A135" s="78"/>
      <c r="B135" s="78"/>
      <c r="C135" s="78"/>
      <c r="D135" s="78"/>
      <c r="E135" s="78"/>
      <c r="F135" s="78"/>
    </row>
    <row r="136" ht="15.75" customHeight="1">
      <c r="A136" s="78"/>
      <c r="B136" s="78"/>
      <c r="C136" s="78"/>
      <c r="D136" s="78"/>
      <c r="E136" s="78"/>
      <c r="F136" s="78"/>
    </row>
    <row r="137" ht="15.75" customHeight="1">
      <c r="A137" s="78"/>
      <c r="B137" s="78"/>
      <c r="C137" s="78"/>
      <c r="D137" s="78"/>
      <c r="E137" s="78"/>
      <c r="F137" s="78"/>
    </row>
    <row r="138" ht="15.75" customHeight="1">
      <c r="A138" s="78"/>
      <c r="B138" s="78"/>
      <c r="C138" s="77" t="s">
        <v>536</v>
      </c>
      <c r="D138" s="78"/>
      <c r="E138" s="78"/>
      <c r="F138" s="78"/>
    </row>
    <row r="139" ht="15.75" customHeight="1">
      <c r="A139" s="78"/>
      <c r="B139" s="78"/>
      <c r="C139" s="78"/>
      <c r="D139" s="78"/>
      <c r="E139" s="78"/>
      <c r="F139" s="78"/>
    </row>
    <row r="140" ht="15.75" customHeight="1">
      <c r="A140" s="78"/>
      <c r="B140" s="78"/>
      <c r="C140" s="77" t="s">
        <v>537</v>
      </c>
      <c r="D140" s="78"/>
      <c r="E140" s="78"/>
      <c r="F140" s="78"/>
    </row>
    <row r="141" ht="15.75" customHeight="1">
      <c r="A141" s="78"/>
      <c r="B141" s="78"/>
      <c r="C141" s="78"/>
      <c r="D141" s="78"/>
      <c r="E141" s="78"/>
      <c r="F141" s="78"/>
    </row>
    <row r="142" ht="15.75" customHeight="1">
      <c r="A142" s="78"/>
      <c r="B142" s="78"/>
      <c r="C142" s="77" t="s">
        <v>538</v>
      </c>
      <c r="D142" s="78"/>
      <c r="E142" s="78"/>
      <c r="F142" s="78"/>
    </row>
    <row r="143" ht="15.75" customHeight="1">
      <c r="A143" s="78"/>
      <c r="B143" s="78"/>
      <c r="C143" s="78"/>
      <c r="D143" s="78"/>
      <c r="E143" s="78"/>
      <c r="F143" s="78"/>
    </row>
    <row r="144" ht="15.75" customHeight="1">
      <c r="A144" s="78"/>
      <c r="B144" s="78"/>
      <c r="C144" s="77" t="s">
        <v>539</v>
      </c>
      <c r="D144" s="78"/>
      <c r="E144" s="78"/>
      <c r="F144" s="78"/>
    </row>
    <row r="145" ht="15.75" customHeight="1">
      <c r="A145" s="78"/>
      <c r="B145" s="78"/>
      <c r="C145" s="78"/>
      <c r="D145" s="78"/>
      <c r="E145" s="78"/>
      <c r="F145" s="78"/>
    </row>
    <row r="146" ht="15.75" customHeight="1">
      <c r="A146" s="78"/>
      <c r="B146" s="78"/>
      <c r="C146" s="77" t="s">
        <v>540</v>
      </c>
      <c r="D146" s="78"/>
      <c r="E146" s="78"/>
      <c r="F146" s="78"/>
    </row>
    <row r="147" ht="15.75" customHeight="1">
      <c r="A147" s="78"/>
      <c r="B147" s="78"/>
      <c r="C147" s="78"/>
      <c r="D147" s="78"/>
      <c r="E147" s="78"/>
      <c r="F147" s="78"/>
    </row>
    <row r="148" ht="15.75" customHeight="1">
      <c r="A148" s="78"/>
      <c r="B148" s="78"/>
      <c r="C148" s="77" t="s">
        <v>541</v>
      </c>
      <c r="D148" s="78"/>
      <c r="E148" s="78"/>
      <c r="F148" s="78"/>
    </row>
    <row r="149" ht="15.75" customHeight="1">
      <c r="A149" s="78"/>
      <c r="B149" s="78"/>
      <c r="C149" s="78"/>
      <c r="D149" s="78"/>
      <c r="E149" s="78"/>
      <c r="F149" s="78"/>
    </row>
    <row r="150" ht="15.75" customHeight="1">
      <c r="A150" s="78"/>
      <c r="B150" s="78"/>
      <c r="C150" s="78"/>
      <c r="D150" s="78"/>
      <c r="E150" s="78"/>
      <c r="F150" s="78"/>
    </row>
    <row r="151" ht="15.75" customHeight="1">
      <c r="A151" s="78"/>
      <c r="B151" s="78"/>
      <c r="C151" s="78"/>
      <c r="D151" s="78"/>
      <c r="E151" s="78"/>
      <c r="F151" s="78"/>
    </row>
    <row r="152" ht="15.75" customHeight="1">
      <c r="A152" s="78"/>
      <c r="B152" s="78"/>
      <c r="C152" s="77" t="s">
        <v>542</v>
      </c>
      <c r="D152" s="78"/>
      <c r="E152" s="78"/>
      <c r="F152" s="78"/>
    </row>
    <row r="153" ht="15.75" customHeight="1">
      <c r="A153" s="78"/>
      <c r="B153" s="78"/>
      <c r="C153" s="78"/>
      <c r="D153" s="78"/>
      <c r="E153" s="78"/>
      <c r="F153" s="78"/>
    </row>
    <row r="154" ht="15.75" customHeight="1">
      <c r="A154" s="78"/>
      <c r="B154" s="78"/>
      <c r="C154" s="77" t="s">
        <v>543</v>
      </c>
      <c r="D154" s="78"/>
      <c r="E154" s="78"/>
      <c r="F154" s="78"/>
    </row>
    <row r="155" ht="15.75" customHeight="1">
      <c r="A155" s="78"/>
      <c r="B155" s="78"/>
      <c r="C155" s="78"/>
      <c r="D155" s="78"/>
      <c r="E155" s="78"/>
      <c r="F155" s="78"/>
    </row>
    <row r="156" ht="15.75" customHeight="1">
      <c r="A156" s="78"/>
      <c r="B156" s="78"/>
      <c r="C156" s="77" t="s">
        <v>544</v>
      </c>
      <c r="D156" s="78"/>
      <c r="E156" s="78"/>
      <c r="F156" s="78"/>
    </row>
    <row r="157" ht="15.75" customHeight="1">
      <c r="A157" s="78"/>
      <c r="B157" s="78"/>
      <c r="C157" s="78"/>
      <c r="D157" s="78"/>
      <c r="E157" s="78"/>
      <c r="F157" s="78"/>
    </row>
    <row r="158" ht="15.75" customHeight="1">
      <c r="A158" s="78"/>
      <c r="B158" s="78"/>
      <c r="C158" s="77" t="s">
        <v>545</v>
      </c>
      <c r="D158" s="78"/>
      <c r="E158" s="78"/>
      <c r="F158" s="78"/>
    </row>
    <row r="159" ht="15.75" customHeight="1">
      <c r="A159" s="78"/>
      <c r="B159" s="78"/>
      <c r="C159" s="78"/>
      <c r="D159" s="78"/>
      <c r="E159" s="78"/>
      <c r="F159" s="78"/>
    </row>
    <row r="160" ht="15.75" customHeight="1">
      <c r="A160" s="78"/>
      <c r="B160" s="78"/>
      <c r="C160" s="77" t="s">
        <v>546</v>
      </c>
      <c r="D160" s="78"/>
      <c r="E160" s="78"/>
      <c r="F160" s="78"/>
    </row>
    <row r="161" ht="15.75" customHeight="1">
      <c r="A161" s="78"/>
      <c r="B161" s="78"/>
      <c r="C161" s="78"/>
      <c r="D161" s="78"/>
      <c r="E161" s="78"/>
      <c r="F161" s="78"/>
    </row>
    <row r="162" ht="15.75" customHeight="1">
      <c r="A162" s="78"/>
      <c r="B162" s="78"/>
      <c r="C162" s="77" t="s">
        <v>547</v>
      </c>
      <c r="D162" s="78"/>
      <c r="E162" s="78"/>
      <c r="F162" s="78"/>
    </row>
    <row r="163" ht="15.75" customHeight="1">
      <c r="A163" s="78"/>
      <c r="B163" s="78"/>
      <c r="C163" s="78"/>
      <c r="D163" s="78"/>
      <c r="E163" s="78"/>
      <c r="F163" s="78"/>
    </row>
    <row r="164" ht="15.75" customHeight="1">
      <c r="A164" s="78"/>
      <c r="B164" s="78"/>
      <c r="C164" s="78"/>
      <c r="D164" s="78"/>
      <c r="E164" s="78"/>
      <c r="F164" s="78"/>
    </row>
    <row r="165" ht="15.75" customHeight="1">
      <c r="A165" s="78"/>
      <c r="B165" s="78"/>
      <c r="C165" s="78"/>
      <c r="D165" s="78"/>
      <c r="E165" s="78"/>
      <c r="F165" s="78"/>
    </row>
    <row r="166" ht="15.75" customHeight="1">
      <c r="A166" s="78"/>
      <c r="B166" s="78"/>
      <c r="C166" s="77" t="s">
        <v>548</v>
      </c>
      <c r="D166" s="78"/>
      <c r="E166" s="78"/>
      <c r="F166" s="78"/>
    </row>
    <row r="167" ht="15.75" customHeight="1">
      <c r="A167" s="78"/>
      <c r="B167" s="78"/>
      <c r="C167" s="78"/>
      <c r="D167" s="78"/>
      <c r="E167" s="78"/>
      <c r="F167" s="78"/>
    </row>
    <row r="168" ht="15.75" customHeight="1">
      <c r="A168" s="78"/>
      <c r="B168" s="78"/>
      <c r="C168" s="77" t="s">
        <v>549</v>
      </c>
      <c r="D168" s="78"/>
      <c r="E168" s="78"/>
      <c r="F168" s="78"/>
    </row>
    <row r="169" ht="15.75" customHeight="1">
      <c r="A169" s="78"/>
      <c r="B169" s="78"/>
      <c r="C169" s="78"/>
      <c r="D169" s="77" t="s">
        <v>550</v>
      </c>
      <c r="E169" s="78"/>
      <c r="F169" s="78"/>
    </row>
    <row r="170" ht="15.75" customHeight="1">
      <c r="A170" s="78"/>
      <c r="B170" s="78"/>
      <c r="C170" s="77" t="s">
        <v>551</v>
      </c>
      <c r="D170" s="77" t="s">
        <v>550</v>
      </c>
      <c r="E170" s="78"/>
      <c r="F170" s="78"/>
    </row>
    <row r="171" ht="15.75" customHeight="1">
      <c r="A171" s="78"/>
      <c r="B171" s="78"/>
      <c r="C171" s="78"/>
      <c r="D171" s="78"/>
      <c r="E171" s="78"/>
      <c r="F171" s="78"/>
    </row>
    <row r="172" ht="15.75" customHeight="1">
      <c r="A172" s="78"/>
      <c r="B172" s="78"/>
      <c r="C172" s="77" t="s">
        <v>552</v>
      </c>
      <c r="D172" s="78"/>
      <c r="E172" s="78"/>
      <c r="F172" s="78"/>
    </row>
    <row r="173" ht="15.75" customHeight="1">
      <c r="A173" s="78"/>
      <c r="B173" s="78"/>
      <c r="C173" s="78"/>
      <c r="D173" s="78"/>
      <c r="E173" s="78"/>
      <c r="F173" s="78"/>
    </row>
    <row r="174" ht="15.75" customHeight="1">
      <c r="A174" s="78"/>
      <c r="B174" s="78"/>
      <c r="C174" s="77" t="s">
        <v>553</v>
      </c>
      <c r="D174" s="78"/>
      <c r="E174" s="78"/>
      <c r="F174" s="78"/>
    </row>
    <row r="175" ht="15.75" customHeight="1">
      <c r="A175" s="78"/>
      <c r="B175" s="78"/>
      <c r="C175" s="77" t="s">
        <v>554</v>
      </c>
      <c r="D175" s="78"/>
      <c r="E175" s="78"/>
      <c r="F175" s="78"/>
    </row>
    <row r="176" ht="15.75" customHeight="1">
      <c r="A176" s="78"/>
      <c r="B176" s="78"/>
      <c r="C176" s="78"/>
      <c r="D176" s="78"/>
      <c r="E176" s="78"/>
      <c r="F176" s="78"/>
    </row>
    <row r="177" ht="15.75" customHeight="1">
      <c r="A177" s="78"/>
      <c r="B177" s="78"/>
      <c r="C177" s="78"/>
      <c r="D177" s="78"/>
      <c r="E177" s="78"/>
      <c r="F177" s="78"/>
    </row>
    <row r="178" ht="15.75" customHeight="1">
      <c r="A178" s="78"/>
      <c r="B178" s="78"/>
      <c r="C178" s="78"/>
      <c r="D178" s="78"/>
      <c r="E178" s="78"/>
      <c r="F178" s="78"/>
    </row>
    <row r="179" ht="15.75" customHeight="1">
      <c r="A179" s="78"/>
      <c r="B179" s="78"/>
      <c r="C179" s="77" t="s">
        <v>555</v>
      </c>
      <c r="D179" s="78"/>
      <c r="E179" s="78"/>
      <c r="F179" s="78"/>
    </row>
    <row r="180" ht="15.75" customHeight="1">
      <c r="A180" s="78"/>
      <c r="B180" s="78"/>
      <c r="C180" s="77" t="s">
        <v>556</v>
      </c>
      <c r="D180" s="78"/>
      <c r="E180" s="78"/>
      <c r="F180" s="78"/>
    </row>
    <row r="181" ht="15.75" customHeight="1">
      <c r="A181" s="78"/>
      <c r="B181" s="78"/>
      <c r="C181" s="77" t="s">
        <v>557</v>
      </c>
      <c r="D181" s="78"/>
      <c r="E181" s="78"/>
      <c r="F181" s="78"/>
    </row>
    <row r="182" ht="15.75" customHeight="1">
      <c r="A182" s="78"/>
      <c r="B182" s="78"/>
      <c r="C182" s="78"/>
      <c r="D182" s="78"/>
      <c r="E182" s="78"/>
      <c r="F182" s="78"/>
    </row>
    <row r="183" ht="15.75" customHeight="1">
      <c r="A183" s="78"/>
      <c r="B183" s="78"/>
      <c r="C183" s="77" t="s">
        <v>558</v>
      </c>
      <c r="D183" s="78"/>
      <c r="E183" s="78"/>
      <c r="F183" s="78"/>
    </row>
    <row r="184" ht="15.75" customHeight="1">
      <c r="A184" s="78"/>
      <c r="B184" s="78"/>
      <c r="C184" s="78"/>
      <c r="D184" s="78"/>
      <c r="E184" s="78"/>
      <c r="F184" s="78"/>
    </row>
    <row r="185" ht="15.75" customHeight="1">
      <c r="A185" s="78"/>
      <c r="B185" s="78"/>
      <c r="C185" s="77" t="s">
        <v>559</v>
      </c>
      <c r="D185" s="78"/>
      <c r="E185" s="78"/>
      <c r="F185" s="78"/>
    </row>
    <row r="186" ht="15.75" customHeight="1">
      <c r="A186" s="78"/>
      <c r="B186" s="78"/>
      <c r="C186" s="78"/>
      <c r="D186" s="78"/>
      <c r="E186" s="78"/>
      <c r="F186" s="78"/>
    </row>
    <row r="187" ht="15.75" customHeight="1">
      <c r="A187" s="78"/>
      <c r="B187" s="78"/>
      <c r="C187" s="77" t="s">
        <v>560</v>
      </c>
      <c r="D187" s="78"/>
      <c r="E187" s="78"/>
      <c r="F187" s="78"/>
    </row>
    <row r="188" ht="15.75" customHeight="1">
      <c r="A188" s="78"/>
      <c r="B188" s="78"/>
      <c r="C188" s="78"/>
      <c r="D188" s="78"/>
      <c r="E188" s="78"/>
      <c r="F188" s="78"/>
    </row>
    <row r="189" ht="15.75" customHeight="1">
      <c r="A189" s="78"/>
      <c r="B189" s="78"/>
      <c r="C189" s="77" t="s">
        <v>561</v>
      </c>
      <c r="D189" s="78"/>
      <c r="E189" s="78"/>
      <c r="F189" s="78"/>
    </row>
    <row r="190" ht="15.75" customHeight="1">
      <c r="A190" s="78"/>
      <c r="B190" s="78"/>
      <c r="C190" s="78"/>
      <c r="D190" s="78"/>
      <c r="E190" s="78"/>
      <c r="F190" s="78"/>
    </row>
    <row r="191" ht="15.75" customHeight="1">
      <c r="A191" s="78"/>
      <c r="B191" s="78"/>
      <c r="C191" s="78"/>
      <c r="D191" s="78"/>
      <c r="E191" s="78"/>
      <c r="F191" s="78"/>
    </row>
    <row r="192" ht="15.75" customHeight="1">
      <c r="A192" s="78"/>
      <c r="B192" s="78"/>
      <c r="C192" s="77" t="s">
        <v>562</v>
      </c>
      <c r="D192" s="78"/>
      <c r="E192" s="78"/>
      <c r="F192" s="78"/>
    </row>
    <row r="193" ht="15.75" customHeight="1">
      <c r="A193" s="78"/>
      <c r="B193" s="78"/>
      <c r="C193" s="77" t="s">
        <v>563</v>
      </c>
      <c r="D193" s="78"/>
      <c r="E193" s="78"/>
      <c r="F193" s="78"/>
    </row>
    <row r="194" ht="15.75" customHeight="1">
      <c r="A194" s="78"/>
      <c r="B194" s="78"/>
      <c r="C194" s="77" t="s">
        <v>564</v>
      </c>
      <c r="D194" s="78"/>
      <c r="E194" s="78"/>
      <c r="F194" s="78"/>
    </row>
    <row r="195" ht="15.75" customHeight="1">
      <c r="A195" s="78"/>
      <c r="B195" s="78"/>
      <c r="C195" s="77" t="s">
        <v>565</v>
      </c>
      <c r="D195" s="78"/>
      <c r="E195" s="78"/>
      <c r="F195" s="78"/>
    </row>
    <row r="196" ht="15.75" customHeight="1">
      <c r="A196" s="78"/>
      <c r="B196" s="78"/>
      <c r="C196" s="78"/>
      <c r="D196" s="78"/>
      <c r="E196" s="78"/>
      <c r="F196" s="78"/>
    </row>
    <row r="197" ht="15.75" customHeight="1">
      <c r="A197" s="78"/>
      <c r="B197" s="78"/>
      <c r="C197" s="77" t="s">
        <v>566</v>
      </c>
      <c r="D197" s="78"/>
      <c r="E197" s="78"/>
      <c r="F197" s="78"/>
    </row>
    <row r="198" ht="15.75" customHeight="1">
      <c r="A198" s="78"/>
      <c r="B198" s="78"/>
      <c r="C198" s="77" t="s">
        <v>567</v>
      </c>
      <c r="D198" s="78"/>
      <c r="E198" s="78"/>
      <c r="F198" s="78"/>
    </row>
    <row r="199" ht="15.75" customHeight="1">
      <c r="A199" s="78"/>
      <c r="B199" s="78"/>
      <c r="C199" s="77" t="s">
        <v>568</v>
      </c>
      <c r="D199" s="78"/>
      <c r="E199" s="78"/>
      <c r="F199" s="78"/>
    </row>
    <row r="200" ht="15.75" customHeight="1">
      <c r="A200" s="78"/>
      <c r="B200" s="78"/>
      <c r="C200" s="77" t="s">
        <v>569</v>
      </c>
      <c r="D200" s="78"/>
      <c r="E200" s="78"/>
      <c r="F200" s="78"/>
    </row>
    <row r="201" ht="15.75" customHeight="1">
      <c r="A201" s="78"/>
      <c r="B201" s="78"/>
      <c r="C201" s="77" t="s">
        <v>570</v>
      </c>
      <c r="D201" s="78"/>
      <c r="E201" s="78"/>
      <c r="F201" s="78"/>
    </row>
    <row r="202" ht="15.75" customHeight="1">
      <c r="A202" s="78"/>
      <c r="B202" s="78"/>
      <c r="C202" s="78"/>
      <c r="D202" s="78"/>
      <c r="E202" s="78"/>
      <c r="F202" s="78"/>
    </row>
    <row r="203" ht="15.75" customHeight="1">
      <c r="A203" s="78"/>
      <c r="B203" s="78"/>
      <c r="C203" s="78"/>
      <c r="D203" s="78"/>
      <c r="E203" s="78"/>
      <c r="F203" s="78"/>
    </row>
    <row r="204" ht="15.75" customHeight="1">
      <c r="A204" s="78"/>
      <c r="B204" s="78"/>
      <c r="C204" s="77" t="s">
        <v>571</v>
      </c>
      <c r="D204" s="78"/>
      <c r="E204" s="78"/>
      <c r="F204" s="78"/>
    </row>
    <row r="205" ht="15.75" customHeight="1">
      <c r="A205" s="78"/>
      <c r="B205" s="78"/>
      <c r="C205" s="78"/>
      <c r="D205" s="78"/>
      <c r="E205" s="78"/>
      <c r="F205" s="78"/>
    </row>
    <row r="206" ht="15.75" customHeight="1">
      <c r="A206" s="78"/>
      <c r="B206" s="78"/>
      <c r="C206" s="78"/>
      <c r="D206" s="78"/>
      <c r="E206" s="78"/>
      <c r="F206" s="78"/>
    </row>
    <row r="207" ht="15.75" customHeight="1">
      <c r="A207" s="78"/>
      <c r="B207" s="78"/>
      <c r="C207" s="78"/>
      <c r="D207" s="78"/>
      <c r="E207" s="78"/>
      <c r="F207" s="78"/>
    </row>
    <row r="208" ht="15.75" customHeight="1">
      <c r="A208" s="78"/>
      <c r="B208" s="78"/>
      <c r="C208" s="78"/>
      <c r="D208" s="78"/>
      <c r="E208" s="78"/>
      <c r="F208" s="78"/>
    </row>
    <row r="209" ht="15.75" customHeight="1">
      <c r="A209" s="78"/>
      <c r="B209" s="78"/>
      <c r="C209" s="78"/>
      <c r="D209" s="78"/>
      <c r="E209" s="78"/>
      <c r="F209" s="78"/>
    </row>
    <row r="210" ht="15.75" customHeight="1">
      <c r="A210" s="78"/>
      <c r="B210" s="78"/>
      <c r="C210" s="78"/>
      <c r="D210" s="78"/>
      <c r="E210" s="78"/>
      <c r="F210" s="78"/>
    </row>
    <row r="211" ht="15.75" customHeight="1">
      <c r="A211" s="78"/>
      <c r="B211" s="78"/>
      <c r="C211" s="78"/>
      <c r="D211" s="78"/>
      <c r="E211" s="78"/>
      <c r="F211" s="78"/>
    </row>
    <row r="212" ht="15.75" customHeight="1">
      <c r="A212" s="78"/>
      <c r="B212" s="78"/>
      <c r="C212" s="78"/>
      <c r="D212" s="78"/>
      <c r="E212" s="78"/>
      <c r="F212" s="78"/>
    </row>
    <row r="213" ht="15.75" customHeight="1">
      <c r="A213" s="78"/>
      <c r="B213" s="78"/>
      <c r="C213" s="78"/>
      <c r="D213" s="78"/>
      <c r="E213" s="78"/>
      <c r="F213" s="78"/>
    </row>
    <row r="214" ht="15.75" customHeight="1">
      <c r="A214" s="78"/>
      <c r="B214" s="78"/>
      <c r="C214" s="78"/>
      <c r="D214" s="78"/>
      <c r="E214" s="78"/>
      <c r="F214" s="78"/>
    </row>
    <row r="215" ht="15.75" customHeight="1">
      <c r="A215" s="78"/>
      <c r="B215" s="78"/>
      <c r="C215" s="78"/>
      <c r="D215" s="78"/>
      <c r="E215" s="78"/>
      <c r="F215" s="78"/>
    </row>
    <row r="216" ht="15.75" customHeight="1">
      <c r="A216" s="78"/>
      <c r="B216" s="78"/>
      <c r="C216" s="78"/>
      <c r="D216" s="78"/>
      <c r="E216" s="78"/>
      <c r="F216" s="78"/>
    </row>
    <row r="217" ht="15.75" customHeight="1">
      <c r="A217" s="78"/>
      <c r="B217" s="78"/>
      <c r="C217" s="78"/>
      <c r="D217" s="78"/>
      <c r="E217" s="78"/>
      <c r="F217" s="78"/>
    </row>
    <row r="218" ht="15.75" customHeight="1">
      <c r="A218" s="78"/>
      <c r="B218" s="78"/>
      <c r="C218" s="78"/>
      <c r="D218" s="78"/>
      <c r="E218" s="78"/>
      <c r="F218" s="78"/>
    </row>
    <row r="219" ht="15.75" customHeight="1">
      <c r="A219" s="78"/>
      <c r="B219" s="78"/>
      <c r="C219" s="78"/>
      <c r="D219" s="78"/>
      <c r="E219" s="78"/>
      <c r="F219" s="78"/>
    </row>
    <row r="220" ht="15.75" customHeight="1">
      <c r="A220" s="78"/>
      <c r="B220" s="78"/>
      <c r="C220" s="78"/>
      <c r="D220" s="78"/>
      <c r="E220" s="78"/>
      <c r="F220" s="78"/>
    </row>
    <row r="221" ht="15.75" customHeight="1">
      <c r="A221" s="78"/>
      <c r="B221" s="78"/>
      <c r="C221" s="78"/>
      <c r="D221" s="78"/>
      <c r="E221" s="78"/>
      <c r="F221" s="78"/>
    </row>
    <row r="222" ht="15.75" customHeight="1">
      <c r="A222" s="78"/>
      <c r="B222" s="78"/>
      <c r="C222" s="78"/>
      <c r="D222" s="78"/>
      <c r="E222" s="78"/>
      <c r="F222" s="78"/>
    </row>
    <row r="223" ht="15.75" customHeight="1">
      <c r="A223" s="78"/>
      <c r="B223" s="78"/>
      <c r="C223" s="78"/>
      <c r="D223" s="78"/>
      <c r="E223" s="78"/>
      <c r="F223" s="78"/>
    </row>
    <row r="224" ht="15.75" customHeight="1">
      <c r="A224" s="78"/>
      <c r="B224" s="78"/>
      <c r="C224" s="78"/>
      <c r="D224" s="78"/>
      <c r="E224" s="78"/>
      <c r="F224" s="78"/>
    </row>
    <row r="225" ht="15.75" customHeight="1">
      <c r="A225" s="78"/>
      <c r="B225" s="78"/>
      <c r="C225" s="78"/>
      <c r="D225" s="78"/>
      <c r="E225" s="78"/>
      <c r="F225" s="78"/>
    </row>
    <row r="226" ht="15.75" customHeight="1">
      <c r="A226" s="78"/>
      <c r="B226" s="78"/>
      <c r="C226" s="78"/>
      <c r="D226" s="78"/>
      <c r="E226" s="78"/>
      <c r="F226" s="78"/>
    </row>
    <row r="227" ht="15.75" customHeight="1">
      <c r="A227" s="78"/>
      <c r="B227" s="78"/>
      <c r="C227" s="78"/>
      <c r="D227" s="78"/>
      <c r="E227" s="78"/>
      <c r="F227" s="78"/>
    </row>
    <row r="228" ht="15.75" customHeight="1">
      <c r="A228" s="78"/>
      <c r="B228" s="78"/>
      <c r="C228" s="78"/>
      <c r="D228" s="78"/>
      <c r="E228" s="78"/>
      <c r="F228" s="78"/>
    </row>
    <row r="229" ht="15.75" customHeight="1">
      <c r="A229" s="78"/>
      <c r="B229" s="78"/>
      <c r="C229" s="78"/>
      <c r="D229" s="78"/>
      <c r="E229" s="78"/>
      <c r="F229" s="78"/>
    </row>
    <row r="230" ht="15.75" customHeight="1">
      <c r="A230" s="78"/>
      <c r="B230" s="78"/>
      <c r="C230" s="78"/>
      <c r="D230" s="78"/>
      <c r="E230" s="78"/>
      <c r="F230" s="78"/>
    </row>
    <row r="231" ht="15.75" customHeight="1">
      <c r="A231" s="78"/>
      <c r="B231" s="78"/>
      <c r="C231" s="78"/>
      <c r="D231" s="78"/>
      <c r="E231" s="78"/>
      <c r="F231" s="78"/>
    </row>
    <row r="232" ht="15.75" customHeight="1">
      <c r="A232" s="78"/>
      <c r="B232" s="78"/>
      <c r="C232" s="78"/>
      <c r="D232" s="78"/>
      <c r="E232" s="78"/>
      <c r="F232" s="78"/>
    </row>
    <row r="233" ht="15.75" customHeight="1">
      <c r="A233" s="78"/>
      <c r="B233" s="78"/>
      <c r="C233" s="78"/>
      <c r="D233" s="78"/>
      <c r="E233" s="78"/>
      <c r="F233" s="78"/>
    </row>
    <row r="234" ht="15.75" customHeight="1">
      <c r="A234" s="78"/>
      <c r="B234" s="78"/>
      <c r="C234" s="78"/>
      <c r="D234" s="78"/>
      <c r="E234" s="78"/>
      <c r="F234" s="78"/>
    </row>
    <row r="235" ht="15.75" customHeight="1">
      <c r="A235" s="78"/>
      <c r="B235" s="78"/>
      <c r="C235" s="78"/>
      <c r="D235" s="78"/>
      <c r="E235" s="78"/>
      <c r="F235" s="78"/>
    </row>
    <row r="236" ht="15.75" customHeight="1">
      <c r="A236" s="78"/>
      <c r="B236" s="78"/>
      <c r="C236" s="78"/>
      <c r="D236" s="78"/>
      <c r="E236" s="78"/>
      <c r="F236" s="78"/>
    </row>
    <row r="237" ht="15.75" customHeight="1">
      <c r="A237" s="78"/>
      <c r="B237" s="78"/>
      <c r="C237" s="78"/>
      <c r="D237" s="78"/>
      <c r="E237" s="78"/>
      <c r="F237" s="78"/>
    </row>
    <row r="238" ht="15.75" customHeight="1">
      <c r="A238" s="78"/>
      <c r="B238" s="78"/>
      <c r="C238" s="78"/>
      <c r="D238" s="78"/>
      <c r="E238" s="78"/>
      <c r="F238" s="78"/>
    </row>
    <row r="239" ht="15.75" customHeight="1">
      <c r="A239" s="78"/>
      <c r="B239" s="78"/>
      <c r="C239" s="78"/>
      <c r="D239" s="78"/>
      <c r="E239" s="78"/>
      <c r="F239" s="78"/>
    </row>
    <row r="240" ht="15.75" customHeight="1">
      <c r="A240" s="78"/>
      <c r="B240" s="78"/>
      <c r="C240" s="78"/>
      <c r="D240" s="78"/>
      <c r="E240" s="78"/>
      <c r="F240" s="78"/>
    </row>
    <row r="241" ht="15.75" customHeight="1">
      <c r="A241" s="78"/>
      <c r="B241" s="78"/>
      <c r="C241" s="78"/>
      <c r="D241" s="78"/>
      <c r="E241" s="78"/>
      <c r="F241" s="78"/>
    </row>
    <row r="242" ht="15.75" customHeight="1">
      <c r="A242" s="78"/>
      <c r="B242" s="78"/>
      <c r="C242" s="78"/>
      <c r="D242" s="78"/>
      <c r="E242" s="78"/>
      <c r="F242" s="78"/>
    </row>
    <row r="243" ht="15.75" customHeight="1">
      <c r="A243" s="78"/>
      <c r="B243" s="78"/>
      <c r="C243" s="78"/>
      <c r="D243" s="78"/>
      <c r="E243" s="78"/>
      <c r="F243" s="78"/>
    </row>
    <row r="244" ht="15.75" customHeight="1">
      <c r="A244" s="78"/>
      <c r="B244" s="78"/>
      <c r="C244" s="78"/>
      <c r="D244" s="78"/>
      <c r="E244" s="78"/>
      <c r="F244" s="78"/>
    </row>
    <row r="245" ht="15.75" customHeight="1">
      <c r="A245" s="78"/>
      <c r="B245" s="78"/>
      <c r="C245" s="78"/>
      <c r="D245" s="78"/>
      <c r="E245" s="78"/>
      <c r="F245" s="78"/>
    </row>
    <row r="246" ht="15.75" customHeight="1">
      <c r="A246" s="78"/>
      <c r="B246" s="78"/>
      <c r="C246" s="78"/>
      <c r="D246" s="78"/>
      <c r="E246" s="78"/>
      <c r="F246" s="78"/>
    </row>
    <row r="247" ht="15.75" customHeight="1">
      <c r="A247" s="78"/>
      <c r="B247" s="78"/>
      <c r="C247" s="78"/>
      <c r="D247" s="78"/>
      <c r="E247" s="78"/>
      <c r="F247" s="78"/>
    </row>
    <row r="248" ht="15.75" customHeight="1">
      <c r="A248" s="78"/>
      <c r="B248" s="78"/>
      <c r="C248" s="78"/>
      <c r="D248" s="78"/>
      <c r="E248" s="78"/>
      <c r="F248" s="78"/>
    </row>
    <row r="249" ht="15.75" customHeight="1">
      <c r="A249" s="78"/>
      <c r="B249" s="78"/>
      <c r="C249" s="78"/>
      <c r="D249" s="78"/>
      <c r="E249" s="78"/>
      <c r="F249" s="78"/>
    </row>
    <row r="250" ht="15.75" customHeight="1">
      <c r="A250" s="78"/>
      <c r="B250" s="78"/>
      <c r="C250" s="78"/>
      <c r="D250" s="78"/>
      <c r="E250" s="78"/>
      <c r="F250" s="78"/>
    </row>
    <row r="251" ht="15.75" customHeight="1">
      <c r="A251" s="78"/>
      <c r="B251" s="78"/>
      <c r="C251" s="78"/>
      <c r="D251" s="78"/>
      <c r="E251" s="78"/>
      <c r="F251" s="78"/>
    </row>
    <row r="252" ht="15.75" customHeight="1">
      <c r="A252" s="78"/>
      <c r="B252" s="78"/>
      <c r="C252" s="78"/>
      <c r="D252" s="78"/>
      <c r="E252" s="78"/>
      <c r="F252" s="78"/>
    </row>
    <row r="253" ht="15.75" customHeight="1">
      <c r="A253" s="78"/>
      <c r="B253" s="78"/>
      <c r="C253" s="78"/>
      <c r="D253" s="78"/>
      <c r="E253" s="78"/>
      <c r="F253" s="78"/>
    </row>
    <row r="254" ht="15.75" customHeight="1">
      <c r="A254" s="78"/>
      <c r="B254" s="78"/>
      <c r="C254" s="78"/>
      <c r="D254" s="78"/>
      <c r="E254" s="78"/>
      <c r="F254" s="78"/>
    </row>
    <row r="255" ht="15.75" customHeight="1">
      <c r="A255" s="78"/>
      <c r="B255" s="78"/>
      <c r="C255" s="78"/>
      <c r="D255" s="78"/>
      <c r="E255" s="78"/>
      <c r="F255" s="78"/>
    </row>
    <row r="256" ht="15.75" customHeight="1">
      <c r="A256" s="78"/>
      <c r="B256" s="78"/>
      <c r="C256" s="78"/>
      <c r="D256" s="78"/>
      <c r="E256" s="78"/>
      <c r="F256" s="78"/>
    </row>
    <row r="257" ht="15.75" customHeight="1">
      <c r="A257" s="78"/>
      <c r="B257" s="78"/>
      <c r="C257" s="78"/>
      <c r="D257" s="78"/>
      <c r="E257" s="78"/>
      <c r="F257" s="78"/>
    </row>
    <row r="258" ht="15.75" customHeight="1">
      <c r="A258" s="78"/>
      <c r="B258" s="78"/>
      <c r="C258" s="78"/>
      <c r="D258" s="78"/>
      <c r="E258" s="78"/>
      <c r="F258" s="78"/>
    </row>
    <row r="259" ht="15.75" customHeight="1">
      <c r="A259" s="78"/>
      <c r="B259" s="78"/>
      <c r="C259" s="78"/>
      <c r="D259" s="78"/>
      <c r="E259" s="78"/>
      <c r="F259" s="78"/>
    </row>
    <row r="260" ht="15.75" customHeight="1">
      <c r="A260" s="78"/>
      <c r="B260" s="78"/>
      <c r="C260" s="78"/>
      <c r="D260" s="78"/>
      <c r="E260" s="78"/>
      <c r="F260" s="78"/>
    </row>
    <row r="261" ht="15.75" customHeight="1">
      <c r="A261" s="78"/>
      <c r="B261" s="78"/>
      <c r="C261" s="78"/>
      <c r="D261" s="78"/>
      <c r="E261" s="78"/>
      <c r="F261" s="78"/>
    </row>
    <row r="262" ht="15.75" customHeight="1">
      <c r="A262" s="78"/>
      <c r="B262" s="78"/>
      <c r="C262" s="78"/>
      <c r="D262" s="78"/>
      <c r="E262" s="78"/>
      <c r="F262" s="78"/>
    </row>
    <row r="263" ht="15.75" customHeight="1">
      <c r="A263" s="78"/>
      <c r="B263" s="78"/>
      <c r="C263" s="78"/>
      <c r="D263" s="78"/>
      <c r="E263" s="78"/>
      <c r="F263" s="78"/>
    </row>
    <row r="264" ht="15.75" customHeight="1">
      <c r="A264" s="78"/>
      <c r="B264" s="78"/>
      <c r="C264" s="78"/>
      <c r="D264" s="78"/>
      <c r="E264" s="78"/>
      <c r="F264" s="78"/>
    </row>
    <row r="265" ht="15.75" customHeight="1">
      <c r="A265" s="78"/>
      <c r="B265" s="78"/>
      <c r="C265" s="78"/>
      <c r="D265" s="78"/>
      <c r="E265" s="78"/>
      <c r="F265" s="78"/>
    </row>
    <row r="266" ht="15.75" customHeight="1">
      <c r="A266" s="78"/>
      <c r="B266" s="78"/>
      <c r="C266" s="78"/>
      <c r="D266" s="78"/>
      <c r="E266" s="78"/>
      <c r="F266" s="78"/>
    </row>
    <row r="267" ht="15.75" customHeight="1">
      <c r="A267" s="78"/>
      <c r="B267" s="78"/>
      <c r="C267" s="78"/>
      <c r="D267" s="78"/>
      <c r="E267" s="78"/>
      <c r="F267" s="78"/>
    </row>
    <row r="268" ht="15.75" customHeight="1">
      <c r="A268" s="78"/>
      <c r="B268" s="78"/>
      <c r="C268" s="78"/>
      <c r="D268" s="78"/>
      <c r="E268" s="78"/>
      <c r="F268" s="78"/>
    </row>
    <row r="269" ht="15.75" customHeight="1">
      <c r="A269" s="78"/>
      <c r="B269" s="78"/>
      <c r="C269" s="78"/>
      <c r="D269" s="78"/>
      <c r="E269" s="78"/>
      <c r="F269" s="78"/>
    </row>
    <row r="270" ht="15.75" customHeight="1">
      <c r="A270" s="78"/>
      <c r="B270" s="78"/>
      <c r="C270" s="78"/>
      <c r="D270" s="78"/>
      <c r="E270" s="78"/>
      <c r="F270" s="78"/>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
    <mergeCell ref="A1:C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7.5"/>
    <col customWidth="1" min="2" max="2" width="42.75"/>
    <col customWidth="1" min="3" max="5" width="12.63"/>
    <col customWidth="1" min="6" max="6" width="14.63"/>
    <col customWidth="1" min="10" max="10" width="12.63"/>
    <col customWidth="1" min="11" max="12" width="12.13"/>
    <col customWidth="1" min="13" max="13" width="35.0"/>
    <col customWidth="1" min="14" max="14" width="9.25"/>
    <col customWidth="1" min="15" max="15" width="30.25"/>
  </cols>
  <sheetData>
    <row r="1" ht="15.75" customHeight="1">
      <c r="A1" s="81" t="s">
        <v>572</v>
      </c>
      <c r="B1" s="81" t="s">
        <v>573</v>
      </c>
      <c r="C1" s="81" t="s">
        <v>574</v>
      </c>
      <c r="H1" s="81" t="s">
        <v>575</v>
      </c>
      <c r="I1" s="81" t="s">
        <v>576</v>
      </c>
      <c r="J1" s="81" t="s">
        <v>577</v>
      </c>
      <c r="L1" s="82" t="s">
        <v>578</v>
      </c>
      <c r="N1" s="82" t="s">
        <v>579</v>
      </c>
      <c r="P1" s="81"/>
      <c r="R1" s="81"/>
      <c r="S1" s="81"/>
      <c r="T1" s="81"/>
      <c r="U1" s="81"/>
      <c r="V1" s="81"/>
      <c r="W1" s="81"/>
      <c r="X1" s="81"/>
      <c r="Y1" s="81"/>
      <c r="Z1" s="81"/>
    </row>
    <row r="2" ht="15.75" customHeight="1">
      <c r="A2" s="81" t="s">
        <v>578</v>
      </c>
      <c r="B2" s="83" t="s">
        <v>580</v>
      </c>
      <c r="C2" s="80" t="s">
        <v>581</v>
      </c>
      <c r="D2" s="80" t="s">
        <v>582</v>
      </c>
      <c r="H2" s="80" t="s">
        <v>583</v>
      </c>
      <c r="J2" s="80" t="s">
        <v>584</v>
      </c>
      <c r="L2" s="43" t="s">
        <v>585</v>
      </c>
      <c r="M2" s="84" t="s">
        <v>586</v>
      </c>
      <c r="N2" s="43" t="s">
        <v>585</v>
      </c>
      <c r="O2" s="85" t="s">
        <v>587</v>
      </c>
    </row>
    <row r="3" ht="15.75" customHeight="1">
      <c r="A3" s="81" t="s">
        <v>578</v>
      </c>
      <c r="B3" s="83" t="s">
        <v>588</v>
      </c>
      <c r="C3" s="80" t="s">
        <v>582</v>
      </c>
      <c r="D3" s="80" t="s">
        <v>589</v>
      </c>
      <c r="H3" s="80" t="s">
        <v>590</v>
      </c>
      <c r="J3" s="80" t="s">
        <v>591</v>
      </c>
      <c r="M3" s="84" t="s">
        <v>592</v>
      </c>
      <c r="O3" s="85" t="s">
        <v>593</v>
      </c>
    </row>
    <row r="4" ht="15.75" customHeight="1">
      <c r="A4" s="81" t="s">
        <v>578</v>
      </c>
      <c r="B4" s="83" t="s">
        <v>594</v>
      </c>
      <c r="C4" s="80" t="s">
        <v>595</v>
      </c>
      <c r="D4" s="80" t="s">
        <v>596</v>
      </c>
      <c r="H4" s="80" t="s">
        <v>597</v>
      </c>
      <c r="J4" s="80" t="s">
        <v>591</v>
      </c>
      <c r="M4" s="85" t="s">
        <v>598</v>
      </c>
    </row>
    <row r="5" ht="15.75" customHeight="1">
      <c r="A5" s="81"/>
      <c r="B5" s="83" t="s">
        <v>599</v>
      </c>
      <c r="J5" s="80" t="s">
        <v>600</v>
      </c>
      <c r="N5" s="43" t="s">
        <v>601</v>
      </c>
      <c r="O5" s="86" t="s">
        <v>602</v>
      </c>
    </row>
    <row r="6" ht="15.75" customHeight="1">
      <c r="A6" s="82" t="s">
        <v>579</v>
      </c>
      <c r="B6" s="68" t="s">
        <v>603</v>
      </c>
      <c r="C6" s="43" t="s">
        <v>604</v>
      </c>
      <c r="D6" s="43" t="s">
        <v>605</v>
      </c>
      <c r="J6" s="80"/>
      <c r="L6" s="43" t="s">
        <v>606</v>
      </c>
      <c r="M6" s="84" t="s">
        <v>607</v>
      </c>
    </row>
    <row r="7" ht="15.75" customHeight="1">
      <c r="A7" s="81" t="s">
        <v>608</v>
      </c>
      <c r="B7" s="83" t="s">
        <v>609</v>
      </c>
      <c r="C7" s="80" t="s">
        <v>581</v>
      </c>
      <c r="D7" s="80" t="s">
        <v>582</v>
      </c>
      <c r="H7" s="80" t="s">
        <v>610</v>
      </c>
      <c r="J7" s="80" t="s">
        <v>584</v>
      </c>
      <c r="M7" s="84" t="s">
        <v>611</v>
      </c>
      <c r="N7" s="43" t="s">
        <v>581</v>
      </c>
      <c r="O7" s="87" t="s">
        <v>612</v>
      </c>
    </row>
    <row r="8" ht="15.75" customHeight="1">
      <c r="A8" s="81"/>
      <c r="B8" s="83" t="s">
        <v>613</v>
      </c>
      <c r="M8" s="84" t="s">
        <v>614</v>
      </c>
      <c r="O8" s="87" t="s">
        <v>615</v>
      </c>
    </row>
    <row r="9" ht="15.75" customHeight="1">
      <c r="A9" s="81"/>
      <c r="B9" s="83" t="s">
        <v>616</v>
      </c>
      <c r="J9" s="80" t="s">
        <v>617</v>
      </c>
    </row>
    <row r="10" ht="15.75" customHeight="1">
      <c r="A10" s="81"/>
      <c r="B10" s="83" t="s">
        <v>618</v>
      </c>
      <c r="H10" s="80" t="s">
        <v>590</v>
      </c>
      <c r="J10" s="80" t="s">
        <v>619</v>
      </c>
      <c r="L10" s="43" t="s">
        <v>581</v>
      </c>
      <c r="M10" s="85" t="s">
        <v>580</v>
      </c>
      <c r="N10" s="43" t="s">
        <v>582</v>
      </c>
      <c r="O10" s="84" t="s">
        <v>620</v>
      </c>
    </row>
    <row r="11" ht="15.75" customHeight="1">
      <c r="A11" s="81"/>
      <c r="B11" s="83" t="s">
        <v>621</v>
      </c>
      <c r="M11" s="84" t="s">
        <v>622</v>
      </c>
      <c r="N11" s="43" t="s">
        <v>623</v>
      </c>
      <c r="O11" s="86" t="s">
        <v>624</v>
      </c>
    </row>
    <row r="12" ht="15.75" customHeight="1">
      <c r="A12" s="81"/>
      <c r="B12" s="83" t="s">
        <v>625</v>
      </c>
      <c r="M12" s="84" t="s">
        <v>626</v>
      </c>
    </row>
    <row r="13" ht="15.75" customHeight="1">
      <c r="A13" s="81"/>
      <c r="B13" s="83" t="s">
        <v>627</v>
      </c>
      <c r="M13" s="84" t="s">
        <v>628</v>
      </c>
      <c r="N13" s="43" t="s">
        <v>629</v>
      </c>
      <c r="O13" s="84" t="s">
        <v>630</v>
      </c>
    </row>
    <row r="14" ht="15.75" customHeight="1">
      <c r="A14" s="81"/>
      <c r="B14" s="83" t="s">
        <v>631</v>
      </c>
      <c r="O14" s="84" t="s">
        <v>632</v>
      </c>
    </row>
    <row r="15" ht="15.75" customHeight="1">
      <c r="A15" s="81"/>
      <c r="B15" s="83" t="s">
        <v>633</v>
      </c>
      <c r="L15" s="43" t="s">
        <v>582</v>
      </c>
      <c r="M15" s="86" t="s">
        <v>634</v>
      </c>
    </row>
    <row r="16" ht="15.75" customHeight="1">
      <c r="A16" s="81"/>
      <c r="B16" s="83" t="s">
        <v>635</v>
      </c>
      <c r="L16" s="43" t="s">
        <v>629</v>
      </c>
      <c r="M16" s="86" t="s">
        <v>636</v>
      </c>
      <c r="N16" s="43" t="s">
        <v>637</v>
      </c>
      <c r="O16" s="68" t="s">
        <v>638</v>
      </c>
    </row>
    <row r="17" ht="15.75" customHeight="1">
      <c r="A17" s="81"/>
      <c r="B17" s="83" t="s">
        <v>639</v>
      </c>
      <c r="J17" s="80" t="s">
        <v>640</v>
      </c>
    </row>
    <row r="18" ht="15.75" customHeight="1">
      <c r="A18" s="81"/>
      <c r="B18" s="83" t="s">
        <v>641</v>
      </c>
      <c r="L18" s="43" t="s">
        <v>642</v>
      </c>
      <c r="M18" s="86" t="s">
        <v>643</v>
      </c>
    </row>
    <row r="19" ht="15.75" customHeight="1">
      <c r="A19" s="82" t="s">
        <v>578</v>
      </c>
      <c r="B19" s="83" t="s">
        <v>622</v>
      </c>
      <c r="C19" s="80" t="s">
        <v>581</v>
      </c>
      <c r="H19" s="80" t="s">
        <v>583</v>
      </c>
      <c r="J19" s="80" t="s">
        <v>644</v>
      </c>
    </row>
    <row r="20" ht="15.75" customHeight="1">
      <c r="A20" s="81"/>
      <c r="B20" s="83" t="s">
        <v>645</v>
      </c>
      <c r="C20" s="80" t="s">
        <v>581</v>
      </c>
      <c r="H20" s="80" t="s">
        <v>583</v>
      </c>
      <c r="J20" s="80" t="s">
        <v>646</v>
      </c>
      <c r="L20" s="43" t="s">
        <v>647</v>
      </c>
      <c r="M20" s="85" t="s">
        <v>648</v>
      </c>
    </row>
    <row r="21" ht="15.75" customHeight="1">
      <c r="A21" s="82" t="s">
        <v>578</v>
      </c>
      <c r="B21" s="83" t="s">
        <v>626</v>
      </c>
      <c r="C21" s="80" t="s">
        <v>581</v>
      </c>
      <c r="H21" s="80" t="s">
        <v>649</v>
      </c>
      <c r="J21" s="80" t="s">
        <v>650</v>
      </c>
      <c r="L21" s="43" t="s">
        <v>651</v>
      </c>
      <c r="M21" s="85" t="s">
        <v>652</v>
      </c>
    </row>
    <row r="22" ht="15.75" customHeight="1">
      <c r="A22" s="82" t="s">
        <v>578</v>
      </c>
      <c r="B22" s="83" t="s">
        <v>628</v>
      </c>
      <c r="C22" s="80" t="s">
        <v>581</v>
      </c>
      <c r="H22" s="80" t="s">
        <v>653</v>
      </c>
      <c r="I22" s="80">
        <v>1946.0</v>
      </c>
      <c r="J22" s="80" t="s">
        <v>654</v>
      </c>
    </row>
    <row r="23" ht="15.75" customHeight="1">
      <c r="A23" s="82" t="s">
        <v>578</v>
      </c>
      <c r="B23" s="83" t="s">
        <v>586</v>
      </c>
      <c r="C23" s="80" t="s">
        <v>604</v>
      </c>
      <c r="H23" s="80" t="s">
        <v>583</v>
      </c>
      <c r="J23" s="80" t="s">
        <v>655</v>
      </c>
    </row>
    <row r="24" ht="15.75" customHeight="1">
      <c r="A24" s="81"/>
      <c r="B24" s="83" t="s">
        <v>656</v>
      </c>
      <c r="C24" s="80" t="s">
        <v>604</v>
      </c>
      <c r="H24" s="80" t="s">
        <v>610</v>
      </c>
    </row>
    <row r="25" ht="15.75" customHeight="1">
      <c r="A25" s="81"/>
      <c r="B25" s="83" t="s">
        <v>657</v>
      </c>
      <c r="C25" s="80" t="s">
        <v>604</v>
      </c>
    </row>
    <row r="26" ht="15.75" customHeight="1">
      <c r="A26" s="81"/>
      <c r="B26" s="83" t="s">
        <v>658</v>
      </c>
      <c r="C26" s="80" t="s">
        <v>604</v>
      </c>
      <c r="H26" s="80" t="s">
        <v>659</v>
      </c>
    </row>
    <row r="27" ht="15.75" customHeight="1">
      <c r="A27" s="81"/>
      <c r="B27" s="83" t="s">
        <v>660</v>
      </c>
      <c r="C27" s="80" t="s">
        <v>604</v>
      </c>
    </row>
    <row r="28" ht="15.75" customHeight="1">
      <c r="A28" s="81"/>
      <c r="B28" s="83" t="s">
        <v>661</v>
      </c>
      <c r="C28" s="80" t="s">
        <v>604</v>
      </c>
    </row>
    <row r="29" ht="15.75" customHeight="1">
      <c r="A29" s="81" t="s">
        <v>578</v>
      </c>
      <c r="B29" s="83" t="s">
        <v>592</v>
      </c>
      <c r="C29" s="80" t="s">
        <v>604</v>
      </c>
      <c r="H29" s="80" t="s">
        <v>610</v>
      </c>
    </row>
    <row r="30" ht="15.75" customHeight="1">
      <c r="A30" s="81" t="s">
        <v>662</v>
      </c>
      <c r="B30" s="83" t="s">
        <v>663</v>
      </c>
      <c r="C30" s="80" t="s">
        <v>604</v>
      </c>
      <c r="J30" s="80" t="s">
        <v>664</v>
      </c>
    </row>
    <row r="31" ht="15.75" customHeight="1">
      <c r="A31" s="81"/>
      <c r="B31" s="83" t="s">
        <v>665</v>
      </c>
      <c r="C31" s="80" t="s">
        <v>604</v>
      </c>
    </row>
    <row r="32" ht="15.75" customHeight="1">
      <c r="A32" s="81"/>
      <c r="B32" s="83" t="s">
        <v>666</v>
      </c>
      <c r="C32" s="80" t="s">
        <v>604</v>
      </c>
      <c r="D32" s="80" t="s">
        <v>667</v>
      </c>
      <c r="H32" s="80" t="s">
        <v>610</v>
      </c>
      <c r="J32" s="80" t="s">
        <v>668</v>
      </c>
    </row>
    <row r="33" ht="15.75" customHeight="1">
      <c r="A33" s="81"/>
      <c r="B33" s="83" t="s">
        <v>669</v>
      </c>
      <c r="C33" s="80" t="s">
        <v>604</v>
      </c>
      <c r="D33" s="80" t="s">
        <v>667</v>
      </c>
      <c r="H33" s="80" t="s">
        <v>610</v>
      </c>
    </row>
    <row r="34" ht="15.75" customHeight="1">
      <c r="A34" s="81"/>
      <c r="B34" s="83" t="s">
        <v>670</v>
      </c>
      <c r="C34" s="80" t="s">
        <v>604</v>
      </c>
      <c r="D34" s="80" t="s">
        <v>605</v>
      </c>
      <c r="H34" s="80" t="s">
        <v>610</v>
      </c>
    </row>
    <row r="35" ht="15.75" customHeight="1">
      <c r="A35" s="81"/>
      <c r="B35" s="83" t="s">
        <v>671</v>
      </c>
      <c r="C35" s="80" t="s">
        <v>672</v>
      </c>
      <c r="H35" s="80" t="s">
        <v>610</v>
      </c>
      <c r="J35" s="80" t="s">
        <v>673</v>
      </c>
    </row>
    <row r="36" ht="15.75" customHeight="1">
      <c r="A36" s="82" t="s">
        <v>579</v>
      </c>
      <c r="B36" s="83" t="s">
        <v>587</v>
      </c>
      <c r="C36" s="80" t="s">
        <v>672</v>
      </c>
      <c r="D36" s="80" t="s">
        <v>667</v>
      </c>
      <c r="H36" s="80" t="s">
        <v>610</v>
      </c>
      <c r="J36" s="80" t="s">
        <v>674</v>
      </c>
    </row>
    <row r="37" ht="15.75" customHeight="1">
      <c r="A37" s="82" t="s">
        <v>579</v>
      </c>
      <c r="B37" s="83" t="s">
        <v>593</v>
      </c>
      <c r="C37" s="80" t="s">
        <v>672</v>
      </c>
      <c r="D37" s="80" t="s">
        <v>675</v>
      </c>
      <c r="H37" s="80" t="s">
        <v>610</v>
      </c>
      <c r="J37" s="80" t="s">
        <v>676</v>
      </c>
    </row>
    <row r="38" ht="15.75" customHeight="1">
      <c r="A38" s="81"/>
      <c r="B38" s="83" t="s">
        <v>677</v>
      </c>
      <c r="C38" s="80" t="s">
        <v>678</v>
      </c>
      <c r="H38" s="80" t="s">
        <v>610</v>
      </c>
      <c r="J38" s="80" t="s">
        <v>679</v>
      </c>
    </row>
    <row r="39" ht="15.75" customHeight="1">
      <c r="A39" s="81"/>
      <c r="B39" s="83" t="s">
        <v>680</v>
      </c>
    </row>
    <row r="40" ht="15.75" customHeight="1">
      <c r="A40" s="81"/>
      <c r="B40" s="83" t="s">
        <v>681</v>
      </c>
      <c r="C40" s="80" t="s">
        <v>582</v>
      </c>
      <c r="D40" s="80" t="s">
        <v>682</v>
      </c>
      <c r="H40" s="80" t="s">
        <v>610</v>
      </c>
      <c r="J40" s="80" t="s">
        <v>683</v>
      </c>
    </row>
    <row r="41" ht="15.75" customHeight="1">
      <c r="A41" s="81"/>
      <c r="B41" s="83" t="s">
        <v>684</v>
      </c>
    </row>
    <row r="42" ht="15.75" customHeight="1">
      <c r="A42" s="81"/>
      <c r="B42" s="83" t="s">
        <v>685</v>
      </c>
    </row>
    <row r="43" ht="15.75" customHeight="1">
      <c r="A43" s="81"/>
      <c r="B43" s="83" t="s">
        <v>686</v>
      </c>
      <c r="C43" s="80" t="s">
        <v>604</v>
      </c>
      <c r="D43" s="80" t="s">
        <v>667</v>
      </c>
      <c r="J43" s="80" t="s">
        <v>687</v>
      </c>
    </row>
    <row r="44" ht="15.75" customHeight="1">
      <c r="A44" s="81"/>
      <c r="B44" s="83" t="s">
        <v>688</v>
      </c>
    </row>
    <row r="45" ht="15.75" customHeight="1">
      <c r="A45" s="81"/>
      <c r="B45" s="83" t="s">
        <v>689</v>
      </c>
      <c r="C45" s="80" t="s">
        <v>604</v>
      </c>
      <c r="D45" s="80" t="s">
        <v>667</v>
      </c>
      <c r="H45" s="80" t="s">
        <v>690</v>
      </c>
    </row>
    <row r="46" ht="15.75" customHeight="1">
      <c r="A46" s="81"/>
      <c r="B46" s="83" t="s">
        <v>691</v>
      </c>
    </row>
    <row r="47" ht="15.75" customHeight="1">
      <c r="A47" s="81"/>
      <c r="B47" s="83" t="s">
        <v>692</v>
      </c>
      <c r="H47" s="43" t="s">
        <v>693</v>
      </c>
    </row>
    <row r="48" ht="15.75" customHeight="1">
      <c r="A48" s="81"/>
      <c r="B48" s="83" t="s">
        <v>694</v>
      </c>
    </row>
    <row r="49" ht="15.75" customHeight="1">
      <c r="A49" s="81"/>
      <c r="B49" s="83" t="s">
        <v>695</v>
      </c>
    </row>
    <row r="50" ht="15.75" customHeight="1">
      <c r="A50" s="81"/>
      <c r="B50" s="83" t="s">
        <v>696</v>
      </c>
      <c r="C50" s="80" t="s">
        <v>604</v>
      </c>
      <c r="H50" s="80" t="s">
        <v>697</v>
      </c>
    </row>
    <row r="51" ht="15.75" customHeight="1">
      <c r="A51" s="81"/>
      <c r="B51" s="83" t="s">
        <v>698</v>
      </c>
    </row>
    <row r="52" ht="15.75" customHeight="1">
      <c r="A52" s="81"/>
      <c r="B52" s="83" t="s">
        <v>699</v>
      </c>
    </row>
    <row r="53" ht="15.75" customHeight="1">
      <c r="A53" s="81" t="s">
        <v>578</v>
      </c>
      <c r="B53" s="83" t="s">
        <v>598</v>
      </c>
      <c r="C53" s="80" t="s">
        <v>604</v>
      </c>
      <c r="D53" s="80" t="s">
        <v>667</v>
      </c>
      <c r="H53" s="80" t="s">
        <v>610</v>
      </c>
      <c r="J53" s="80" t="s">
        <v>700</v>
      </c>
    </row>
    <row r="54" ht="15.75" customHeight="1">
      <c r="A54" s="81"/>
      <c r="B54" s="83" t="s">
        <v>701</v>
      </c>
    </row>
    <row r="55" ht="15.75" customHeight="1">
      <c r="A55" s="81"/>
      <c r="B55" s="83" t="s">
        <v>702</v>
      </c>
      <c r="H55" s="43" t="s">
        <v>703</v>
      </c>
    </row>
    <row r="56" ht="15.75" customHeight="1">
      <c r="A56" s="81"/>
      <c r="B56" s="83" t="s">
        <v>704</v>
      </c>
    </row>
    <row r="57" ht="15.75" customHeight="1">
      <c r="A57" s="81"/>
      <c r="B57" s="83" t="s">
        <v>705</v>
      </c>
    </row>
    <row r="58" ht="15.75" customHeight="1">
      <c r="A58" s="81"/>
      <c r="B58" s="83" t="s">
        <v>706</v>
      </c>
    </row>
    <row r="59" ht="15.75" customHeight="1">
      <c r="A59" s="81"/>
      <c r="B59" s="83" t="s">
        <v>707</v>
      </c>
    </row>
    <row r="60" ht="15.75" customHeight="1">
      <c r="A60" s="81"/>
      <c r="B60" s="83" t="s">
        <v>708</v>
      </c>
    </row>
    <row r="61" ht="15.75" customHeight="1">
      <c r="B61" s="83" t="s">
        <v>709</v>
      </c>
      <c r="C61" s="43" t="s">
        <v>582</v>
      </c>
      <c r="H61" s="43" t="s">
        <v>610</v>
      </c>
      <c r="J61" s="43" t="s">
        <v>710</v>
      </c>
    </row>
    <row r="62" ht="15.75" customHeight="1">
      <c r="A62" s="81"/>
      <c r="B62" s="83" t="s">
        <v>711</v>
      </c>
    </row>
    <row r="63" ht="15.75" customHeight="1">
      <c r="A63" s="81"/>
      <c r="B63" s="83" t="s">
        <v>712</v>
      </c>
    </row>
    <row r="64" ht="15.75" customHeight="1">
      <c r="A64" s="81"/>
      <c r="B64" s="83" t="s">
        <v>713</v>
      </c>
    </row>
    <row r="65" ht="15.75" customHeight="1">
      <c r="A65" s="81"/>
      <c r="B65" s="83" t="s">
        <v>714</v>
      </c>
      <c r="C65" s="43" t="s">
        <v>604</v>
      </c>
    </row>
    <row r="66" ht="15.75" customHeight="1">
      <c r="A66" s="81" t="s">
        <v>578</v>
      </c>
      <c r="B66" s="83" t="s">
        <v>648</v>
      </c>
      <c r="C66" s="80" t="s">
        <v>581</v>
      </c>
      <c r="D66" s="80" t="s">
        <v>647</v>
      </c>
      <c r="H66" s="80" t="s">
        <v>610</v>
      </c>
    </row>
    <row r="67" ht="15.75" customHeight="1">
      <c r="A67" s="81" t="s">
        <v>578</v>
      </c>
      <c r="B67" s="83" t="s">
        <v>652</v>
      </c>
      <c r="C67" s="80" t="s">
        <v>715</v>
      </c>
      <c r="H67" s="80" t="s">
        <v>610</v>
      </c>
    </row>
    <row r="68" ht="15.75" customHeight="1">
      <c r="A68" s="81"/>
      <c r="B68" s="83" t="s">
        <v>716</v>
      </c>
      <c r="C68" s="80" t="s">
        <v>717</v>
      </c>
      <c r="D68" s="80" t="s">
        <v>582</v>
      </c>
      <c r="H68" s="80" t="s">
        <v>659</v>
      </c>
    </row>
    <row r="69" ht="15.75" customHeight="1">
      <c r="A69" s="81"/>
      <c r="B69" s="83" t="s">
        <v>718</v>
      </c>
      <c r="C69" s="80" t="s">
        <v>717</v>
      </c>
      <c r="D69" s="80" t="s">
        <v>582</v>
      </c>
    </row>
    <row r="70" ht="15.75" customHeight="1">
      <c r="A70" s="82" t="s">
        <v>719</v>
      </c>
      <c r="B70" s="64" t="s">
        <v>720</v>
      </c>
      <c r="C70" s="43" t="s">
        <v>604</v>
      </c>
      <c r="D70" s="43" t="s">
        <v>606</v>
      </c>
      <c r="H70" s="43" t="s">
        <v>583</v>
      </c>
      <c r="J70" s="43" t="s">
        <v>721</v>
      </c>
    </row>
    <row r="71" ht="15.75" customHeight="1">
      <c r="A71" s="81"/>
      <c r="B71" s="64" t="s">
        <v>722</v>
      </c>
      <c r="C71" s="43" t="s">
        <v>723</v>
      </c>
      <c r="D71" s="43" t="s">
        <v>724</v>
      </c>
      <c r="E71" s="43" t="s">
        <v>582</v>
      </c>
      <c r="F71" s="43" t="s">
        <v>725</v>
      </c>
      <c r="H71" s="43" t="s">
        <v>583</v>
      </c>
    </row>
    <row r="72" ht="15.75" customHeight="1">
      <c r="A72" s="81"/>
      <c r="B72" s="64" t="s">
        <v>726</v>
      </c>
      <c r="C72" s="43" t="s">
        <v>604</v>
      </c>
      <c r="D72" s="43" t="s">
        <v>606</v>
      </c>
      <c r="H72" s="43" t="s">
        <v>583</v>
      </c>
    </row>
    <row r="73" ht="15.75" customHeight="1">
      <c r="A73" s="81"/>
      <c r="B73" s="64" t="s">
        <v>727</v>
      </c>
      <c r="C73" s="43" t="s">
        <v>581</v>
      </c>
      <c r="H73" s="43" t="s">
        <v>610</v>
      </c>
      <c r="J73" s="43" t="s">
        <v>728</v>
      </c>
    </row>
    <row r="74" ht="15.75" customHeight="1">
      <c r="A74" s="81"/>
      <c r="B74" s="64" t="s">
        <v>729</v>
      </c>
      <c r="C74" s="43" t="s">
        <v>581</v>
      </c>
      <c r="H74" s="43" t="s">
        <v>690</v>
      </c>
      <c r="J74" s="43" t="s">
        <v>730</v>
      </c>
    </row>
    <row r="75" ht="15.75" customHeight="1">
      <c r="A75" s="81"/>
      <c r="B75" s="64" t="s">
        <v>633</v>
      </c>
      <c r="C75" s="43" t="s">
        <v>581</v>
      </c>
      <c r="H75" s="43" t="s">
        <v>690</v>
      </c>
      <c r="J75" s="43" t="s">
        <v>731</v>
      </c>
    </row>
    <row r="76" ht="15.75" customHeight="1">
      <c r="B76" s="64" t="s">
        <v>732</v>
      </c>
      <c r="C76" s="43" t="s">
        <v>581</v>
      </c>
      <c r="H76" s="43" t="s">
        <v>733</v>
      </c>
      <c r="J76" s="43" t="s">
        <v>734</v>
      </c>
    </row>
    <row r="77" ht="15.75" customHeight="1">
      <c r="A77" s="82" t="s">
        <v>578</v>
      </c>
      <c r="B77" s="64" t="s">
        <v>607</v>
      </c>
      <c r="C77" s="43" t="s">
        <v>604</v>
      </c>
      <c r="D77" s="43" t="s">
        <v>606</v>
      </c>
      <c r="H77" s="43" t="s">
        <v>690</v>
      </c>
      <c r="J77" s="43" t="s">
        <v>735</v>
      </c>
    </row>
    <row r="78" ht="15.75" customHeight="1">
      <c r="A78" s="81"/>
      <c r="B78" s="64" t="s">
        <v>736</v>
      </c>
      <c r="C78" s="43" t="s">
        <v>737</v>
      </c>
      <c r="J78" s="43" t="s">
        <v>738</v>
      </c>
    </row>
    <row r="79" ht="15.75" customHeight="1">
      <c r="A79" s="81"/>
      <c r="B79" s="64" t="s">
        <v>739</v>
      </c>
      <c r="C79" s="64" t="s">
        <v>740</v>
      </c>
      <c r="H79" s="43" t="s">
        <v>610</v>
      </c>
      <c r="J79" s="43" t="s">
        <v>741</v>
      </c>
    </row>
    <row r="80" ht="15.75" customHeight="1">
      <c r="A80" s="81"/>
      <c r="B80" s="64" t="s">
        <v>742</v>
      </c>
      <c r="H80" s="43" t="s">
        <v>610</v>
      </c>
      <c r="J80" s="43" t="s">
        <v>743</v>
      </c>
    </row>
    <row r="81" ht="15.75" customHeight="1">
      <c r="A81" s="81"/>
      <c r="B81" s="64" t="s">
        <v>744</v>
      </c>
      <c r="C81" s="43" t="s">
        <v>581</v>
      </c>
      <c r="H81" s="43" t="s">
        <v>697</v>
      </c>
      <c r="J81" s="43" t="s">
        <v>745</v>
      </c>
    </row>
    <row r="82" ht="15.75" customHeight="1">
      <c r="A82" s="81"/>
      <c r="B82" s="64" t="s">
        <v>746</v>
      </c>
      <c r="C82" s="43" t="s">
        <v>581</v>
      </c>
      <c r="H82" s="43" t="s">
        <v>610</v>
      </c>
      <c r="J82" s="43" t="s">
        <v>584</v>
      </c>
    </row>
    <row r="83" ht="15.75" customHeight="1">
      <c r="A83" s="81"/>
      <c r="B83" s="68" t="s">
        <v>747</v>
      </c>
      <c r="C83" s="43" t="s">
        <v>582</v>
      </c>
      <c r="D83" s="43" t="s">
        <v>629</v>
      </c>
      <c r="H83" s="43" t="s">
        <v>748</v>
      </c>
      <c r="J83" s="43" t="s">
        <v>749</v>
      </c>
    </row>
    <row r="84" ht="15.75" customHeight="1">
      <c r="A84" s="81"/>
      <c r="B84" s="64" t="s">
        <v>750</v>
      </c>
      <c r="C84" s="43" t="s">
        <v>581</v>
      </c>
      <c r="H84" s="43" t="s">
        <v>697</v>
      </c>
      <c r="J84" s="43" t="s">
        <v>751</v>
      </c>
    </row>
    <row r="85" ht="15.75" customHeight="1">
      <c r="A85" s="82" t="s">
        <v>579</v>
      </c>
      <c r="B85" s="64" t="s">
        <v>612</v>
      </c>
      <c r="C85" s="43" t="s">
        <v>581</v>
      </c>
      <c r="H85" s="43" t="s">
        <v>610</v>
      </c>
      <c r="J85" s="43" t="s">
        <v>752</v>
      </c>
    </row>
    <row r="86" ht="15.75" customHeight="1">
      <c r="A86" s="82" t="s">
        <v>579</v>
      </c>
      <c r="B86" s="64" t="s">
        <v>615</v>
      </c>
      <c r="C86" s="43" t="s">
        <v>581</v>
      </c>
      <c r="H86" s="43" t="s">
        <v>610</v>
      </c>
      <c r="J86" s="43" t="s">
        <v>753</v>
      </c>
    </row>
    <row r="87" ht="15.75" customHeight="1">
      <c r="A87" s="81"/>
      <c r="B87" s="64" t="s">
        <v>754</v>
      </c>
      <c r="C87" s="43" t="s">
        <v>582</v>
      </c>
      <c r="D87" s="43" t="s">
        <v>629</v>
      </c>
      <c r="H87" s="43" t="s">
        <v>755</v>
      </c>
      <c r="J87" s="43" t="s">
        <v>756</v>
      </c>
    </row>
    <row r="88" ht="15.75" customHeight="1">
      <c r="A88" s="82" t="s">
        <v>579</v>
      </c>
      <c r="B88" s="64" t="s">
        <v>620</v>
      </c>
      <c r="C88" s="43" t="s">
        <v>582</v>
      </c>
      <c r="D88" s="43" t="s">
        <v>757</v>
      </c>
      <c r="H88" s="43" t="s">
        <v>690</v>
      </c>
      <c r="J88" s="43" t="s">
        <v>758</v>
      </c>
    </row>
    <row r="89" ht="15.75" customHeight="1">
      <c r="A89" s="81"/>
      <c r="B89" s="64" t="s">
        <v>759</v>
      </c>
      <c r="C89" s="43" t="s">
        <v>582</v>
      </c>
      <c r="D89" s="43" t="s">
        <v>629</v>
      </c>
      <c r="H89" s="43" t="s">
        <v>653</v>
      </c>
      <c r="J89" s="43" t="s">
        <v>760</v>
      </c>
    </row>
    <row r="90" ht="15.75" customHeight="1">
      <c r="A90" s="81"/>
      <c r="B90" s="68" t="s">
        <v>761</v>
      </c>
      <c r="C90" s="43" t="s">
        <v>762</v>
      </c>
      <c r="H90" s="43" t="s">
        <v>610</v>
      </c>
      <c r="J90" s="43" t="s">
        <v>763</v>
      </c>
    </row>
    <row r="91" ht="15.75" customHeight="1">
      <c r="A91" s="81"/>
      <c r="B91" s="64" t="s">
        <v>764</v>
      </c>
      <c r="C91" s="43" t="s">
        <v>581</v>
      </c>
      <c r="H91" s="43" t="s">
        <v>583</v>
      </c>
      <c r="J91" s="43" t="s">
        <v>584</v>
      </c>
    </row>
    <row r="92" ht="15.75" customHeight="1">
      <c r="A92" s="81"/>
      <c r="B92" s="64" t="s">
        <v>765</v>
      </c>
      <c r="C92" s="43" t="s">
        <v>582</v>
      </c>
      <c r="H92" s="43" t="s">
        <v>766</v>
      </c>
      <c r="J92" s="43" t="s">
        <v>767</v>
      </c>
    </row>
    <row r="93" ht="15.75" customHeight="1">
      <c r="A93" s="81"/>
      <c r="B93" s="64" t="s">
        <v>768</v>
      </c>
      <c r="C93" s="43" t="s">
        <v>581</v>
      </c>
      <c r="H93" s="43" t="s">
        <v>610</v>
      </c>
      <c r="J93" s="43" t="s">
        <v>721</v>
      </c>
    </row>
    <row r="94" ht="15.75" customHeight="1">
      <c r="A94" s="82" t="s">
        <v>578</v>
      </c>
      <c r="B94" s="64" t="s">
        <v>611</v>
      </c>
      <c r="C94" s="43" t="s">
        <v>604</v>
      </c>
      <c r="D94" s="43" t="s">
        <v>581</v>
      </c>
      <c r="E94" s="43" t="s">
        <v>606</v>
      </c>
      <c r="F94" s="43" t="s">
        <v>769</v>
      </c>
      <c r="G94" s="43" t="s">
        <v>582</v>
      </c>
      <c r="H94" s="43" t="s">
        <v>583</v>
      </c>
      <c r="J94" s="43" t="s">
        <v>770</v>
      </c>
    </row>
    <row r="95" ht="15.75" customHeight="1">
      <c r="A95" s="81"/>
      <c r="B95" s="64" t="s">
        <v>771</v>
      </c>
      <c r="C95" s="43" t="s">
        <v>582</v>
      </c>
      <c r="H95" s="43" t="s">
        <v>610</v>
      </c>
      <c r="J95" s="43" t="s">
        <v>772</v>
      </c>
    </row>
    <row r="96" ht="15.75" customHeight="1">
      <c r="A96" s="81"/>
      <c r="B96" s="64" t="s">
        <v>773</v>
      </c>
      <c r="C96" s="43" t="s">
        <v>582</v>
      </c>
      <c r="D96" s="43" t="s">
        <v>629</v>
      </c>
      <c r="H96" s="43" t="s">
        <v>610</v>
      </c>
      <c r="J96" s="43" t="s">
        <v>774</v>
      </c>
    </row>
    <row r="97" ht="15.75" customHeight="1">
      <c r="A97" s="81"/>
      <c r="B97" s="64" t="s">
        <v>630</v>
      </c>
      <c r="C97" s="43" t="s">
        <v>775</v>
      </c>
      <c r="D97" s="43" t="s">
        <v>582</v>
      </c>
      <c r="E97" s="43" t="s">
        <v>629</v>
      </c>
      <c r="H97" s="43" t="s">
        <v>610</v>
      </c>
      <c r="J97" s="43" t="s">
        <v>776</v>
      </c>
    </row>
    <row r="98" ht="15.75" customHeight="1">
      <c r="A98" s="82" t="s">
        <v>578</v>
      </c>
      <c r="B98" s="64" t="s">
        <v>614</v>
      </c>
      <c r="C98" s="43" t="s">
        <v>604</v>
      </c>
      <c r="D98" s="43" t="s">
        <v>606</v>
      </c>
      <c r="E98" s="43" t="s">
        <v>582</v>
      </c>
      <c r="H98" s="43" t="s">
        <v>693</v>
      </c>
      <c r="J98" s="43" t="s">
        <v>777</v>
      </c>
    </row>
    <row r="99" ht="15.75" customHeight="1">
      <c r="A99" s="81"/>
      <c r="B99" s="64" t="s">
        <v>778</v>
      </c>
      <c r="C99" s="43" t="s">
        <v>779</v>
      </c>
      <c r="D99" s="43" t="s">
        <v>582</v>
      </c>
      <c r="H99" s="43" t="s">
        <v>610</v>
      </c>
      <c r="J99" s="43" t="s">
        <v>730</v>
      </c>
    </row>
    <row r="100" ht="15.75" customHeight="1">
      <c r="A100" s="82"/>
      <c r="B100" s="64" t="s">
        <v>632</v>
      </c>
      <c r="C100" s="43" t="s">
        <v>582</v>
      </c>
      <c r="D100" s="43" t="s">
        <v>629</v>
      </c>
      <c r="H100" s="43" t="s">
        <v>610</v>
      </c>
      <c r="J100" s="43" t="s">
        <v>780</v>
      </c>
    </row>
    <row r="101" ht="15.75" customHeight="1">
      <c r="A101" s="81"/>
      <c r="B101" s="64" t="s">
        <v>781</v>
      </c>
      <c r="C101" s="43" t="s">
        <v>582</v>
      </c>
      <c r="D101" s="43" t="s">
        <v>782</v>
      </c>
      <c r="E101" s="43" t="s">
        <v>783</v>
      </c>
      <c r="H101" s="43" t="s">
        <v>659</v>
      </c>
      <c r="J101" s="43" t="s">
        <v>784</v>
      </c>
    </row>
    <row r="102" ht="15.75" customHeight="1">
      <c r="A102" s="81"/>
      <c r="B102" s="64" t="s">
        <v>785</v>
      </c>
      <c r="C102" s="43" t="s">
        <v>581</v>
      </c>
      <c r="H102" s="43" t="s">
        <v>786</v>
      </c>
      <c r="J102" s="43" t="s">
        <v>787</v>
      </c>
    </row>
    <row r="103" ht="15.75" customHeight="1">
      <c r="A103" s="81"/>
    </row>
    <row r="104" ht="15.75" customHeight="1">
      <c r="A104" s="81"/>
    </row>
    <row r="105" ht="15.75" customHeight="1">
      <c r="A105" s="81"/>
      <c r="B105" s="64" t="s">
        <v>788</v>
      </c>
    </row>
    <row r="106" ht="15.75" customHeight="1">
      <c r="A106" s="81"/>
      <c r="B106" s="64" t="s">
        <v>789</v>
      </c>
    </row>
    <row r="107" ht="15.75" customHeight="1">
      <c r="A107" s="81"/>
      <c r="B107" s="64" t="s">
        <v>790</v>
      </c>
    </row>
    <row r="108" ht="15.75" customHeight="1">
      <c r="A108" s="81"/>
      <c r="B108" s="64" t="s">
        <v>791</v>
      </c>
    </row>
    <row r="109" ht="15.75" customHeight="1">
      <c r="A109" s="81"/>
      <c r="B109" s="64" t="s">
        <v>792</v>
      </c>
    </row>
    <row r="110" ht="15.75" customHeight="1">
      <c r="A110" s="81"/>
      <c r="B110" s="64" t="s">
        <v>793</v>
      </c>
    </row>
    <row r="111" ht="15.75" customHeight="1">
      <c r="A111" s="81"/>
      <c r="B111" s="64" t="s">
        <v>794</v>
      </c>
    </row>
    <row r="112" ht="15.75" customHeight="1">
      <c r="A112" s="81"/>
    </row>
    <row r="113" ht="15.75" customHeight="1">
      <c r="A113" s="81"/>
      <c r="B113" s="64" t="s">
        <v>795</v>
      </c>
      <c r="C113" s="43" t="s">
        <v>796</v>
      </c>
      <c r="D113" s="43" t="s">
        <v>797</v>
      </c>
      <c r="E113" s="43" t="s">
        <v>605</v>
      </c>
      <c r="F113" s="43" t="s">
        <v>604</v>
      </c>
      <c r="H113" s="43" t="s">
        <v>649</v>
      </c>
      <c r="J113" s="43" t="s">
        <v>798</v>
      </c>
    </row>
    <row r="114" ht="15.75" customHeight="1">
      <c r="A114" s="82" t="s">
        <v>578</v>
      </c>
      <c r="B114" s="64" t="s">
        <v>636</v>
      </c>
      <c r="C114" s="43" t="s">
        <v>629</v>
      </c>
      <c r="D114" s="43" t="s">
        <v>582</v>
      </c>
      <c r="H114" s="43" t="s">
        <v>583</v>
      </c>
      <c r="J114" s="43" t="s">
        <v>799</v>
      </c>
    </row>
    <row r="115" ht="15.75" customHeight="1">
      <c r="A115" s="81"/>
      <c r="B115" s="64" t="s">
        <v>800</v>
      </c>
      <c r="C115" s="43" t="s">
        <v>629</v>
      </c>
      <c r="D115" s="43" t="s">
        <v>582</v>
      </c>
      <c r="H115" s="43" t="s">
        <v>583</v>
      </c>
      <c r="J115" s="43" t="s">
        <v>801</v>
      </c>
    </row>
    <row r="116" ht="15.75" customHeight="1">
      <c r="A116" s="82" t="s">
        <v>579</v>
      </c>
      <c r="B116" s="64" t="s">
        <v>624</v>
      </c>
      <c r="C116" s="43" t="s">
        <v>802</v>
      </c>
      <c r="D116" s="43" t="s">
        <v>803</v>
      </c>
      <c r="H116" s="43" t="s">
        <v>610</v>
      </c>
    </row>
    <row r="117" ht="15.75" customHeight="1">
      <c r="A117" s="81"/>
      <c r="B117" s="64" t="s">
        <v>804</v>
      </c>
      <c r="C117" s="43" t="s">
        <v>762</v>
      </c>
    </row>
    <row r="118" ht="15.75" customHeight="1">
      <c r="A118" s="81"/>
      <c r="B118" s="64" t="s">
        <v>805</v>
      </c>
      <c r="C118" s="43" t="s">
        <v>806</v>
      </c>
      <c r="H118" s="43" t="s">
        <v>583</v>
      </c>
    </row>
    <row r="119" ht="15.75" customHeight="1">
      <c r="A119" s="81"/>
      <c r="B119" s="68" t="s">
        <v>807</v>
      </c>
      <c r="C119" s="43" t="s">
        <v>629</v>
      </c>
      <c r="D119" s="43" t="s">
        <v>582</v>
      </c>
      <c r="E119" s="43" t="s">
        <v>808</v>
      </c>
      <c r="H119" s="43" t="s">
        <v>659</v>
      </c>
    </row>
    <row r="120" ht="15.75" customHeight="1">
      <c r="A120" s="81"/>
    </row>
    <row r="121" ht="15.75" customHeight="1">
      <c r="A121" s="81"/>
      <c r="B121" s="64" t="s">
        <v>809</v>
      </c>
      <c r="C121" s="43" t="s">
        <v>582</v>
      </c>
      <c r="D121" s="43" t="s">
        <v>629</v>
      </c>
      <c r="I121" s="43" t="s">
        <v>810</v>
      </c>
    </row>
    <row r="122" ht="15.75" customHeight="1">
      <c r="A122" s="81"/>
      <c r="B122" s="64" t="s">
        <v>811</v>
      </c>
      <c r="C122" s="43" t="s">
        <v>812</v>
      </c>
    </row>
    <row r="123" ht="15.75" customHeight="1">
      <c r="A123" s="81"/>
      <c r="B123" s="64" t="s">
        <v>813</v>
      </c>
      <c r="C123" s="43" t="s">
        <v>582</v>
      </c>
    </row>
    <row r="124" ht="15.75" customHeight="1">
      <c r="A124" s="81"/>
      <c r="B124" s="64" t="s">
        <v>814</v>
      </c>
      <c r="C124" s="43" t="s">
        <v>604</v>
      </c>
    </row>
    <row r="125" ht="15.75" customHeight="1">
      <c r="A125" s="81"/>
    </row>
    <row r="126" ht="15.75" customHeight="1">
      <c r="A126" s="81"/>
      <c r="B126" s="64" t="s">
        <v>638</v>
      </c>
      <c r="C126" s="43" t="s">
        <v>637</v>
      </c>
      <c r="H126" s="43" t="s">
        <v>610</v>
      </c>
      <c r="J126" s="43" t="s">
        <v>815</v>
      </c>
    </row>
    <row r="127" ht="15.75" customHeight="1">
      <c r="A127" s="81"/>
      <c r="B127" s="64" t="s">
        <v>816</v>
      </c>
      <c r="C127" s="43" t="s">
        <v>637</v>
      </c>
      <c r="H127" s="43" t="s">
        <v>610</v>
      </c>
      <c r="J127" s="43" t="s">
        <v>817</v>
      </c>
    </row>
    <row r="128" ht="15.75" customHeight="1">
      <c r="A128" s="81"/>
      <c r="B128" s="64" t="s">
        <v>818</v>
      </c>
      <c r="C128" s="43" t="s">
        <v>604</v>
      </c>
      <c r="H128" s="43" t="s">
        <v>610</v>
      </c>
      <c r="J128" s="43" t="s">
        <v>819</v>
      </c>
    </row>
    <row r="129" ht="15.75" customHeight="1">
      <c r="A129" s="81"/>
      <c r="B129" s="64" t="s">
        <v>820</v>
      </c>
      <c r="C129" s="43" t="s">
        <v>802</v>
      </c>
      <c r="D129" s="43" t="s">
        <v>581</v>
      </c>
      <c r="H129" s="43" t="s">
        <v>610</v>
      </c>
      <c r="J129" s="43" t="s">
        <v>821</v>
      </c>
    </row>
    <row r="130" ht="15.75" customHeight="1">
      <c r="A130" s="81"/>
    </row>
    <row r="131" ht="15.75" customHeight="1">
      <c r="A131" s="81"/>
    </row>
    <row r="132" ht="15.75" customHeight="1">
      <c r="A132" s="81"/>
    </row>
    <row r="133" ht="15.75" customHeight="1">
      <c r="A133" s="81"/>
    </row>
    <row r="134" ht="15.75" customHeight="1">
      <c r="A134" s="81"/>
    </row>
    <row r="135" ht="15.75" customHeight="1">
      <c r="A135" s="81"/>
    </row>
    <row r="136" ht="15.75" customHeight="1">
      <c r="A136" s="81"/>
    </row>
    <row r="137" ht="15.75" customHeight="1">
      <c r="A137" s="81"/>
    </row>
    <row r="138" ht="15.75" customHeight="1">
      <c r="A138" s="81"/>
    </row>
    <row r="139" ht="15.75" customHeight="1">
      <c r="A139" s="81"/>
    </row>
    <row r="140" ht="15.75" customHeight="1">
      <c r="A140" s="81"/>
    </row>
    <row r="141" ht="15.75" customHeight="1">
      <c r="A141" s="81"/>
    </row>
    <row r="142" ht="15.75" customHeight="1">
      <c r="A142" s="81"/>
    </row>
    <row r="143" ht="15.75" customHeight="1">
      <c r="A143" s="81"/>
    </row>
    <row r="144" ht="15.75" customHeight="1">
      <c r="A144" s="81"/>
    </row>
    <row r="145" ht="15.75" customHeight="1">
      <c r="A145" s="81"/>
    </row>
    <row r="146" ht="15.75" customHeight="1">
      <c r="A146" s="81"/>
    </row>
    <row r="147" ht="15.75" customHeight="1">
      <c r="A147" s="81"/>
    </row>
    <row r="148" ht="15.75" customHeight="1">
      <c r="A148" s="81"/>
    </row>
    <row r="149" ht="15.75" customHeight="1">
      <c r="A149" s="81"/>
    </row>
    <row r="150" ht="15.75" customHeight="1">
      <c r="A150" s="81"/>
    </row>
    <row r="151" ht="15.75" customHeight="1">
      <c r="A151" s="81"/>
    </row>
    <row r="152" ht="15.75" customHeight="1">
      <c r="A152" s="81"/>
    </row>
    <row r="153" ht="15.75" customHeight="1">
      <c r="A153" s="81"/>
    </row>
    <row r="154" ht="15.75" customHeight="1">
      <c r="A154" s="81"/>
    </row>
    <row r="155" ht="15.75" customHeight="1">
      <c r="A155" s="81"/>
    </row>
    <row r="156" ht="15.75" customHeight="1">
      <c r="A156" s="81"/>
    </row>
    <row r="157" ht="15.75" customHeight="1">
      <c r="A157" s="81"/>
    </row>
    <row r="158" ht="15.75" customHeight="1">
      <c r="A158" s="81"/>
    </row>
    <row r="159" ht="15.75" customHeight="1">
      <c r="A159" s="81"/>
    </row>
    <row r="160" ht="15.75" customHeight="1">
      <c r="A160" s="81"/>
    </row>
    <row r="161" ht="15.75" customHeight="1">
      <c r="A161" s="81"/>
      <c r="H161" s="88" t="s">
        <v>822</v>
      </c>
    </row>
    <row r="162" ht="15.75" customHeight="1">
      <c r="A162" s="81"/>
      <c r="H162" s="88" t="s">
        <v>823</v>
      </c>
    </row>
    <row r="163" ht="15.75" customHeight="1">
      <c r="A163" s="81"/>
      <c r="H163" s="88" t="s">
        <v>824</v>
      </c>
    </row>
    <row r="164" ht="15.75" customHeight="1">
      <c r="A164" s="81"/>
      <c r="H164" s="88" t="s">
        <v>825</v>
      </c>
    </row>
    <row r="165" ht="15.75" customHeight="1">
      <c r="A165" s="81"/>
      <c r="H165" s="88" t="s">
        <v>826</v>
      </c>
    </row>
    <row r="166" ht="15.75" customHeight="1">
      <c r="A166" s="81"/>
      <c r="H166" s="88" t="s">
        <v>827</v>
      </c>
    </row>
    <row r="167" ht="15.75" customHeight="1">
      <c r="A167" s="81"/>
      <c r="H167" s="88" t="s">
        <v>828</v>
      </c>
    </row>
    <row r="168" ht="15.75" customHeight="1">
      <c r="A168" s="81"/>
      <c r="H168" s="88" t="s">
        <v>829</v>
      </c>
    </row>
    <row r="169" ht="15.75" customHeight="1">
      <c r="A169" s="81"/>
      <c r="H169" s="88" t="s">
        <v>830</v>
      </c>
    </row>
    <row r="170" ht="15.75" customHeight="1">
      <c r="A170" s="81"/>
      <c r="H170" s="88" t="s">
        <v>831</v>
      </c>
    </row>
    <row r="171" ht="15.75" customHeight="1">
      <c r="A171" s="81"/>
      <c r="H171" s="88" t="s">
        <v>832</v>
      </c>
    </row>
    <row r="172" ht="15.75" customHeight="1">
      <c r="A172" s="81"/>
      <c r="H172" s="88" t="s">
        <v>833</v>
      </c>
    </row>
    <row r="173" ht="15.75" customHeight="1">
      <c r="A173" s="81"/>
      <c r="H173" s="88" t="s">
        <v>834</v>
      </c>
    </row>
    <row r="174" ht="15.75" customHeight="1">
      <c r="A174" s="81"/>
      <c r="H174" s="88" t="s">
        <v>835</v>
      </c>
    </row>
    <row r="175" ht="15.75" customHeight="1">
      <c r="A175" s="81"/>
      <c r="H175" s="88" t="s">
        <v>836</v>
      </c>
    </row>
    <row r="176" ht="15.75" customHeight="1">
      <c r="A176" s="81"/>
      <c r="H176" s="88" t="s">
        <v>837</v>
      </c>
    </row>
    <row r="177" ht="15.75" customHeight="1">
      <c r="A177" s="81"/>
      <c r="H177" s="89" t="s">
        <v>838</v>
      </c>
    </row>
    <row r="178" ht="15.75" customHeight="1">
      <c r="A178" s="81"/>
      <c r="H178" s="88" t="s">
        <v>839</v>
      </c>
    </row>
    <row r="179" ht="15.75" customHeight="1">
      <c r="A179" s="81"/>
      <c r="H179" s="88" t="s">
        <v>840</v>
      </c>
    </row>
    <row r="180" ht="15.75" customHeight="1">
      <c r="A180" s="81"/>
      <c r="H180" s="88" t="s">
        <v>841</v>
      </c>
    </row>
    <row r="181" ht="15.75" customHeight="1">
      <c r="A181" s="81"/>
      <c r="H181" s="88" t="s">
        <v>842</v>
      </c>
    </row>
    <row r="182" ht="15.75" customHeight="1">
      <c r="A182" s="81"/>
      <c r="H182" s="88" t="s">
        <v>843</v>
      </c>
    </row>
    <row r="183" ht="15.75" customHeight="1">
      <c r="A183" s="81"/>
      <c r="H183" s="88" t="s">
        <v>844</v>
      </c>
    </row>
    <row r="184" ht="15.75" customHeight="1">
      <c r="A184" s="81"/>
      <c r="H184" s="88" t="s">
        <v>845</v>
      </c>
    </row>
    <row r="185" ht="15.75" customHeight="1">
      <c r="A185" s="81"/>
      <c r="H185" s="88" t="s">
        <v>846</v>
      </c>
    </row>
    <row r="186" ht="15.75" customHeight="1">
      <c r="A186" s="81"/>
      <c r="H186" s="88" t="s">
        <v>847</v>
      </c>
    </row>
    <row r="187" ht="15.75" customHeight="1">
      <c r="A187" s="81"/>
      <c r="H187" s="88" t="s">
        <v>848</v>
      </c>
    </row>
    <row r="188" ht="15.75" customHeight="1">
      <c r="A188" s="81"/>
      <c r="H188" s="88" t="s">
        <v>849</v>
      </c>
    </row>
    <row r="189" ht="15.75" customHeight="1">
      <c r="A189" s="81"/>
      <c r="H189" s="88" t="s">
        <v>850</v>
      </c>
    </row>
    <row r="190" ht="15.75" customHeight="1">
      <c r="A190" s="81"/>
      <c r="H190" s="88" t="s">
        <v>851</v>
      </c>
    </row>
    <row r="191" ht="15.75" customHeight="1">
      <c r="A191" s="81"/>
      <c r="H191" s="88" t="s">
        <v>852</v>
      </c>
    </row>
    <row r="192" ht="15.75" customHeight="1">
      <c r="A192" s="81"/>
      <c r="H192" s="88" t="s">
        <v>853</v>
      </c>
    </row>
    <row r="193" ht="15.75" customHeight="1">
      <c r="A193" s="81"/>
      <c r="H193" s="88" t="s">
        <v>854</v>
      </c>
    </row>
    <row r="194" ht="15.75" customHeight="1">
      <c r="A194" s="81"/>
      <c r="H194" s="88" t="s">
        <v>855</v>
      </c>
    </row>
    <row r="195" ht="15.75" customHeight="1">
      <c r="A195" s="81"/>
      <c r="H195" s="88" t="s">
        <v>856</v>
      </c>
    </row>
    <row r="196" ht="15.75" customHeight="1">
      <c r="A196" s="81"/>
      <c r="H196" s="88" t="s">
        <v>857</v>
      </c>
    </row>
    <row r="197" ht="15.75" customHeight="1">
      <c r="A197" s="81"/>
      <c r="H197" s="88" t="s">
        <v>858</v>
      </c>
    </row>
    <row r="198" ht="15.75" customHeight="1">
      <c r="A198" s="81"/>
      <c r="H198" s="88" t="s">
        <v>859</v>
      </c>
    </row>
    <row r="199" ht="15.75" customHeight="1">
      <c r="A199" s="81"/>
    </row>
    <row r="200" ht="15.75" customHeight="1">
      <c r="A200" s="81"/>
      <c r="H200" s="88" t="s">
        <v>860</v>
      </c>
    </row>
    <row r="201" ht="15.75" customHeight="1">
      <c r="A201" s="81"/>
      <c r="H201" s="88" t="s">
        <v>861</v>
      </c>
    </row>
    <row r="202" ht="15.75" customHeight="1">
      <c r="A202" s="81"/>
      <c r="H202" s="88" t="s">
        <v>862</v>
      </c>
    </row>
    <row r="203" ht="15.75" customHeight="1">
      <c r="A203" s="81"/>
      <c r="H203" s="88" t="s">
        <v>863</v>
      </c>
    </row>
    <row r="204" ht="15.75" customHeight="1">
      <c r="A204" s="81"/>
      <c r="H204" s="88" t="s">
        <v>864</v>
      </c>
    </row>
    <row r="205" ht="15.75" customHeight="1">
      <c r="A205" s="81"/>
      <c r="H205" s="88" t="s">
        <v>865</v>
      </c>
    </row>
    <row r="206" ht="15.75" customHeight="1">
      <c r="A206" s="81"/>
      <c r="H206" s="88" t="s">
        <v>866</v>
      </c>
    </row>
    <row r="207" ht="15.75" customHeight="1">
      <c r="A207" s="81"/>
      <c r="H207" s="88" t="s">
        <v>867</v>
      </c>
    </row>
    <row r="208" ht="15.75" customHeight="1">
      <c r="A208" s="81"/>
      <c r="H208" s="88" t="s">
        <v>868</v>
      </c>
    </row>
    <row r="209" ht="15.75" customHeight="1">
      <c r="A209" s="81"/>
      <c r="H209" s="88" t="s">
        <v>869</v>
      </c>
    </row>
    <row r="210" ht="15.75" customHeight="1">
      <c r="A210" s="81"/>
      <c r="H210" s="88" t="s">
        <v>870</v>
      </c>
    </row>
    <row r="211" ht="15.75" customHeight="1">
      <c r="A211" s="81"/>
      <c r="H211" s="88" t="s">
        <v>871</v>
      </c>
    </row>
    <row r="212" ht="15.75" customHeight="1">
      <c r="A212" s="81"/>
      <c r="H212" s="88" t="s">
        <v>872</v>
      </c>
    </row>
    <row r="213" ht="15.75" customHeight="1">
      <c r="A213" s="81"/>
      <c r="H213" s="88" t="s">
        <v>873</v>
      </c>
    </row>
    <row r="214" ht="15.75" customHeight="1">
      <c r="A214" s="81"/>
      <c r="H214" s="88" t="s">
        <v>874</v>
      </c>
    </row>
    <row r="215" ht="15.75" customHeight="1">
      <c r="A215" s="81"/>
      <c r="H215" s="88" t="s">
        <v>875</v>
      </c>
    </row>
    <row r="216" ht="15.75" customHeight="1">
      <c r="A216" s="81"/>
      <c r="H216" s="88" t="s">
        <v>876</v>
      </c>
    </row>
    <row r="217" ht="15.75" customHeight="1">
      <c r="A217" s="81"/>
      <c r="H217" s="88" t="s">
        <v>877</v>
      </c>
    </row>
    <row r="218" ht="15.75" customHeight="1">
      <c r="A218" s="81"/>
    </row>
    <row r="219" ht="15.75" customHeight="1">
      <c r="A219" s="81"/>
    </row>
    <row r="220" ht="15.75" customHeight="1">
      <c r="A220" s="81"/>
    </row>
    <row r="221" ht="15.75" customHeight="1">
      <c r="A221" s="81"/>
    </row>
    <row r="222" ht="15.75" customHeight="1">
      <c r="A222" s="81"/>
    </row>
    <row r="223" ht="15.75" customHeight="1">
      <c r="A223" s="81"/>
    </row>
    <row r="224" ht="15.75" customHeight="1">
      <c r="A224" s="81"/>
    </row>
    <row r="225" ht="15.75" customHeight="1">
      <c r="A225" s="81"/>
    </row>
    <row r="226" ht="15.75" customHeight="1">
      <c r="A226" s="81"/>
    </row>
    <row r="227" ht="15.75" customHeight="1">
      <c r="A227" s="81"/>
    </row>
    <row r="228" ht="15.75" customHeight="1">
      <c r="A228" s="81"/>
    </row>
    <row r="229" ht="15.75" customHeight="1">
      <c r="A229" s="81"/>
    </row>
    <row r="230" ht="15.75" customHeight="1">
      <c r="A230" s="81"/>
    </row>
    <row r="231" ht="15.75" customHeight="1">
      <c r="A231" s="81"/>
    </row>
    <row r="232" ht="15.75" customHeight="1">
      <c r="A232" s="81"/>
    </row>
    <row r="233" ht="15.75" customHeight="1">
      <c r="A233" s="81"/>
    </row>
    <row r="234" ht="15.75" customHeight="1">
      <c r="A234" s="81"/>
    </row>
    <row r="235" ht="15.75" customHeight="1">
      <c r="A235" s="81"/>
    </row>
    <row r="236" ht="15.75" customHeight="1">
      <c r="A236" s="81"/>
    </row>
    <row r="237" ht="15.75" customHeight="1">
      <c r="A237" s="81"/>
    </row>
    <row r="238" ht="15.75" customHeight="1">
      <c r="A238" s="81"/>
    </row>
    <row r="239" ht="15.75" customHeight="1">
      <c r="A239" s="81"/>
    </row>
    <row r="240" ht="15.75" customHeight="1">
      <c r="A240" s="81"/>
    </row>
    <row r="241" ht="15.75" customHeight="1">
      <c r="A241" s="81"/>
    </row>
    <row r="242" ht="15.75" customHeight="1">
      <c r="A242" s="81"/>
    </row>
    <row r="243" ht="15.75" customHeight="1">
      <c r="A243" s="81"/>
    </row>
    <row r="244" ht="15.75" customHeight="1">
      <c r="A244" s="81"/>
    </row>
    <row r="245" ht="15.75" customHeight="1">
      <c r="A245" s="81"/>
    </row>
    <row r="246" ht="15.75" customHeight="1">
      <c r="A246" s="81"/>
    </row>
    <row r="247" ht="15.75" customHeight="1">
      <c r="A247" s="81"/>
    </row>
    <row r="248" ht="15.75" customHeight="1">
      <c r="A248" s="81"/>
    </row>
    <row r="249" ht="15.75" customHeight="1">
      <c r="A249" s="81"/>
    </row>
    <row r="250" ht="15.75" customHeight="1">
      <c r="A250" s="81"/>
    </row>
    <row r="251" ht="15.75" customHeight="1">
      <c r="A251" s="81"/>
    </row>
    <row r="252" ht="15.75" customHeight="1">
      <c r="A252" s="81"/>
    </row>
    <row r="253" ht="15.75" customHeight="1">
      <c r="A253" s="81"/>
    </row>
    <row r="254" ht="15.75" customHeight="1">
      <c r="A254" s="81"/>
    </row>
    <row r="255" ht="15.75" customHeight="1">
      <c r="A255" s="81"/>
    </row>
    <row r="256" ht="15.75" customHeight="1">
      <c r="A256" s="81"/>
    </row>
    <row r="257" ht="15.75" customHeight="1">
      <c r="A257" s="81"/>
    </row>
    <row r="258" ht="15.75" customHeight="1">
      <c r="A258" s="81"/>
    </row>
    <row r="259" ht="15.75" customHeight="1">
      <c r="A259" s="81"/>
    </row>
    <row r="260" ht="15.75" customHeight="1">
      <c r="A260" s="81"/>
    </row>
    <row r="261" ht="15.75" customHeight="1">
      <c r="A261" s="81"/>
    </row>
    <row r="262" ht="15.75" customHeight="1">
      <c r="A262" s="81"/>
    </row>
    <row r="263" ht="15.75" customHeight="1">
      <c r="A263" s="81"/>
    </row>
    <row r="264" ht="15.75" customHeight="1">
      <c r="A264" s="81"/>
    </row>
    <row r="265" ht="15.75" customHeight="1">
      <c r="A265" s="81"/>
    </row>
    <row r="266" ht="15.75" customHeight="1">
      <c r="A266" s="81"/>
    </row>
    <row r="267" ht="15.75" customHeight="1">
      <c r="A267" s="81"/>
    </row>
    <row r="268" ht="15.75" customHeight="1">
      <c r="A268" s="81"/>
    </row>
    <row r="269" ht="15.75" customHeight="1">
      <c r="A269" s="81"/>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3">
    <mergeCell ref="C1:G1"/>
    <mergeCell ref="L1:M1"/>
    <mergeCell ref="N1:O1"/>
  </mergeCells>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O16"/>
    <hyperlink r:id="rId17" ref="B17"/>
    <hyperlink r:id="rId18" ref="B18"/>
    <hyperlink r:id="rId19" ref="B19"/>
    <hyperlink r:id="rId20" ref="B20"/>
    <hyperlink r:id="rId21" ref="B21"/>
    <hyperlink r:id="rId22" ref="B22"/>
    <hyperlink r:id="rId23" ref="B23"/>
    <hyperlink r:id="rId24" ref="B24"/>
    <hyperlink r:id="rId25" ref="B25"/>
    <hyperlink r:id="rId26" ref="B26"/>
    <hyperlink r:id="rId27" ref="B27"/>
    <hyperlink r:id="rId28" ref="B28"/>
    <hyperlink r:id="rId29" ref="B29"/>
    <hyperlink r:id="rId30" ref="B30"/>
    <hyperlink r:id="rId31" ref="B31"/>
    <hyperlink r:id="rId32" ref="B32"/>
    <hyperlink r:id="rId33" ref="B33"/>
    <hyperlink r:id="rId34" ref="B34"/>
    <hyperlink r:id="rId35" ref="B35"/>
    <hyperlink r:id="rId36" ref="B36"/>
    <hyperlink r:id="rId37" ref="B37"/>
    <hyperlink r:id="rId38" ref="B38"/>
    <hyperlink r:id="rId39" ref="B39"/>
    <hyperlink r:id="rId40" ref="B40"/>
    <hyperlink r:id="rId41" ref="B41"/>
    <hyperlink r:id="rId42" ref="B42"/>
    <hyperlink r:id="rId43" ref="B43"/>
    <hyperlink r:id="rId44" ref="B44"/>
    <hyperlink r:id="rId45" ref="B45"/>
    <hyperlink r:id="rId46" ref="B46"/>
    <hyperlink r:id="rId47" ref="B47"/>
    <hyperlink r:id="rId48" ref="B48"/>
    <hyperlink r:id="rId49" ref="B49"/>
    <hyperlink r:id="rId50" ref="B50"/>
    <hyperlink r:id="rId51" ref="B51"/>
    <hyperlink r:id="rId52" ref="B52"/>
    <hyperlink r:id="rId53" ref="B53"/>
    <hyperlink r:id="rId54" ref="B54"/>
    <hyperlink r:id="rId55" ref="B55"/>
    <hyperlink r:id="rId56" ref="B56"/>
    <hyperlink r:id="rId57" ref="B57"/>
    <hyperlink r:id="rId58" ref="B58"/>
    <hyperlink r:id="rId59" ref="B59"/>
    <hyperlink r:id="rId60" ref="B60"/>
    <hyperlink r:id="rId61" ref="B61"/>
    <hyperlink r:id="rId62" ref="B62"/>
    <hyperlink r:id="rId63" ref="B63"/>
    <hyperlink r:id="rId64" ref="B64"/>
    <hyperlink r:id="rId65" ref="B65"/>
    <hyperlink r:id="rId66" ref="B66"/>
    <hyperlink r:id="rId67" ref="B67"/>
    <hyperlink r:id="rId68" ref="B68"/>
    <hyperlink r:id="rId69" ref="B69"/>
    <hyperlink r:id="rId70" ref="B70"/>
    <hyperlink r:id="rId71" ref="B71"/>
    <hyperlink r:id="rId72" ref="B72"/>
    <hyperlink r:id="rId73" ref="B73"/>
    <hyperlink r:id="rId74" ref="B74"/>
    <hyperlink r:id="rId75" ref="B75"/>
    <hyperlink r:id="rId76" ref="B76"/>
    <hyperlink r:id="rId77" ref="B77"/>
    <hyperlink r:id="rId78" ref="B78"/>
    <hyperlink r:id="rId79" ref="B79"/>
    <hyperlink r:id="rId80" ref="C79"/>
    <hyperlink r:id="rId81" ref="B80"/>
    <hyperlink r:id="rId82" ref="B81"/>
    <hyperlink r:id="rId83" ref="B82"/>
    <hyperlink r:id="rId84" ref="B83"/>
    <hyperlink r:id="rId85" ref="B84"/>
    <hyperlink r:id="rId86" ref="B85"/>
    <hyperlink r:id="rId87" ref="B86"/>
    <hyperlink r:id="rId88" ref="B87"/>
    <hyperlink r:id="rId89" ref="B88"/>
    <hyperlink r:id="rId90" ref="B89"/>
    <hyperlink r:id="rId91" ref="B90"/>
    <hyperlink r:id="rId92" ref="B91"/>
    <hyperlink r:id="rId93" ref="B92"/>
    <hyperlink r:id="rId94" ref="B93"/>
    <hyperlink r:id="rId95" ref="B94"/>
    <hyperlink r:id="rId96" ref="B95"/>
    <hyperlink r:id="rId97" ref="B96"/>
    <hyperlink r:id="rId98" ref="B97"/>
    <hyperlink r:id="rId99" ref="B98"/>
    <hyperlink r:id="rId100" ref="B99"/>
    <hyperlink r:id="rId101" ref="B100"/>
    <hyperlink r:id="rId102" ref="B101"/>
    <hyperlink r:id="rId103" ref="B102"/>
    <hyperlink r:id="rId104" ref="B105"/>
    <hyperlink r:id="rId105" ref="B106"/>
    <hyperlink r:id="rId106" ref="B107"/>
    <hyperlink r:id="rId107" ref="B108"/>
    <hyperlink r:id="rId108" ref="B109"/>
    <hyperlink r:id="rId109" ref="B110"/>
    <hyperlink r:id="rId110" ref="B111"/>
    <hyperlink r:id="rId111" ref="B113"/>
    <hyperlink r:id="rId112" ref="B114"/>
    <hyperlink r:id="rId113" ref="B115"/>
    <hyperlink r:id="rId114" ref="B116"/>
    <hyperlink r:id="rId115" ref="B117"/>
    <hyperlink r:id="rId116" ref="B118"/>
    <hyperlink r:id="rId117" ref="B119"/>
    <hyperlink r:id="rId118" ref="B121"/>
    <hyperlink r:id="rId119" ref="B122"/>
    <hyperlink r:id="rId120" ref="B123"/>
    <hyperlink r:id="rId121" ref="B124"/>
    <hyperlink r:id="rId122" ref="B126"/>
    <hyperlink r:id="rId123" ref="B127"/>
    <hyperlink r:id="rId124" ref="B128"/>
    <hyperlink r:id="rId125" ref="B129"/>
    <hyperlink r:id="rId126" ref="H161"/>
    <hyperlink r:id="rId127" ref="H162"/>
    <hyperlink r:id="rId128" ref="H163"/>
    <hyperlink r:id="rId129" ref="H164"/>
    <hyperlink r:id="rId130" ref="H165"/>
    <hyperlink r:id="rId131" ref="H166"/>
    <hyperlink r:id="rId132" ref="H167"/>
    <hyperlink r:id="rId133" ref="H168"/>
    <hyperlink r:id="rId134" ref="H169"/>
    <hyperlink r:id="rId135" ref="H170"/>
    <hyperlink r:id="rId136" ref="H171"/>
    <hyperlink r:id="rId137" ref="H172"/>
    <hyperlink r:id="rId138" ref="H173"/>
    <hyperlink r:id="rId139" ref="H174"/>
    <hyperlink r:id="rId140" ref="H175"/>
    <hyperlink r:id="rId141" ref="H176"/>
    <hyperlink r:id="rId142" ref="H177"/>
    <hyperlink r:id="rId143" ref="H178"/>
    <hyperlink r:id="rId144" ref="H179"/>
    <hyperlink r:id="rId145" ref="H180"/>
    <hyperlink r:id="rId146" ref="H181"/>
    <hyperlink r:id="rId147" ref="H182"/>
    <hyperlink r:id="rId148" ref="H183"/>
    <hyperlink r:id="rId149" ref="H184"/>
    <hyperlink r:id="rId150" ref="H185"/>
    <hyperlink r:id="rId151" ref="H186"/>
    <hyperlink r:id="rId152" ref="H187"/>
    <hyperlink r:id="rId153" ref="H188"/>
    <hyperlink r:id="rId154" ref="H189"/>
    <hyperlink r:id="rId155" ref="H190"/>
    <hyperlink r:id="rId156" ref="H191"/>
    <hyperlink r:id="rId157" ref="H192"/>
    <hyperlink r:id="rId158" ref="H193"/>
    <hyperlink r:id="rId159" ref="H194"/>
    <hyperlink r:id="rId160" ref="H195"/>
    <hyperlink r:id="rId161" ref="H196"/>
    <hyperlink r:id="rId162" ref="H197"/>
    <hyperlink r:id="rId163" ref="H198"/>
    <hyperlink r:id="rId164" ref="H200"/>
    <hyperlink r:id="rId165" ref="H201"/>
    <hyperlink r:id="rId166" ref="H202"/>
    <hyperlink r:id="rId167" ref="H203"/>
    <hyperlink r:id="rId168" ref="H204"/>
    <hyperlink r:id="rId169" ref="H205"/>
    <hyperlink r:id="rId170" ref="H206"/>
    <hyperlink r:id="rId171" ref="H207"/>
    <hyperlink r:id="rId172" ref="H208"/>
    <hyperlink r:id="rId173" ref="H209"/>
    <hyperlink r:id="rId174" ref="H210"/>
    <hyperlink r:id="rId175" ref="H211"/>
    <hyperlink r:id="rId176" ref="H212"/>
    <hyperlink r:id="rId177" ref="H213"/>
    <hyperlink r:id="rId178" ref="H214"/>
    <hyperlink r:id="rId179" ref="H215"/>
    <hyperlink r:id="rId180" ref="H216"/>
    <hyperlink r:id="rId181" ref="H217"/>
  </hyperlinks>
  <drawing r:id="rId18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12.88"/>
    <col customWidth="1" min="3" max="3" width="21.88"/>
    <col customWidth="1" min="4" max="4" width="59.0"/>
    <col customWidth="1" min="5" max="5" width="16.88"/>
    <col customWidth="1" min="6" max="6" width="15.75"/>
  </cols>
  <sheetData>
    <row r="1" ht="15.75" customHeight="1">
      <c r="A1" s="12" t="s">
        <v>16</v>
      </c>
      <c r="B1" s="12" t="s">
        <v>878</v>
      </c>
      <c r="C1" s="90" t="s">
        <v>879</v>
      </c>
      <c r="D1" s="90"/>
      <c r="E1" s="12"/>
      <c r="F1" s="12"/>
      <c r="G1" s="12"/>
      <c r="H1" s="12"/>
      <c r="I1" s="12"/>
      <c r="J1" s="12"/>
      <c r="K1" s="12"/>
      <c r="L1" s="12"/>
      <c r="M1" s="12"/>
      <c r="N1" s="12"/>
      <c r="O1" s="12"/>
      <c r="P1" s="12"/>
      <c r="Q1" s="12"/>
      <c r="R1" s="12"/>
      <c r="S1" s="12"/>
      <c r="T1" s="12"/>
      <c r="U1" s="12"/>
      <c r="V1" s="12"/>
      <c r="W1" s="12"/>
      <c r="X1" s="12"/>
      <c r="Y1" s="12"/>
      <c r="Z1" s="12"/>
    </row>
    <row r="2" ht="15.75" customHeight="1">
      <c r="A2" s="91">
        <v>45957.0</v>
      </c>
      <c r="B2" s="12" t="s">
        <v>880</v>
      </c>
      <c r="C2" s="90" t="s">
        <v>881</v>
      </c>
      <c r="D2" s="92" t="s">
        <v>882</v>
      </c>
      <c r="E2" s="91" t="s">
        <v>883</v>
      </c>
      <c r="F2" s="91" t="s">
        <v>884</v>
      </c>
      <c r="G2" s="12" t="s">
        <v>885</v>
      </c>
      <c r="H2" s="12" t="s">
        <v>886</v>
      </c>
      <c r="I2" s="12" t="s">
        <v>887</v>
      </c>
      <c r="J2" s="12" t="s">
        <v>888</v>
      </c>
      <c r="K2" s="12"/>
      <c r="L2" s="12"/>
      <c r="M2" s="12"/>
      <c r="N2" s="12"/>
      <c r="O2" s="12"/>
      <c r="P2" s="12"/>
      <c r="Q2" s="12"/>
      <c r="R2" s="12"/>
      <c r="S2" s="12"/>
      <c r="T2" s="12"/>
      <c r="U2" s="12"/>
      <c r="V2" s="12"/>
      <c r="W2" s="12"/>
      <c r="X2" s="12"/>
      <c r="Y2" s="12"/>
      <c r="Z2" s="12"/>
    </row>
    <row r="3" ht="15.75" customHeight="1">
      <c r="A3" s="12"/>
      <c r="B3" s="12" t="s">
        <v>889</v>
      </c>
      <c r="C3" s="93">
        <v>5000.0</v>
      </c>
      <c r="D3" s="92" t="s">
        <v>890</v>
      </c>
      <c r="E3" s="12"/>
      <c r="F3" s="12"/>
      <c r="G3" s="12"/>
      <c r="H3" s="12"/>
      <c r="I3" s="12"/>
      <c r="J3" s="12"/>
      <c r="K3" s="12"/>
      <c r="L3" s="12"/>
      <c r="M3" s="12"/>
      <c r="N3" s="12"/>
      <c r="O3" s="12"/>
      <c r="P3" s="12"/>
      <c r="Q3" s="12"/>
      <c r="R3" s="12"/>
      <c r="S3" s="12"/>
      <c r="T3" s="12"/>
      <c r="U3" s="12"/>
      <c r="V3" s="12"/>
      <c r="W3" s="12"/>
      <c r="X3" s="12"/>
      <c r="Y3" s="12"/>
      <c r="Z3" s="12"/>
    </row>
    <row r="4" ht="15.75" customHeight="1">
      <c r="A4" s="12"/>
      <c r="B4" s="12" t="s">
        <v>891</v>
      </c>
      <c r="C4" s="90" t="s">
        <v>892</v>
      </c>
      <c r="D4" s="92" t="s">
        <v>893</v>
      </c>
      <c r="E4" s="12" t="s">
        <v>894</v>
      </c>
      <c r="F4" s="12" t="s">
        <v>885</v>
      </c>
      <c r="G4" s="12"/>
      <c r="H4" s="12"/>
      <c r="I4" s="12"/>
      <c r="J4" s="12"/>
      <c r="K4" s="12"/>
      <c r="L4" s="12"/>
      <c r="M4" s="12"/>
      <c r="N4" s="12"/>
      <c r="O4" s="12"/>
      <c r="P4" s="12"/>
      <c r="Q4" s="12"/>
      <c r="R4" s="12"/>
      <c r="S4" s="12"/>
      <c r="T4" s="12"/>
      <c r="U4" s="12"/>
      <c r="V4" s="12"/>
      <c r="W4" s="12"/>
      <c r="X4" s="12"/>
      <c r="Y4" s="12"/>
      <c r="Z4" s="12"/>
    </row>
    <row r="5" ht="15.75" customHeight="1">
      <c r="A5" s="12"/>
      <c r="B5" s="12"/>
      <c r="C5" s="93">
        <v>5000.0</v>
      </c>
      <c r="D5" s="92" t="s">
        <v>895</v>
      </c>
      <c r="E5" s="12"/>
      <c r="F5" s="12"/>
      <c r="G5" s="12"/>
      <c r="H5" s="12"/>
      <c r="I5" s="12"/>
      <c r="J5" s="12"/>
      <c r="K5" s="12"/>
      <c r="L5" s="12"/>
      <c r="M5" s="12"/>
      <c r="N5" s="12"/>
      <c r="O5" s="12"/>
      <c r="P5" s="12"/>
      <c r="Q5" s="12"/>
      <c r="R5" s="12"/>
      <c r="S5" s="12"/>
      <c r="T5" s="12"/>
      <c r="U5" s="12"/>
      <c r="V5" s="12"/>
      <c r="W5" s="12"/>
      <c r="X5" s="12"/>
      <c r="Y5" s="12"/>
      <c r="Z5" s="12"/>
    </row>
    <row r="6" ht="15.75" customHeight="1">
      <c r="A6" s="12"/>
      <c r="B6" s="12"/>
      <c r="C6" s="90" t="s">
        <v>896</v>
      </c>
      <c r="D6" s="92" t="s">
        <v>897</v>
      </c>
      <c r="E6" s="12"/>
      <c r="F6" s="12"/>
      <c r="G6" s="12"/>
      <c r="H6" s="12"/>
      <c r="I6" s="12"/>
      <c r="J6" s="12"/>
      <c r="K6" s="12"/>
      <c r="L6" s="12"/>
      <c r="M6" s="12"/>
      <c r="N6" s="12"/>
      <c r="O6" s="12"/>
      <c r="P6" s="12"/>
      <c r="Q6" s="12"/>
      <c r="R6" s="12"/>
      <c r="S6" s="12"/>
      <c r="T6" s="12"/>
      <c r="U6" s="12"/>
      <c r="V6" s="12"/>
      <c r="W6" s="12"/>
      <c r="X6" s="12"/>
      <c r="Y6" s="12"/>
      <c r="Z6" s="12"/>
    </row>
    <row r="7" ht="15.75" customHeight="1">
      <c r="A7" s="12"/>
      <c r="B7" s="12" t="s">
        <v>898</v>
      </c>
      <c r="C7" s="90" t="s">
        <v>899</v>
      </c>
      <c r="D7" s="92" t="s">
        <v>900</v>
      </c>
      <c r="E7" s="12" t="s">
        <v>901</v>
      </c>
      <c r="F7" s="12"/>
      <c r="G7" s="12"/>
      <c r="H7" s="12"/>
      <c r="I7" s="12"/>
      <c r="J7" s="12"/>
      <c r="K7" s="12"/>
      <c r="L7" s="12"/>
      <c r="M7" s="12"/>
      <c r="N7" s="12"/>
      <c r="O7" s="12"/>
      <c r="P7" s="12"/>
      <c r="Q7" s="12"/>
      <c r="R7" s="12"/>
      <c r="S7" s="12"/>
      <c r="T7" s="12"/>
      <c r="U7" s="12"/>
      <c r="V7" s="12"/>
      <c r="W7" s="12"/>
      <c r="X7" s="12"/>
      <c r="Y7" s="12"/>
      <c r="Z7" s="12"/>
    </row>
    <row r="8" ht="15.75" customHeight="1">
      <c r="A8" s="12"/>
      <c r="B8" s="12" t="s">
        <v>651</v>
      </c>
      <c r="C8" s="90" t="s">
        <v>715</v>
      </c>
      <c r="D8" s="92" t="s">
        <v>902</v>
      </c>
      <c r="E8" s="12" t="s">
        <v>903</v>
      </c>
      <c r="F8" s="12" t="s">
        <v>904</v>
      </c>
      <c r="G8" s="12" t="s">
        <v>905</v>
      </c>
      <c r="H8" s="12" t="s">
        <v>906</v>
      </c>
      <c r="I8" s="12"/>
      <c r="J8" s="12"/>
      <c r="K8" s="12"/>
      <c r="L8" s="12"/>
      <c r="M8" s="12"/>
      <c r="N8" s="12"/>
      <c r="O8" s="12"/>
      <c r="P8" s="12"/>
      <c r="Q8" s="12"/>
      <c r="R8" s="12"/>
      <c r="S8" s="12"/>
      <c r="T8" s="12"/>
      <c r="U8" s="12"/>
      <c r="V8" s="12"/>
      <c r="W8" s="12"/>
      <c r="X8" s="12"/>
      <c r="Y8" s="12"/>
      <c r="Z8" s="12"/>
    </row>
    <row r="9" ht="15.75" customHeight="1">
      <c r="A9" s="12"/>
      <c r="B9" s="12" t="s">
        <v>907</v>
      </c>
      <c r="C9" s="90" t="s">
        <v>908</v>
      </c>
      <c r="D9" s="92" t="s">
        <v>909</v>
      </c>
      <c r="E9" s="12"/>
      <c r="F9" s="12"/>
      <c r="G9" s="12"/>
      <c r="H9" s="12"/>
      <c r="I9" s="12"/>
      <c r="J9" s="12"/>
      <c r="K9" s="12"/>
      <c r="L9" s="12"/>
      <c r="M9" s="12"/>
      <c r="N9" s="12"/>
      <c r="O9" s="12"/>
      <c r="P9" s="12"/>
      <c r="Q9" s="12"/>
      <c r="R9" s="12"/>
      <c r="S9" s="12"/>
      <c r="T9" s="12"/>
      <c r="U9" s="12"/>
      <c r="V9" s="12"/>
      <c r="W9" s="12"/>
      <c r="X9" s="12"/>
      <c r="Y9" s="12"/>
      <c r="Z9" s="12"/>
    </row>
    <row r="10" ht="15.75" customHeight="1">
      <c r="A10" s="12"/>
      <c r="B10" s="12" t="s">
        <v>910</v>
      </c>
      <c r="C10" s="90" t="s">
        <v>911</v>
      </c>
      <c r="D10" s="92" t="s">
        <v>912</v>
      </c>
      <c r="E10" s="12"/>
      <c r="F10" s="12"/>
      <c r="G10" s="12"/>
      <c r="H10" s="12"/>
      <c r="I10" s="12"/>
      <c r="J10" s="12"/>
      <c r="K10" s="12"/>
      <c r="L10" s="12"/>
      <c r="M10" s="12"/>
      <c r="N10" s="12"/>
      <c r="O10" s="12"/>
      <c r="P10" s="12"/>
      <c r="Q10" s="12"/>
      <c r="R10" s="12"/>
      <c r="S10" s="12"/>
      <c r="T10" s="12"/>
      <c r="U10" s="12"/>
      <c r="V10" s="12"/>
      <c r="W10" s="12"/>
      <c r="X10" s="12"/>
      <c r="Y10" s="12"/>
      <c r="Z10" s="12"/>
    </row>
    <row r="11" ht="15.75" customHeight="1">
      <c r="A11" s="12"/>
      <c r="B11" s="12" t="s">
        <v>913</v>
      </c>
      <c r="C11" s="90" t="s">
        <v>914</v>
      </c>
      <c r="D11" s="92" t="s">
        <v>915</v>
      </c>
      <c r="E11" s="12" t="s">
        <v>916</v>
      </c>
      <c r="F11" s="12" t="s">
        <v>917</v>
      </c>
      <c r="G11" s="12" t="s">
        <v>918</v>
      </c>
      <c r="H11" s="12"/>
      <c r="I11" s="12"/>
      <c r="J11" s="12"/>
      <c r="K11" s="12"/>
      <c r="L11" s="12"/>
      <c r="M11" s="12"/>
      <c r="N11" s="12"/>
      <c r="O11" s="12"/>
      <c r="P11" s="12"/>
      <c r="Q11" s="12"/>
      <c r="R11" s="12"/>
      <c r="S11" s="12"/>
      <c r="T11" s="12"/>
      <c r="U11" s="12"/>
      <c r="V11" s="12"/>
      <c r="W11" s="12"/>
      <c r="X11" s="12"/>
      <c r="Y11" s="12"/>
      <c r="Z11" s="12"/>
    </row>
    <row r="12" ht="15.75" customHeight="1">
      <c r="A12" s="12"/>
      <c r="B12" s="12" t="s">
        <v>919</v>
      </c>
      <c r="C12" s="90" t="s">
        <v>920</v>
      </c>
      <c r="D12" s="92"/>
      <c r="E12" s="12"/>
      <c r="F12" s="12"/>
      <c r="G12" s="12"/>
      <c r="H12" s="12"/>
      <c r="I12" s="12"/>
      <c r="J12" s="12"/>
      <c r="K12" s="12"/>
      <c r="L12" s="12"/>
      <c r="M12" s="12"/>
      <c r="N12" s="12"/>
      <c r="O12" s="12"/>
      <c r="P12" s="12"/>
      <c r="Q12" s="12"/>
      <c r="R12" s="12"/>
      <c r="S12" s="12"/>
      <c r="T12" s="12"/>
      <c r="U12" s="12"/>
      <c r="V12" s="12"/>
      <c r="W12" s="12"/>
      <c r="X12" s="12"/>
      <c r="Y12" s="12"/>
      <c r="Z12" s="12"/>
    </row>
    <row r="13" ht="15.75" customHeight="1">
      <c r="A13" s="12"/>
      <c r="B13" s="12" t="s">
        <v>921</v>
      </c>
      <c r="C13" s="90" t="s">
        <v>922</v>
      </c>
      <c r="D13" s="92"/>
      <c r="E13" s="12"/>
      <c r="F13" s="12"/>
      <c r="G13" s="12"/>
      <c r="H13" s="12"/>
      <c r="I13" s="12"/>
      <c r="J13" s="12"/>
      <c r="K13" s="12"/>
      <c r="L13" s="12"/>
      <c r="M13" s="12"/>
      <c r="N13" s="12"/>
      <c r="O13" s="12"/>
      <c r="P13" s="12"/>
      <c r="Q13" s="12"/>
      <c r="R13" s="12"/>
      <c r="S13" s="12"/>
      <c r="T13" s="12"/>
      <c r="U13" s="12"/>
      <c r="V13" s="12"/>
      <c r="W13" s="12"/>
      <c r="X13" s="12"/>
      <c r="Y13" s="12"/>
      <c r="Z13" s="12"/>
    </row>
    <row r="14" ht="15.75" customHeight="1">
      <c r="A14" s="12"/>
      <c r="B14" s="12" t="s">
        <v>923</v>
      </c>
      <c r="C14" s="90" t="s">
        <v>924</v>
      </c>
      <c r="D14" s="90" t="s">
        <v>925</v>
      </c>
      <c r="E14" s="12"/>
      <c r="F14" s="12"/>
      <c r="G14" s="12"/>
      <c r="H14" s="12"/>
      <c r="I14" s="12"/>
      <c r="J14" s="12"/>
      <c r="K14" s="12"/>
      <c r="L14" s="12"/>
      <c r="M14" s="12"/>
      <c r="N14" s="12"/>
      <c r="O14" s="12"/>
      <c r="P14" s="12"/>
      <c r="Q14" s="12"/>
      <c r="R14" s="12"/>
      <c r="S14" s="12"/>
      <c r="T14" s="12"/>
      <c r="U14" s="12"/>
      <c r="V14" s="12"/>
      <c r="W14" s="12"/>
      <c r="X14" s="12"/>
      <c r="Y14" s="12"/>
      <c r="Z14" s="12"/>
    </row>
    <row r="15" ht="15.75" customHeight="1">
      <c r="A15" s="12"/>
      <c r="B15" s="12" t="s">
        <v>926</v>
      </c>
      <c r="C15" s="90" t="s">
        <v>927</v>
      </c>
      <c r="D15" s="92"/>
      <c r="E15" s="12"/>
      <c r="F15" s="12"/>
      <c r="G15" s="12"/>
      <c r="H15" s="12"/>
      <c r="I15" s="12"/>
      <c r="J15" s="12"/>
      <c r="K15" s="12"/>
      <c r="L15" s="12"/>
      <c r="M15" s="12"/>
      <c r="N15" s="12"/>
      <c r="O15" s="12"/>
      <c r="P15" s="12"/>
      <c r="Q15" s="12"/>
      <c r="R15" s="12"/>
      <c r="S15" s="12"/>
      <c r="T15" s="12"/>
      <c r="U15" s="12"/>
      <c r="V15" s="12"/>
      <c r="W15" s="12"/>
      <c r="X15" s="12"/>
      <c r="Y15" s="12"/>
      <c r="Z15" s="12"/>
    </row>
    <row r="16" ht="15.75" customHeight="1">
      <c r="A16" s="12"/>
      <c r="B16" s="12" t="s">
        <v>928</v>
      </c>
      <c r="C16" s="90" t="s">
        <v>929</v>
      </c>
      <c r="D16" s="92"/>
      <c r="E16" s="12"/>
      <c r="F16" s="12"/>
      <c r="G16" s="12"/>
      <c r="H16" s="12"/>
      <c r="I16" s="12"/>
      <c r="J16" s="12"/>
      <c r="K16" s="12"/>
      <c r="L16" s="12"/>
      <c r="M16" s="12"/>
      <c r="N16" s="12"/>
      <c r="O16" s="12"/>
      <c r="P16" s="12"/>
      <c r="Q16" s="12"/>
      <c r="R16" s="12"/>
      <c r="S16" s="12"/>
      <c r="T16" s="12"/>
      <c r="U16" s="12"/>
      <c r="V16" s="12"/>
      <c r="W16" s="12"/>
      <c r="X16" s="12"/>
      <c r="Y16" s="12"/>
      <c r="Z16" s="12"/>
    </row>
    <row r="17" ht="15.75" customHeight="1">
      <c r="A17" s="12"/>
      <c r="B17" s="12" t="s">
        <v>930</v>
      </c>
      <c r="C17" s="90"/>
      <c r="D17" s="90" t="s">
        <v>931</v>
      </c>
      <c r="E17" s="12"/>
      <c r="F17" s="12"/>
      <c r="G17" s="12"/>
      <c r="H17" s="12"/>
      <c r="I17" s="12"/>
      <c r="J17" s="12"/>
      <c r="K17" s="12"/>
      <c r="L17" s="12"/>
      <c r="M17" s="12"/>
      <c r="N17" s="12"/>
      <c r="O17" s="12"/>
      <c r="P17" s="12"/>
      <c r="Q17" s="12"/>
      <c r="R17" s="12"/>
      <c r="S17" s="12"/>
      <c r="T17" s="12"/>
      <c r="U17" s="12"/>
      <c r="V17" s="12"/>
      <c r="W17" s="12"/>
      <c r="X17" s="12"/>
      <c r="Y17" s="12"/>
      <c r="Z17" s="12"/>
    </row>
    <row r="18" ht="15.75" customHeight="1">
      <c r="A18" s="91">
        <v>45958.0</v>
      </c>
      <c r="B18" s="12" t="s">
        <v>932</v>
      </c>
      <c r="C18" s="90" t="s">
        <v>933</v>
      </c>
      <c r="D18" s="92"/>
      <c r="E18" s="12"/>
      <c r="F18" s="12"/>
      <c r="G18" s="12"/>
      <c r="H18" s="12"/>
      <c r="I18" s="12"/>
      <c r="J18" s="12"/>
      <c r="K18" s="12"/>
      <c r="L18" s="12"/>
      <c r="M18" s="12"/>
      <c r="N18" s="12"/>
      <c r="O18" s="12"/>
      <c r="P18" s="12"/>
      <c r="Q18" s="12"/>
      <c r="R18" s="12"/>
      <c r="S18" s="12"/>
      <c r="T18" s="12"/>
      <c r="U18" s="12"/>
      <c r="V18" s="12"/>
      <c r="W18" s="12"/>
      <c r="X18" s="12"/>
      <c r="Y18" s="12"/>
      <c r="Z18" s="12"/>
    </row>
    <row r="19" ht="15.75" customHeight="1">
      <c r="A19" s="91">
        <v>45959.0</v>
      </c>
      <c r="B19" s="12" t="s">
        <v>934</v>
      </c>
      <c r="C19" s="90" t="s">
        <v>935</v>
      </c>
      <c r="D19" s="90" t="s">
        <v>936</v>
      </c>
      <c r="E19" s="12"/>
      <c r="F19" s="12"/>
      <c r="G19" s="12"/>
      <c r="H19" s="12"/>
      <c r="I19" s="12"/>
      <c r="J19" s="12"/>
      <c r="K19" s="12"/>
      <c r="L19" s="12"/>
      <c r="M19" s="12"/>
      <c r="N19" s="12"/>
      <c r="O19" s="12"/>
      <c r="P19" s="12"/>
      <c r="Q19" s="12"/>
      <c r="R19" s="12"/>
      <c r="S19" s="12"/>
      <c r="T19" s="12"/>
      <c r="U19" s="12"/>
      <c r="V19" s="12"/>
      <c r="W19" s="12"/>
      <c r="X19" s="12"/>
      <c r="Y19" s="12"/>
      <c r="Z19" s="12"/>
    </row>
    <row r="20" ht="15.75" customHeight="1">
      <c r="A20" s="12" t="s">
        <v>937</v>
      </c>
      <c r="B20" s="12" t="s">
        <v>938</v>
      </c>
      <c r="C20" s="90" t="s">
        <v>939</v>
      </c>
      <c r="D20" s="92"/>
      <c r="E20" s="12"/>
      <c r="F20" s="12"/>
      <c r="G20" s="12"/>
      <c r="H20" s="12"/>
      <c r="I20" s="12"/>
      <c r="J20" s="12"/>
      <c r="K20" s="12"/>
      <c r="L20" s="12"/>
      <c r="M20" s="12"/>
      <c r="N20" s="12"/>
      <c r="O20" s="12"/>
      <c r="P20" s="12"/>
      <c r="Q20" s="12"/>
      <c r="R20" s="12"/>
      <c r="S20" s="12"/>
      <c r="T20" s="12"/>
      <c r="U20" s="12"/>
      <c r="V20" s="12"/>
      <c r="W20" s="12"/>
      <c r="X20" s="12"/>
      <c r="Y20" s="12"/>
      <c r="Z20" s="12"/>
    </row>
    <row r="21" ht="15.75" customHeight="1">
      <c r="A21" s="12"/>
      <c r="B21" s="12" t="s">
        <v>940</v>
      </c>
      <c r="C21" s="90"/>
      <c r="D21" s="92"/>
      <c r="E21" s="12"/>
      <c r="F21" s="12"/>
      <c r="G21" s="12"/>
      <c r="H21" s="12"/>
      <c r="I21" s="12"/>
      <c r="J21" s="12"/>
      <c r="K21" s="12"/>
      <c r="L21" s="12"/>
      <c r="M21" s="12"/>
      <c r="N21" s="12"/>
      <c r="O21" s="12"/>
      <c r="P21" s="12"/>
      <c r="Q21" s="12"/>
      <c r="R21" s="12"/>
      <c r="S21" s="12"/>
      <c r="T21" s="12"/>
      <c r="U21" s="12"/>
      <c r="V21" s="12"/>
      <c r="W21" s="12"/>
      <c r="X21" s="12"/>
      <c r="Y21" s="12"/>
      <c r="Z21" s="12"/>
    </row>
    <row r="22" ht="15.75" customHeight="1">
      <c r="A22" s="12"/>
      <c r="B22" s="94" t="s">
        <v>941</v>
      </c>
      <c r="C22" s="90" t="s">
        <v>942</v>
      </c>
      <c r="D22" s="90" t="s">
        <v>943</v>
      </c>
      <c r="E22" s="12"/>
      <c r="F22" s="12"/>
      <c r="G22" s="12"/>
      <c r="H22" s="12"/>
      <c r="I22" s="12"/>
      <c r="J22" s="12"/>
      <c r="K22" s="12"/>
      <c r="L22" s="12"/>
      <c r="M22" s="12"/>
      <c r="N22" s="12"/>
      <c r="O22" s="12"/>
      <c r="P22" s="12"/>
      <c r="Q22" s="12"/>
      <c r="R22" s="12"/>
      <c r="S22" s="12"/>
      <c r="T22" s="12"/>
      <c r="U22" s="12"/>
      <c r="V22" s="12"/>
      <c r="W22" s="12"/>
      <c r="X22" s="12"/>
      <c r="Y22" s="12"/>
      <c r="Z22" s="12"/>
    </row>
    <row r="23" ht="15.75" customHeight="1">
      <c r="A23" s="12"/>
      <c r="B23" s="12" t="s">
        <v>944</v>
      </c>
      <c r="C23" s="90" t="s">
        <v>945</v>
      </c>
      <c r="D23" s="90" t="s">
        <v>946</v>
      </c>
      <c r="E23" s="12"/>
      <c r="F23" s="12"/>
      <c r="G23" s="12"/>
      <c r="H23" s="12"/>
      <c r="I23" s="12"/>
      <c r="J23" s="12"/>
      <c r="K23" s="12"/>
      <c r="L23" s="12"/>
      <c r="M23" s="12"/>
      <c r="N23" s="12"/>
      <c r="O23" s="12"/>
      <c r="P23" s="12"/>
      <c r="Q23" s="12"/>
      <c r="R23" s="12"/>
      <c r="S23" s="12"/>
      <c r="T23" s="12"/>
      <c r="U23" s="12"/>
      <c r="V23" s="12"/>
      <c r="W23" s="12"/>
      <c r="X23" s="12"/>
      <c r="Y23" s="12"/>
      <c r="Z23" s="12"/>
    </row>
    <row r="24" ht="15.75" customHeight="1">
      <c r="A24" s="12"/>
      <c r="B24" s="12" t="s">
        <v>945</v>
      </c>
      <c r="C24" s="90" t="s">
        <v>947</v>
      </c>
      <c r="D24" s="92"/>
      <c r="E24" s="12"/>
      <c r="F24" s="12"/>
      <c r="G24" s="12"/>
      <c r="H24" s="12"/>
      <c r="I24" s="12"/>
      <c r="J24" s="12"/>
      <c r="K24" s="12"/>
      <c r="L24" s="12"/>
      <c r="M24" s="12"/>
      <c r="N24" s="12"/>
      <c r="O24" s="12"/>
      <c r="P24" s="12"/>
      <c r="Q24" s="12"/>
      <c r="R24" s="12"/>
      <c r="S24" s="12"/>
      <c r="T24" s="12"/>
      <c r="U24" s="12"/>
      <c r="V24" s="12"/>
      <c r="W24" s="12"/>
      <c r="X24" s="12"/>
      <c r="Y24" s="12"/>
      <c r="Z24" s="12"/>
    </row>
    <row r="25" ht="15.75" customHeight="1">
      <c r="A25" s="12"/>
      <c r="B25" s="12" t="s">
        <v>948</v>
      </c>
      <c r="C25" s="90" t="s">
        <v>949</v>
      </c>
      <c r="D25" s="90" t="s">
        <v>950</v>
      </c>
      <c r="E25" s="12"/>
      <c r="F25" s="12"/>
      <c r="G25" s="12"/>
      <c r="H25" s="12"/>
      <c r="I25" s="12"/>
      <c r="J25" s="12"/>
      <c r="K25" s="12"/>
      <c r="L25" s="12"/>
      <c r="M25" s="12"/>
      <c r="N25" s="12"/>
      <c r="O25" s="12"/>
      <c r="P25" s="12"/>
      <c r="Q25" s="12"/>
      <c r="R25" s="12"/>
      <c r="S25" s="12"/>
      <c r="T25" s="12"/>
      <c r="U25" s="12"/>
      <c r="V25" s="12"/>
      <c r="W25" s="12"/>
      <c r="X25" s="12"/>
      <c r="Y25" s="12"/>
      <c r="Z25" s="12"/>
    </row>
    <row r="26" ht="15.75" customHeight="1">
      <c r="A26" s="12"/>
      <c r="B26" s="12" t="s">
        <v>647</v>
      </c>
      <c r="C26" s="90" t="s">
        <v>951</v>
      </c>
      <c r="D26" s="92" t="s">
        <v>952</v>
      </c>
      <c r="E26" s="12"/>
      <c r="F26" s="12"/>
      <c r="G26" s="12"/>
      <c r="H26" s="12"/>
      <c r="I26" s="12"/>
      <c r="J26" s="12"/>
      <c r="K26" s="12"/>
      <c r="L26" s="12"/>
      <c r="M26" s="12"/>
      <c r="N26" s="12"/>
      <c r="O26" s="12"/>
      <c r="P26" s="12"/>
      <c r="Q26" s="12"/>
      <c r="R26" s="12"/>
      <c r="S26" s="12"/>
      <c r="T26" s="12"/>
      <c r="U26" s="12"/>
      <c r="V26" s="12"/>
      <c r="W26" s="12"/>
      <c r="X26" s="12"/>
      <c r="Y26" s="12"/>
      <c r="Z26" s="12"/>
    </row>
    <row r="27" ht="15.75" customHeight="1">
      <c r="A27" s="91">
        <v>45960.0</v>
      </c>
      <c r="B27" s="12" t="s">
        <v>953</v>
      </c>
      <c r="C27" s="90" t="s">
        <v>954</v>
      </c>
      <c r="D27" s="92" t="s">
        <v>955</v>
      </c>
      <c r="E27" s="12"/>
      <c r="F27" s="12"/>
      <c r="G27" s="12"/>
      <c r="H27" s="12"/>
      <c r="I27" s="12"/>
      <c r="J27" s="12"/>
      <c r="K27" s="12"/>
      <c r="L27" s="12"/>
      <c r="M27" s="12"/>
      <c r="N27" s="12"/>
      <c r="O27" s="12"/>
      <c r="P27" s="12"/>
      <c r="Q27" s="12"/>
      <c r="R27" s="12"/>
      <c r="S27" s="12"/>
      <c r="T27" s="12"/>
      <c r="U27" s="12"/>
      <c r="V27" s="12"/>
      <c r="W27" s="12"/>
      <c r="X27" s="12"/>
      <c r="Y27" s="12"/>
      <c r="Z27" s="12"/>
    </row>
    <row r="28" ht="15.75" customHeight="1">
      <c r="A28" s="12"/>
      <c r="B28" s="12" t="s">
        <v>956</v>
      </c>
      <c r="C28" s="90" t="s">
        <v>957</v>
      </c>
      <c r="D28" s="92" t="s">
        <v>958</v>
      </c>
      <c r="E28" s="12"/>
      <c r="F28" s="12"/>
      <c r="G28" s="12"/>
      <c r="H28" s="12"/>
      <c r="I28" s="12"/>
      <c r="J28" s="12"/>
      <c r="K28" s="12"/>
      <c r="L28" s="12"/>
      <c r="M28" s="12"/>
      <c r="N28" s="12"/>
      <c r="O28" s="12"/>
      <c r="P28" s="12"/>
      <c r="Q28" s="12"/>
      <c r="R28" s="12"/>
      <c r="S28" s="12"/>
      <c r="T28" s="12"/>
      <c r="U28" s="12"/>
      <c r="V28" s="12"/>
      <c r="W28" s="12"/>
      <c r="X28" s="12"/>
      <c r="Y28" s="12"/>
      <c r="Z28" s="12"/>
    </row>
    <row r="29" ht="15.75" customHeight="1">
      <c r="A29" s="12"/>
      <c r="B29" s="12" t="s">
        <v>959</v>
      </c>
      <c r="C29" s="90" t="s">
        <v>960</v>
      </c>
      <c r="D29" s="92" t="s">
        <v>961</v>
      </c>
      <c r="E29" s="12"/>
      <c r="F29" s="12"/>
      <c r="G29" s="12"/>
      <c r="H29" s="12"/>
      <c r="I29" s="12"/>
      <c r="J29" s="12"/>
      <c r="K29" s="12"/>
      <c r="L29" s="12"/>
      <c r="M29" s="12"/>
      <c r="N29" s="12"/>
      <c r="O29" s="12"/>
      <c r="P29" s="12"/>
      <c r="Q29" s="12"/>
      <c r="R29" s="12"/>
      <c r="S29" s="12"/>
      <c r="T29" s="12"/>
      <c r="U29" s="12"/>
      <c r="V29" s="12"/>
      <c r="W29" s="12"/>
      <c r="X29" s="12"/>
      <c r="Y29" s="12"/>
      <c r="Z29" s="12"/>
    </row>
    <row r="30" ht="15.75" customHeight="1">
      <c r="A30" s="12"/>
      <c r="B30" s="12" t="s">
        <v>962</v>
      </c>
      <c r="C30" s="90" t="s">
        <v>963</v>
      </c>
      <c r="D30" s="90" t="s">
        <v>964</v>
      </c>
      <c r="E30" s="12"/>
      <c r="F30" s="12"/>
      <c r="G30" s="12"/>
      <c r="H30" s="12"/>
      <c r="I30" s="12"/>
      <c r="J30" s="12"/>
      <c r="K30" s="12"/>
      <c r="L30" s="12"/>
      <c r="M30" s="12"/>
      <c r="N30" s="12"/>
      <c r="O30" s="12"/>
      <c r="P30" s="12"/>
      <c r="Q30" s="12"/>
      <c r="R30" s="12"/>
      <c r="S30" s="12"/>
      <c r="T30" s="12"/>
      <c r="U30" s="12"/>
      <c r="V30" s="12"/>
      <c r="W30" s="12"/>
      <c r="X30" s="12"/>
      <c r="Y30" s="12"/>
      <c r="Z30" s="12"/>
    </row>
    <row r="31" ht="15.75" customHeight="1">
      <c r="A31" s="12"/>
      <c r="B31" s="12" t="s">
        <v>965</v>
      </c>
      <c r="C31" s="90" t="s">
        <v>966</v>
      </c>
      <c r="D31" s="90" t="s">
        <v>967</v>
      </c>
      <c r="E31" s="12"/>
      <c r="F31" s="12"/>
      <c r="G31" s="12"/>
      <c r="H31" s="12"/>
      <c r="I31" s="12"/>
      <c r="J31" s="12"/>
      <c r="K31" s="12"/>
      <c r="L31" s="12"/>
      <c r="M31" s="12"/>
      <c r="N31" s="12"/>
      <c r="O31" s="12"/>
      <c r="P31" s="12"/>
      <c r="Q31" s="12"/>
      <c r="R31" s="12"/>
      <c r="S31" s="12"/>
      <c r="T31" s="12"/>
      <c r="U31" s="12"/>
      <c r="V31" s="12"/>
      <c r="W31" s="12"/>
      <c r="X31" s="12"/>
      <c r="Y31" s="12"/>
      <c r="Z31" s="12"/>
    </row>
    <row r="32" ht="15.75" customHeight="1">
      <c r="A32" s="95">
        <v>45963.0</v>
      </c>
      <c r="B32" s="96" t="s">
        <v>968</v>
      </c>
      <c r="C32" s="97" t="s">
        <v>969</v>
      </c>
      <c r="D32" s="90"/>
      <c r="E32" s="12"/>
      <c r="F32" s="12"/>
      <c r="G32" s="12"/>
      <c r="H32" s="12"/>
      <c r="I32" s="12"/>
      <c r="J32" s="12"/>
      <c r="K32" s="12"/>
      <c r="L32" s="12"/>
      <c r="M32" s="12"/>
      <c r="N32" s="12"/>
      <c r="O32" s="12"/>
      <c r="P32" s="12"/>
      <c r="Q32" s="12"/>
      <c r="R32" s="12"/>
      <c r="S32" s="12"/>
      <c r="T32" s="12"/>
      <c r="U32" s="12"/>
      <c r="V32" s="12"/>
      <c r="W32" s="12"/>
      <c r="X32" s="12"/>
      <c r="Y32" s="12"/>
      <c r="Z32" s="12"/>
    </row>
    <row r="33" ht="15.75" customHeight="1">
      <c r="A33" s="12"/>
      <c r="B33" s="96" t="s">
        <v>970</v>
      </c>
      <c r="C33" s="97" t="s">
        <v>956</v>
      </c>
      <c r="D33" s="90"/>
      <c r="E33" s="12"/>
      <c r="F33" s="12"/>
      <c r="G33" s="12"/>
      <c r="H33" s="12"/>
      <c r="I33" s="12"/>
      <c r="J33" s="12"/>
      <c r="K33" s="12"/>
      <c r="L33" s="12"/>
      <c r="M33" s="12"/>
      <c r="N33" s="12"/>
      <c r="O33" s="12"/>
      <c r="P33" s="12"/>
      <c r="Q33" s="12"/>
      <c r="R33" s="12"/>
      <c r="S33" s="12"/>
      <c r="T33" s="12"/>
      <c r="U33" s="12"/>
      <c r="V33" s="12"/>
      <c r="W33" s="12"/>
      <c r="X33" s="12"/>
      <c r="Y33" s="12"/>
      <c r="Z33" s="12"/>
    </row>
    <row r="34" ht="15.75" customHeight="1">
      <c r="A34" s="12"/>
      <c r="B34" s="96" t="s">
        <v>737</v>
      </c>
      <c r="C34" s="97" t="s">
        <v>971</v>
      </c>
      <c r="D34" s="90"/>
      <c r="E34" s="12"/>
      <c r="F34" s="12"/>
      <c r="G34" s="12"/>
      <c r="H34" s="12"/>
      <c r="I34" s="12"/>
      <c r="J34" s="12"/>
      <c r="K34" s="12"/>
      <c r="L34" s="12"/>
      <c r="M34" s="12"/>
      <c r="N34" s="12"/>
      <c r="O34" s="12"/>
      <c r="P34" s="12"/>
      <c r="Q34" s="12"/>
      <c r="R34" s="12"/>
      <c r="S34" s="12"/>
      <c r="T34" s="12"/>
      <c r="U34" s="12"/>
      <c r="V34" s="12"/>
      <c r="W34" s="12"/>
      <c r="X34" s="12"/>
      <c r="Y34" s="12"/>
      <c r="Z34" s="12"/>
    </row>
    <row r="35" ht="15.75" customHeight="1">
      <c r="A35" s="12"/>
      <c r="B35" s="96" t="s">
        <v>972</v>
      </c>
      <c r="C35" s="69" t="s">
        <v>973</v>
      </c>
      <c r="D35" s="90"/>
      <c r="E35" s="12"/>
      <c r="F35" s="12"/>
      <c r="G35" s="12"/>
      <c r="H35" s="12"/>
      <c r="I35" s="12"/>
      <c r="J35" s="12"/>
      <c r="K35" s="12"/>
      <c r="L35" s="12"/>
      <c r="M35" s="12"/>
      <c r="N35" s="12"/>
      <c r="O35" s="12"/>
      <c r="P35" s="12"/>
      <c r="Q35" s="12"/>
      <c r="R35" s="12"/>
      <c r="S35" s="12"/>
      <c r="T35" s="12"/>
      <c r="U35" s="12"/>
      <c r="V35" s="12"/>
      <c r="W35" s="12"/>
      <c r="X35" s="12"/>
      <c r="Y35" s="12"/>
      <c r="Z35" s="12"/>
    </row>
    <row r="36" ht="15.75" customHeight="1">
      <c r="A36" s="95">
        <v>45964.0</v>
      </c>
      <c r="B36" s="98" t="s">
        <v>974</v>
      </c>
      <c r="C36" s="97" t="s">
        <v>975</v>
      </c>
      <c r="D36" s="97" t="s">
        <v>976</v>
      </c>
      <c r="E36" s="12"/>
      <c r="F36" s="12"/>
      <c r="G36" s="12"/>
      <c r="H36" s="12"/>
      <c r="I36" s="12"/>
      <c r="J36" s="12"/>
      <c r="K36" s="12"/>
      <c r="L36" s="12"/>
      <c r="M36" s="12"/>
      <c r="N36" s="12"/>
      <c r="O36" s="12"/>
      <c r="P36" s="12"/>
      <c r="Q36" s="12"/>
      <c r="R36" s="12"/>
      <c r="S36" s="12"/>
      <c r="T36" s="12"/>
      <c r="U36" s="12"/>
      <c r="V36" s="12"/>
      <c r="W36" s="12"/>
      <c r="X36" s="12"/>
      <c r="Y36" s="12"/>
      <c r="Z36" s="12"/>
    </row>
    <row r="37" ht="15.75" customHeight="1">
      <c r="A37" s="12"/>
      <c r="B37" s="96" t="s">
        <v>977</v>
      </c>
      <c r="C37" s="97" t="s">
        <v>978</v>
      </c>
      <c r="D37" s="97" t="s">
        <v>979</v>
      </c>
      <c r="E37" s="12"/>
      <c r="F37" s="12"/>
      <c r="G37" s="12"/>
      <c r="H37" s="12"/>
      <c r="I37" s="12"/>
      <c r="J37" s="12"/>
      <c r="K37" s="12"/>
      <c r="L37" s="12"/>
      <c r="M37" s="12"/>
      <c r="N37" s="12"/>
      <c r="O37" s="12"/>
      <c r="P37" s="12"/>
      <c r="Q37" s="12"/>
      <c r="R37" s="12"/>
      <c r="S37" s="12"/>
      <c r="T37" s="12"/>
      <c r="U37" s="12"/>
      <c r="V37" s="12"/>
      <c r="W37" s="12"/>
      <c r="X37" s="12"/>
      <c r="Y37" s="12"/>
      <c r="Z37" s="12"/>
    </row>
    <row r="38" ht="15.75" customHeight="1">
      <c r="A38" s="95">
        <v>45965.0</v>
      </c>
      <c r="B38" s="96" t="s">
        <v>980</v>
      </c>
      <c r="C38" s="97" t="s">
        <v>981</v>
      </c>
      <c r="D38" s="97" t="s">
        <v>982</v>
      </c>
      <c r="E38" s="12"/>
      <c r="F38" s="12"/>
      <c r="G38" s="12"/>
      <c r="H38" s="12"/>
      <c r="I38" s="12"/>
      <c r="J38" s="12"/>
      <c r="K38" s="12"/>
      <c r="L38" s="12"/>
      <c r="M38" s="12"/>
      <c r="N38" s="12"/>
      <c r="O38" s="12"/>
      <c r="P38" s="12"/>
      <c r="Q38" s="12"/>
      <c r="R38" s="12"/>
      <c r="S38" s="12"/>
      <c r="T38" s="12"/>
      <c r="U38" s="12"/>
      <c r="V38" s="12"/>
      <c r="W38" s="12"/>
      <c r="X38" s="12"/>
      <c r="Y38" s="12"/>
      <c r="Z38" s="12"/>
    </row>
    <row r="39" ht="15.75" customHeight="1">
      <c r="A39" s="12"/>
      <c r="B39" s="96" t="s">
        <v>983</v>
      </c>
      <c r="C39" s="90"/>
      <c r="D39" s="97" t="s">
        <v>984</v>
      </c>
      <c r="E39" s="12"/>
      <c r="F39" s="12"/>
      <c r="G39" s="12"/>
      <c r="H39" s="12"/>
      <c r="I39" s="12"/>
      <c r="J39" s="12"/>
      <c r="K39" s="12"/>
      <c r="L39" s="12"/>
      <c r="M39" s="12"/>
      <c r="N39" s="12"/>
      <c r="O39" s="12"/>
      <c r="P39" s="12"/>
      <c r="Q39" s="12"/>
      <c r="R39" s="12"/>
      <c r="S39" s="12"/>
      <c r="T39" s="12"/>
      <c r="U39" s="12"/>
      <c r="V39" s="12"/>
      <c r="W39" s="12"/>
      <c r="X39" s="12"/>
      <c r="Y39" s="12"/>
      <c r="Z39" s="12"/>
    </row>
    <row r="40" ht="15.75" customHeight="1">
      <c r="A40" s="12"/>
      <c r="B40" s="96" t="s">
        <v>985</v>
      </c>
      <c r="C40" s="90"/>
      <c r="D40" s="97" t="s">
        <v>986</v>
      </c>
      <c r="E40" s="12"/>
      <c r="F40" s="12"/>
      <c r="G40" s="12"/>
      <c r="H40" s="12"/>
      <c r="I40" s="12"/>
      <c r="J40" s="12"/>
      <c r="K40" s="12"/>
      <c r="L40" s="12"/>
      <c r="M40" s="12"/>
      <c r="N40" s="12"/>
      <c r="O40" s="12"/>
      <c r="P40" s="12"/>
      <c r="Q40" s="12"/>
      <c r="R40" s="12"/>
      <c r="S40" s="12"/>
      <c r="T40" s="12"/>
      <c r="U40" s="12"/>
      <c r="V40" s="12"/>
      <c r="W40" s="12"/>
      <c r="X40" s="12"/>
      <c r="Y40" s="12"/>
      <c r="Z40" s="12"/>
    </row>
    <row r="41" ht="15.75" customHeight="1">
      <c r="A41" s="95">
        <v>45966.0</v>
      </c>
      <c r="B41" s="96" t="s">
        <v>987</v>
      </c>
      <c r="C41" s="90"/>
      <c r="D41" s="97" t="s">
        <v>988</v>
      </c>
      <c r="E41" s="12"/>
      <c r="F41" s="12"/>
      <c r="G41" s="12"/>
      <c r="H41" s="12"/>
      <c r="I41" s="12"/>
      <c r="J41" s="12"/>
      <c r="K41" s="12"/>
      <c r="L41" s="12"/>
      <c r="M41" s="12"/>
      <c r="N41" s="12"/>
      <c r="O41" s="12"/>
      <c r="P41" s="12"/>
      <c r="Q41" s="12"/>
      <c r="R41" s="12"/>
      <c r="S41" s="12"/>
      <c r="T41" s="12"/>
      <c r="U41" s="12"/>
      <c r="V41" s="12"/>
      <c r="W41" s="12"/>
      <c r="X41" s="12"/>
      <c r="Y41" s="12"/>
      <c r="Z41" s="12"/>
    </row>
    <row r="42" ht="15.75" customHeight="1">
      <c r="A42" s="95">
        <v>45967.0</v>
      </c>
      <c r="B42" s="96" t="s">
        <v>989</v>
      </c>
      <c r="C42" s="97" t="s">
        <v>990</v>
      </c>
      <c r="D42" s="97" t="s">
        <v>991</v>
      </c>
      <c r="E42" s="12"/>
      <c r="F42" s="12"/>
      <c r="G42" s="12"/>
      <c r="H42" s="12"/>
      <c r="I42" s="12"/>
      <c r="J42" s="12"/>
      <c r="K42" s="12"/>
      <c r="L42" s="12"/>
      <c r="M42" s="12"/>
      <c r="N42" s="12"/>
      <c r="O42" s="12"/>
      <c r="P42" s="12"/>
      <c r="Q42" s="12"/>
      <c r="R42" s="12"/>
      <c r="S42" s="12"/>
      <c r="T42" s="12"/>
      <c r="U42" s="12"/>
      <c r="V42" s="12"/>
      <c r="W42" s="12"/>
      <c r="X42" s="12"/>
      <c r="Y42" s="12"/>
      <c r="Z42" s="12"/>
    </row>
    <row r="43" ht="15.75" customHeight="1">
      <c r="A43" s="12"/>
      <c r="B43" s="96" t="s">
        <v>992</v>
      </c>
      <c r="C43" s="43" t="s">
        <v>993</v>
      </c>
      <c r="D43" s="97" t="s">
        <v>994</v>
      </c>
      <c r="E43" s="12"/>
      <c r="F43" s="12"/>
      <c r="G43" s="12"/>
      <c r="H43" s="12"/>
      <c r="I43" s="12"/>
      <c r="J43" s="12"/>
      <c r="K43" s="12"/>
      <c r="L43" s="12"/>
      <c r="M43" s="12"/>
      <c r="N43" s="12"/>
      <c r="O43" s="12"/>
      <c r="P43" s="12"/>
      <c r="Q43" s="12"/>
      <c r="R43" s="12"/>
      <c r="S43" s="12"/>
      <c r="T43" s="12"/>
      <c r="U43" s="12"/>
      <c r="V43" s="12"/>
      <c r="W43" s="12"/>
      <c r="X43" s="12"/>
      <c r="Y43" s="12"/>
      <c r="Z43" s="12"/>
    </row>
    <row r="44" ht="15.75" customHeight="1">
      <c r="A44" s="12"/>
      <c r="B44" s="96" t="s">
        <v>995</v>
      </c>
      <c r="C44" s="97" t="s">
        <v>996</v>
      </c>
      <c r="D44" s="90"/>
      <c r="E44" s="12"/>
      <c r="F44" s="12"/>
      <c r="G44" s="12"/>
      <c r="H44" s="12"/>
      <c r="I44" s="12"/>
      <c r="J44" s="12"/>
      <c r="K44" s="12"/>
      <c r="L44" s="12"/>
      <c r="M44" s="12"/>
      <c r="N44" s="12"/>
      <c r="O44" s="12"/>
      <c r="P44" s="12"/>
      <c r="Q44" s="12"/>
      <c r="R44" s="12"/>
      <c r="S44" s="12"/>
      <c r="T44" s="12"/>
      <c r="U44" s="12"/>
      <c r="V44" s="12"/>
      <c r="W44" s="12"/>
      <c r="X44" s="12"/>
      <c r="Y44" s="12"/>
      <c r="Z44" s="12"/>
    </row>
    <row r="45" ht="15.75" customHeight="1">
      <c r="A45" s="95">
        <v>45968.0</v>
      </c>
      <c r="B45" s="96" t="s">
        <v>997</v>
      </c>
      <c r="C45" s="97" t="s">
        <v>998</v>
      </c>
      <c r="D45" s="90"/>
      <c r="E45" s="12"/>
      <c r="F45" s="12"/>
      <c r="G45" s="12"/>
      <c r="H45" s="12"/>
      <c r="I45" s="12"/>
      <c r="J45" s="12"/>
      <c r="K45" s="12"/>
      <c r="L45" s="12"/>
      <c r="M45" s="12"/>
      <c r="N45" s="12"/>
      <c r="O45" s="12"/>
      <c r="P45" s="12"/>
      <c r="Q45" s="12"/>
      <c r="R45" s="12"/>
      <c r="S45" s="12"/>
      <c r="T45" s="12"/>
      <c r="U45" s="12"/>
      <c r="V45" s="12"/>
      <c r="W45" s="12"/>
      <c r="X45" s="12"/>
      <c r="Y45" s="12"/>
      <c r="Z45" s="12"/>
    </row>
    <row r="46" ht="15.75" customHeight="1">
      <c r="A46" s="12"/>
      <c r="B46" s="96" t="s">
        <v>999</v>
      </c>
      <c r="C46" s="97" t="s">
        <v>1000</v>
      </c>
      <c r="D46" s="90"/>
      <c r="E46" s="12"/>
      <c r="F46" s="12"/>
      <c r="G46" s="12"/>
      <c r="H46" s="12"/>
      <c r="I46" s="12"/>
      <c r="J46" s="12"/>
      <c r="K46" s="12"/>
      <c r="L46" s="12"/>
      <c r="M46" s="12"/>
      <c r="N46" s="12"/>
      <c r="O46" s="12"/>
      <c r="P46" s="12"/>
      <c r="Q46" s="12"/>
      <c r="R46" s="12"/>
      <c r="S46" s="12"/>
      <c r="T46" s="12"/>
      <c r="U46" s="12"/>
      <c r="V46" s="12"/>
      <c r="W46" s="12"/>
      <c r="X46" s="12"/>
      <c r="Y46" s="12"/>
      <c r="Z46" s="12"/>
    </row>
    <row r="47" ht="15.75" customHeight="1">
      <c r="A47" s="12"/>
      <c r="B47" s="96" t="s">
        <v>1001</v>
      </c>
      <c r="C47" s="97" t="s">
        <v>1002</v>
      </c>
      <c r="D47" s="90"/>
      <c r="E47" s="12"/>
      <c r="F47" s="12"/>
      <c r="G47" s="12"/>
      <c r="H47" s="12"/>
      <c r="I47" s="12"/>
      <c r="J47" s="12"/>
      <c r="K47" s="12"/>
      <c r="L47" s="12"/>
      <c r="M47" s="12"/>
      <c r="N47" s="12"/>
      <c r="O47" s="12"/>
      <c r="P47" s="12"/>
      <c r="Q47" s="12"/>
      <c r="R47" s="12"/>
      <c r="S47" s="12"/>
      <c r="T47" s="12"/>
      <c r="U47" s="12"/>
      <c r="V47" s="12"/>
      <c r="W47" s="12"/>
      <c r="X47" s="12"/>
      <c r="Y47" s="12"/>
      <c r="Z47" s="12"/>
    </row>
    <row r="48" ht="15.75" customHeight="1">
      <c r="A48" s="12"/>
      <c r="B48" s="96" t="s">
        <v>1003</v>
      </c>
      <c r="C48" s="97" t="s">
        <v>1004</v>
      </c>
      <c r="D48" s="90"/>
      <c r="E48" s="12"/>
      <c r="F48" s="12"/>
      <c r="G48" s="12"/>
      <c r="H48" s="12"/>
      <c r="I48" s="12"/>
      <c r="J48" s="12"/>
      <c r="K48" s="12"/>
      <c r="L48" s="12"/>
      <c r="M48" s="12"/>
      <c r="N48" s="12"/>
      <c r="O48" s="12"/>
      <c r="P48" s="12"/>
      <c r="Q48" s="12"/>
      <c r="R48" s="12"/>
      <c r="S48" s="12"/>
      <c r="T48" s="12"/>
      <c r="U48" s="12"/>
      <c r="V48" s="12"/>
      <c r="W48" s="12"/>
      <c r="X48" s="12"/>
      <c r="Y48" s="12"/>
      <c r="Z48" s="12"/>
    </row>
    <row r="49" ht="15.75" customHeight="1">
      <c r="A49" s="12"/>
      <c r="B49" s="96" t="s">
        <v>1005</v>
      </c>
      <c r="C49" s="97" t="s">
        <v>1006</v>
      </c>
      <c r="D49" s="97" t="s">
        <v>1007</v>
      </c>
      <c r="E49" s="12"/>
      <c r="F49" s="12"/>
      <c r="G49" s="12"/>
      <c r="H49" s="12"/>
      <c r="I49" s="12"/>
      <c r="J49" s="12"/>
      <c r="K49" s="12"/>
      <c r="L49" s="12"/>
      <c r="M49" s="12"/>
      <c r="N49" s="12"/>
      <c r="O49" s="12"/>
      <c r="P49" s="12"/>
      <c r="Q49" s="12"/>
      <c r="R49" s="12"/>
      <c r="S49" s="12"/>
      <c r="T49" s="12"/>
      <c r="U49" s="12"/>
      <c r="V49" s="12"/>
      <c r="W49" s="12"/>
      <c r="X49" s="12"/>
      <c r="Y49" s="12"/>
      <c r="Z49" s="12"/>
    </row>
    <row r="50" ht="15.75" customHeight="1">
      <c r="A50" s="12"/>
      <c r="B50" s="96" t="s">
        <v>1008</v>
      </c>
      <c r="D50" s="97" t="s">
        <v>1009</v>
      </c>
      <c r="E50" s="12"/>
      <c r="F50" s="12"/>
      <c r="G50" s="12"/>
      <c r="H50" s="12"/>
      <c r="I50" s="12"/>
      <c r="J50" s="12"/>
      <c r="K50" s="12"/>
      <c r="L50" s="12"/>
      <c r="M50" s="12"/>
      <c r="N50" s="12"/>
      <c r="O50" s="12"/>
      <c r="P50" s="12"/>
      <c r="Q50" s="12"/>
      <c r="R50" s="12"/>
      <c r="S50" s="12"/>
      <c r="T50" s="12"/>
      <c r="U50" s="12"/>
      <c r="V50" s="12"/>
      <c r="W50" s="12"/>
      <c r="X50" s="12"/>
      <c r="Y50" s="12"/>
      <c r="Z50" s="12"/>
    </row>
    <row r="51" ht="15.75" customHeight="1">
      <c r="A51" s="12"/>
      <c r="B51" s="96" t="s">
        <v>1010</v>
      </c>
      <c r="C51" s="90"/>
      <c r="D51" s="97" t="s">
        <v>1011</v>
      </c>
      <c r="E51" s="12"/>
      <c r="F51" s="12"/>
      <c r="G51" s="12"/>
      <c r="H51" s="12"/>
      <c r="I51" s="12"/>
      <c r="J51" s="12"/>
      <c r="K51" s="12"/>
      <c r="L51" s="12"/>
      <c r="M51" s="12"/>
      <c r="N51" s="12"/>
      <c r="O51" s="12"/>
      <c r="P51" s="12"/>
      <c r="Q51" s="12"/>
      <c r="R51" s="12"/>
      <c r="S51" s="12"/>
      <c r="T51" s="12"/>
      <c r="U51" s="12"/>
      <c r="V51" s="12"/>
      <c r="W51" s="12"/>
      <c r="X51" s="12"/>
      <c r="Y51" s="12"/>
      <c r="Z51" s="12"/>
    </row>
    <row r="52" ht="15.75" customHeight="1">
      <c r="A52" s="12"/>
      <c r="B52" s="96" t="s">
        <v>1012</v>
      </c>
      <c r="C52" s="97" t="s">
        <v>1013</v>
      </c>
      <c r="D52" s="97" t="s">
        <v>1014</v>
      </c>
      <c r="E52" s="12"/>
      <c r="F52" s="12"/>
      <c r="G52" s="12"/>
      <c r="H52" s="12"/>
      <c r="I52" s="12"/>
      <c r="J52" s="12"/>
      <c r="K52" s="12"/>
      <c r="L52" s="12"/>
      <c r="M52" s="12"/>
      <c r="N52" s="12"/>
      <c r="O52" s="12"/>
      <c r="P52" s="12"/>
      <c r="Q52" s="12"/>
      <c r="R52" s="12"/>
      <c r="S52" s="12"/>
      <c r="T52" s="12"/>
      <c r="U52" s="12"/>
      <c r="V52" s="12"/>
      <c r="W52" s="12"/>
      <c r="X52" s="12"/>
      <c r="Y52" s="12"/>
      <c r="Z52" s="12"/>
    </row>
    <row r="53" ht="15.75" customHeight="1">
      <c r="A53" s="12"/>
      <c r="B53" s="96" t="s">
        <v>1015</v>
      </c>
      <c r="C53" s="90"/>
      <c r="D53" s="97" t="s">
        <v>1016</v>
      </c>
      <c r="E53" s="12"/>
      <c r="F53" s="12"/>
      <c r="G53" s="12"/>
      <c r="H53" s="12"/>
      <c r="I53" s="12"/>
      <c r="J53" s="12"/>
      <c r="K53" s="12"/>
      <c r="L53" s="12"/>
      <c r="M53" s="12"/>
      <c r="N53" s="12"/>
      <c r="O53" s="12"/>
      <c r="P53" s="12"/>
      <c r="Q53" s="12"/>
      <c r="R53" s="12"/>
      <c r="S53" s="12"/>
      <c r="T53" s="12"/>
      <c r="U53" s="12"/>
      <c r="V53" s="12"/>
      <c r="W53" s="12"/>
      <c r="X53" s="12"/>
      <c r="Y53" s="12"/>
      <c r="Z53" s="12"/>
    </row>
    <row r="54" ht="15.75" customHeight="1">
      <c r="A54" s="12"/>
      <c r="B54" s="96" t="s">
        <v>1017</v>
      </c>
      <c r="C54" s="90"/>
      <c r="D54" s="97" t="s">
        <v>1018</v>
      </c>
      <c r="E54" s="12"/>
      <c r="F54" s="12"/>
      <c r="G54" s="12"/>
      <c r="H54" s="12"/>
      <c r="I54" s="12"/>
      <c r="J54" s="12"/>
      <c r="K54" s="12"/>
      <c r="L54" s="12"/>
      <c r="M54" s="12"/>
      <c r="N54" s="12"/>
      <c r="O54" s="12"/>
      <c r="P54" s="12"/>
      <c r="Q54" s="12"/>
      <c r="R54" s="12"/>
      <c r="S54" s="12"/>
      <c r="T54" s="12"/>
      <c r="U54" s="12"/>
      <c r="V54" s="12"/>
      <c r="W54" s="12"/>
      <c r="X54" s="12"/>
      <c r="Y54" s="12"/>
      <c r="Z54" s="12"/>
    </row>
    <row r="55" ht="15.75" customHeight="1">
      <c r="A55" s="12"/>
      <c r="B55" s="96" t="s">
        <v>1019</v>
      </c>
      <c r="C55" s="90"/>
      <c r="D55" s="90"/>
      <c r="E55" s="12"/>
      <c r="F55" s="12"/>
      <c r="G55" s="12"/>
      <c r="H55" s="12"/>
      <c r="I55" s="12"/>
      <c r="J55" s="12"/>
      <c r="K55" s="12"/>
      <c r="L55" s="12"/>
      <c r="M55" s="12"/>
      <c r="N55" s="12"/>
      <c r="O55" s="12"/>
      <c r="P55" s="12"/>
      <c r="Q55" s="12"/>
      <c r="R55" s="12"/>
      <c r="S55" s="12"/>
      <c r="T55" s="12"/>
      <c r="U55" s="12"/>
      <c r="V55" s="12"/>
      <c r="W55" s="12"/>
      <c r="X55" s="12"/>
      <c r="Y55" s="12"/>
      <c r="Z55" s="12"/>
    </row>
    <row r="56" ht="15.75" customHeight="1">
      <c r="A56" s="12"/>
      <c r="B56" s="96" t="s">
        <v>1020</v>
      </c>
      <c r="C56" s="90"/>
      <c r="D56" s="97" t="s">
        <v>1021</v>
      </c>
      <c r="E56" s="12"/>
      <c r="F56" s="12"/>
      <c r="G56" s="12"/>
      <c r="H56" s="12"/>
      <c r="I56" s="12"/>
      <c r="J56" s="12"/>
      <c r="K56" s="12"/>
      <c r="L56" s="12"/>
      <c r="M56" s="12"/>
      <c r="N56" s="12"/>
      <c r="O56" s="12"/>
      <c r="P56" s="12"/>
      <c r="Q56" s="12"/>
      <c r="R56" s="12"/>
      <c r="S56" s="12"/>
      <c r="T56" s="12"/>
      <c r="U56" s="12"/>
      <c r="V56" s="12"/>
      <c r="W56" s="12"/>
      <c r="X56" s="12"/>
      <c r="Y56" s="12"/>
      <c r="Z56" s="12"/>
    </row>
    <row r="57" ht="15.75" customHeight="1">
      <c r="A57" s="12"/>
      <c r="B57" s="96" t="s">
        <v>1022</v>
      </c>
      <c r="C57" s="97" t="s">
        <v>907</v>
      </c>
      <c r="D57" s="90"/>
      <c r="E57" s="12"/>
      <c r="F57" s="12"/>
      <c r="G57" s="12"/>
      <c r="H57" s="12"/>
      <c r="I57" s="12"/>
      <c r="J57" s="12"/>
      <c r="K57" s="12"/>
      <c r="L57" s="12"/>
      <c r="M57" s="12"/>
      <c r="N57" s="12"/>
      <c r="O57" s="12"/>
      <c r="P57" s="12"/>
      <c r="Q57" s="12"/>
      <c r="R57" s="12"/>
      <c r="S57" s="12"/>
      <c r="T57" s="12"/>
      <c r="U57" s="12"/>
      <c r="V57" s="12"/>
      <c r="W57" s="12"/>
      <c r="X57" s="12"/>
      <c r="Y57" s="12"/>
      <c r="Z57" s="12"/>
    </row>
    <row r="58" ht="15.75" customHeight="1">
      <c r="A58" s="12"/>
      <c r="B58" s="96" t="s">
        <v>1023</v>
      </c>
      <c r="C58" s="97" t="s">
        <v>1024</v>
      </c>
      <c r="D58" s="97" t="s">
        <v>1025</v>
      </c>
      <c r="E58" s="12"/>
      <c r="F58" s="12"/>
      <c r="G58" s="12"/>
      <c r="H58" s="12"/>
      <c r="I58" s="12"/>
      <c r="J58" s="12"/>
      <c r="K58" s="12"/>
      <c r="L58" s="12"/>
      <c r="M58" s="12"/>
      <c r="N58" s="12"/>
      <c r="O58" s="12"/>
      <c r="P58" s="12"/>
      <c r="Q58" s="12"/>
      <c r="R58" s="12"/>
      <c r="S58" s="12"/>
      <c r="T58" s="12"/>
      <c r="U58" s="12"/>
      <c r="V58" s="12"/>
      <c r="W58" s="12"/>
      <c r="X58" s="12"/>
      <c r="Y58" s="12"/>
      <c r="Z58" s="12"/>
    </row>
    <row r="59" ht="15.75" customHeight="1">
      <c r="A59" s="95">
        <v>45971.0</v>
      </c>
      <c r="B59" s="96" t="s">
        <v>1026</v>
      </c>
      <c r="C59" s="97" t="s">
        <v>1027</v>
      </c>
      <c r="D59" s="97" t="s">
        <v>1028</v>
      </c>
      <c r="E59" s="12"/>
      <c r="F59" s="12"/>
      <c r="G59" s="12"/>
      <c r="H59" s="12"/>
      <c r="I59" s="12"/>
      <c r="J59" s="12"/>
      <c r="K59" s="12"/>
      <c r="L59" s="12"/>
      <c r="M59" s="12"/>
      <c r="N59" s="12"/>
      <c r="O59" s="12"/>
      <c r="P59" s="12"/>
      <c r="Q59" s="12"/>
      <c r="R59" s="12"/>
      <c r="S59" s="12"/>
      <c r="T59" s="12"/>
      <c r="U59" s="12"/>
      <c r="V59" s="12"/>
      <c r="W59" s="12"/>
      <c r="X59" s="12"/>
      <c r="Y59" s="12"/>
      <c r="Z59" s="12"/>
    </row>
    <row r="60" ht="15.75" customHeight="1">
      <c r="A60" s="12"/>
      <c r="B60" s="96" t="s">
        <v>1029</v>
      </c>
      <c r="C60" s="97" t="s">
        <v>1030</v>
      </c>
      <c r="D60" s="97" t="s">
        <v>1031</v>
      </c>
      <c r="E60" s="12"/>
      <c r="F60" s="12"/>
      <c r="G60" s="12"/>
      <c r="H60" s="12"/>
      <c r="I60" s="12"/>
      <c r="J60" s="12"/>
      <c r="K60" s="12"/>
      <c r="L60" s="12"/>
      <c r="M60" s="12"/>
      <c r="N60" s="12"/>
      <c r="O60" s="12"/>
      <c r="P60" s="12"/>
      <c r="Q60" s="12"/>
      <c r="R60" s="12"/>
      <c r="S60" s="12"/>
      <c r="T60" s="12"/>
      <c r="U60" s="12"/>
      <c r="V60" s="12"/>
      <c r="W60" s="12"/>
      <c r="X60" s="12"/>
      <c r="Y60" s="12"/>
      <c r="Z60" s="12"/>
    </row>
    <row r="61" ht="15.75" customHeight="1">
      <c r="A61" s="12"/>
      <c r="B61" s="96" t="s">
        <v>762</v>
      </c>
      <c r="C61" s="97" t="s">
        <v>1032</v>
      </c>
      <c r="D61" s="97" t="s">
        <v>1033</v>
      </c>
      <c r="E61" s="12"/>
      <c r="F61" s="12"/>
      <c r="G61" s="12"/>
      <c r="H61" s="12"/>
      <c r="I61" s="12"/>
      <c r="J61" s="12"/>
      <c r="K61" s="12"/>
      <c r="L61" s="12"/>
      <c r="M61" s="12"/>
      <c r="N61" s="12"/>
      <c r="O61" s="12"/>
      <c r="P61" s="12"/>
      <c r="Q61" s="12"/>
      <c r="R61" s="12"/>
      <c r="S61" s="12"/>
      <c r="T61" s="12"/>
      <c r="U61" s="12"/>
      <c r="V61" s="12"/>
      <c r="W61" s="12"/>
      <c r="X61" s="12"/>
      <c r="Y61" s="12"/>
      <c r="Z61" s="12"/>
    </row>
    <row r="62" ht="15.75" customHeight="1">
      <c r="A62" s="12"/>
      <c r="B62" s="96" t="s">
        <v>1034</v>
      </c>
      <c r="C62" s="97" t="s">
        <v>1032</v>
      </c>
      <c r="D62" s="97" t="s">
        <v>1035</v>
      </c>
      <c r="E62" s="12"/>
      <c r="F62" s="12"/>
      <c r="G62" s="12"/>
      <c r="H62" s="12"/>
      <c r="I62" s="12"/>
      <c r="J62" s="12"/>
      <c r="K62" s="12"/>
      <c r="L62" s="12"/>
      <c r="M62" s="12"/>
      <c r="N62" s="12"/>
      <c r="O62" s="12"/>
      <c r="P62" s="12"/>
      <c r="Q62" s="12"/>
      <c r="R62" s="12"/>
      <c r="S62" s="12"/>
      <c r="T62" s="12"/>
      <c r="U62" s="12"/>
      <c r="V62" s="12"/>
      <c r="W62" s="12"/>
      <c r="X62" s="12"/>
      <c r="Y62" s="12"/>
      <c r="Z62" s="12"/>
    </row>
    <row r="63" ht="15.75" customHeight="1">
      <c r="A63" s="12"/>
      <c r="B63" s="96" t="s">
        <v>1036</v>
      </c>
      <c r="C63" s="97" t="s">
        <v>1037</v>
      </c>
      <c r="D63" s="97" t="s">
        <v>1038</v>
      </c>
      <c r="E63" s="12"/>
      <c r="F63" s="12"/>
      <c r="G63" s="12"/>
      <c r="H63" s="12"/>
      <c r="I63" s="12"/>
      <c r="J63" s="12"/>
      <c r="K63" s="12"/>
      <c r="L63" s="12"/>
      <c r="M63" s="12"/>
      <c r="N63" s="12"/>
      <c r="O63" s="12"/>
      <c r="P63" s="12"/>
      <c r="Q63" s="12"/>
      <c r="R63" s="12"/>
      <c r="S63" s="12"/>
      <c r="T63" s="12"/>
      <c r="U63" s="12"/>
      <c r="V63" s="12"/>
      <c r="W63" s="12"/>
      <c r="X63" s="12"/>
      <c r="Y63" s="12"/>
      <c r="Z63" s="12"/>
    </row>
    <row r="64" ht="15.75" customHeight="1">
      <c r="A64" s="12"/>
      <c r="B64" s="96" t="s">
        <v>1039</v>
      </c>
      <c r="C64" s="97" t="s">
        <v>1040</v>
      </c>
      <c r="D64" s="97" t="s">
        <v>1041</v>
      </c>
      <c r="E64" s="12"/>
      <c r="F64" s="12"/>
      <c r="G64" s="12"/>
      <c r="H64" s="12"/>
      <c r="I64" s="12"/>
      <c r="J64" s="12"/>
      <c r="K64" s="12"/>
      <c r="L64" s="12"/>
      <c r="M64" s="12"/>
      <c r="N64" s="12"/>
      <c r="O64" s="12"/>
      <c r="P64" s="12"/>
      <c r="Q64" s="12"/>
      <c r="R64" s="12"/>
      <c r="S64" s="12"/>
      <c r="T64" s="12"/>
      <c r="U64" s="12"/>
      <c r="V64" s="12"/>
      <c r="W64" s="12"/>
      <c r="X64" s="12"/>
      <c r="Y64" s="12"/>
      <c r="Z64" s="12"/>
    </row>
    <row r="65" ht="15.75" customHeight="1">
      <c r="A65" s="12"/>
      <c r="B65" s="96" t="s">
        <v>782</v>
      </c>
      <c r="C65" s="97" t="s">
        <v>1042</v>
      </c>
      <c r="D65" s="90"/>
      <c r="E65" s="12"/>
      <c r="F65" s="12"/>
      <c r="G65" s="12"/>
      <c r="H65" s="12"/>
      <c r="I65" s="12"/>
      <c r="J65" s="12"/>
      <c r="K65" s="12"/>
      <c r="L65" s="12"/>
      <c r="M65" s="12"/>
      <c r="N65" s="12"/>
      <c r="O65" s="12"/>
      <c r="P65" s="12"/>
      <c r="Q65" s="12"/>
      <c r="R65" s="12"/>
      <c r="S65" s="12"/>
      <c r="T65" s="12"/>
      <c r="U65" s="12"/>
      <c r="V65" s="12"/>
      <c r="W65" s="12"/>
      <c r="X65" s="12"/>
      <c r="Y65" s="12"/>
      <c r="Z65" s="12"/>
    </row>
    <row r="66" ht="15.75" customHeight="1">
      <c r="A66" s="12"/>
      <c r="B66" s="96" t="s">
        <v>1043</v>
      </c>
      <c r="C66" s="97" t="s">
        <v>1044</v>
      </c>
      <c r="D66" s="97" t="s">
        <v>1045</v>
      </c>
      <c r="E66" s="12"/>
      <c r="F66" s="12"/>
      <c r="G66" s="12"/>
      <c r="H66" s="12"/>
      <c r="I66" s="12"/>
      <c r="J66" s="12"/>
      <c r="K66" s="12"/>
      <c r="L66" s="12"/>
      <c r="M66" s="12"/>
      <c r="N66" s="12"/>
      <c r="O66" s="12"/>
      <c r="P66" s="12"/>
      <c r="Q66" s="12"/>
      <c r="R66" s="12"/>
      <c r="S66" s="12"/>
      <c r="T66" s="12"/>
      <c r="U66" s="12"/>
      <c r="V66" s="12"/>
      <c r="W66" s="12"/>
      <c r="X66" s="12"/>
      <c r="Y66" s="12"/>
      <c r="Z66" s="12"/>
    </row>
    <row r="67" ht="15.75" customHeight="1">
      <c r="A67" s="12"/>
      <c r="B67" s="96" t="s">
        <v>1046</v>
      </c>
      <c r="C67" s="97" t="s">
        <v>1047</v>
      </c>
      <c r="D67" s="90"/>
      <c r="E67" s="12"/>
      <c r="F67" s="12"/>
      <c r="G67" s="12"/>
      <c r="H67" s="12"/>
      <c r="I67" s="12"/>
      <c r="J67" s="12"/>
      <c r="K67" s="12"/>
      <c r="L67" s="12"/>
      <c r="M67" s="12"/>
      <c r="N67" s="12"/>
      <c r="O67" s="12"/>
      <c r="P67" s="12"/>
      <c r="Q67" s="12"/>
      <c r="R67" s="12"/>
      <c r="S67" s="12"/>
      <c r="T67" s="12"/>
      <c r="U67" s="12"/>
      <c r="V67" s="12"/>
      <c r="W67" s="12"/>
      <c r="X67" s="12"/>
      <c r="Y67" s="12"/>
      <c r="Z67" s="12"/>
    </row>
    <row r="68" ht="15.75" customHeight="1">
      <c r="A68" s="95">
        <v>45972.0</v>
      </c>
      <c r="B68" s="96" t="s">
        <v>1048</v>
      </c>
      <c r="C68" s="90"/>
      <c r="D68" s="90"/>
      <c r="E68" s="12"/>
      <c r="F68" s="12"/>
      <c r="G68" s="12"/>
      <c r="H68" s="12"/>
      <c r="I68" s="12"/>
      <c r="J68" s="12"/>
      <c r="K68" s="12"/>
      <c r="L68" s="12"/>
      <c r="M68" s="12"/>
      <c r="N68" s="12"/>
      <c r="O68" s="12"/>
      <c r="P68" s="12"/>
      <c r="Q68" s="12"/>
      <c r="R68" s="12"/>
      <c r="S68" s="12"/>
      <c r="T68" s="12"/>
      <c r="U68" s="12"/>
      <c r="V68" s="12"/>
      <c r="W68" s="12"/>
      <c r="X68" s="12"/>
      <c r="Y68" s="12"/>
      <c r="Z68" s="12"/>
    </row>
    <row r="69" ht="15.75" customHeight="1">
      <c r="A69" s="12"/>
      <c r="B69" s="96" t="s">
        <v>1049</v>
      </c>
      <c r="C69" s="97" t="s">
        <v>1050</v>
      </c>
      <c r="D69" s="97" t="s">
        <v>1051</v>
      </c>
      <c r="E69" s="12"/>
      <c r="F69" s="12"/>
      <c r="G69" s="12"/>
      <c r="H69" s="12"/>
      <c r="I69" s="12"/>
      <c r="J69" s="12"/>
      <c r="K69" s="12"/>
      <c r="L69" s="12"/>
      <c r="M69" s="12"/>
      <c r="N69" s="12"/>
      <c r="O69" s="12"/>
      <c r="P69" s="12"/>
      <c r="Q69" s="12"/>
      <c r="R69" s="12"/>
      <c r="S69" s="12"/>
      <c r="T69" s="12"/>
      <c r="U69" s="12"/>
      <c r="V69" s="12"/>
      <c r="W69" s="12"/>
      <c r="X69" s="12"/>
      <c r="Y69" s="12"/>
      <c r="Z69" s="12"/>
    </row>
    <row r="70" ht="15.75" customHeight="1">
      <c r="A70" s="95">
        <v>45978.0</v>
      </c>
      <c r="B70" s="96" t="s">
        <v>1052</v>
      </c>
      <c r="C70" s="97" t="s">
        <v>1053</v>
      </c>
      <c r="D70" s="90"/>
      <c r="E70" s="12"/>
      <c r="F70" s="12"/>
      <c r="G70" s="12"/>
      <c r="H70" s="12"/>
      <c r="I70" s="12"/>
      <c r="J70" s="12"/>
      <c r="K70" s="12"/>
      <c r="L70" s="12"/>
      <c r="M70" s="12"/>
      <c r="N70" s="12"/>
      <c r="O70" s="12"/>
      <c r="P70" s="12"/>
      <c r="Q70" s="12"/>
      <c r="R70" s="12"/>
      <c r="S70" s="12"/>
      <c r="T70" s="12"/>
      <c r="U70" s="12"/>
      <c r="V70" s="12"/>
      <c r="W70" s="12"/>
      <c r="X70" s="12"/>
      <c r="Y70" s="12"/>
      <c r="Z70" s="12"/>
    </row>
    <row r="71" ht="15.75" customHeight="1">
      <c r="A71" s="12"/>
      <c r="B71" s="12"/>
      <c r="C71" s="90"/>
      <c r="D71" s="90"/>
      <c r="E71" s="12"/>
      <c r="F71" s="12"/>
      <c r="G71" s="12"/>
      <c r="H71" s="12"/>
      <c r="I71" s="12"/>
      <c r="J71" s="12"/>
      <c r="K71" s="12"/>
      <c r="L71" s="12"/>
      <c r="M71" s="12"/>
      <c r="N71" s="12"/>
      <c r="O71" s="12"/>
      <c r="P71" s="12"/>
      <c r="Q71" s="12"/>
      <c r="R71" s="12"/>
      <c r="S71" s="12"/>
      <c r="T71" s="12"/>
      <c r="U71" s="12"/>
      <c r="V71" s="12"/>
      <c r="W71" s="12"/>
      <c r="X71" s="12"/>
      <c r="Y71" s="12"/>
      <c r="Z71" s="12"/>
    </row>
    <row r="72" ht="15.75" customHeight="1">
      <c r="A72" s="12"/>
      <c r="B72" s="12"/>
      <c r="C72" s="90"/>
      <c r="D72" s="90"/>
      <c r="E72" s="12"/>
      <c r="F72" s="12"/>
      <c r="G72" s="12"/>
      <c r="H72" s="12"/>
      <c r="I72" s="12"/>
      <c r="J72" s="12"/>
      <c r="K72" s="12"/>
      <c r="L72" s="12"/>
      <c r="M72" s="12"/>
      <c r="N72" s="12"/>
      <c r="O72" s="12"/>
      <c r="P72" s="12"/>
      <c r="Q72" s="12"/>
      <c r="R72" s="12"/>
      <c r="S72" s="12"/>
      <c r="T72" s="12"/>
      <c r="U72" s="12"/>
      <c r="V72" s="12"/>
      <c r="W72" s="12"/>
      <c r="X72" s="12"/>
      <c r="Y72" s="12"/>
      <c r="Z72" s="12"/>
    </row>
    <row r="73" ht="15.75" customHeight="1">
      <c r="A73" s="12"/>
      <c r="B73" s="12"/>
      <c r="C73" s="90"/>
      <c r="D73" s="90"/>
      <c r="E73" s="12"/>
      <c r="F73" s="12"/>
      <c r="G73" s="12"/>
      <c r="H73" s="12"/>
      <c r="I73" s="12"/>
      <c r="J73" s="12"/>
      <c r="K73" s="12"/>
      <c r="L73" s="12"/>
      <c r="M73" s="12"/>
      <c r="N73" s="12"/>
      <c r="O73" s="12"/>
      <c r="P73" s="12"/>
      <c r="Q73" s="12"/>
      <c r="R73" s="12"/>
      <c r="S73" s="12"/>
      <c r="T73" s="12"/>
      <c r="U73" s="12"/>
      <c r="V73" s="12"/>
      <c r="W73" s="12"/>
      <c r="X73" s="12"/>
      <c r="Y73" s="12"/>
      <c r="Z73" s="12"/>
    </row>
    <row r="74" ht="15.75" customHeight="1">
      <c r="A74" s="12"/>
      <c r="B74" s="12"/>
      <c r="C74" s="90"/>
      <c r="D74" s="90"/>
      <c r="E74" s="12"/>
      <c r="F74" s="12"/>
      <c r="G74" s="12"/>
      <c r="H74" s="12"/>
      <c r="I74" s="12"/>
      <c r="J74" s="12"/>
      <c r="K74" s="12"/>
      <c r="L74" s="12"/>
      <c r="M74" s="12"/>
      <c r="N74" s="12"/>
      <c r="O74" s="12"/>
      <c r="P74" s="12"/>
      <c r="Q74" s="12"/>
      <c r="R74" s="12"/>
      <c r="S74" s="12"/>
      <c r="T74" s="12"/>
      <c r="U74" s="12"/>
      <c r="V74" s="12"/>
      <c r="W74" s="12"/>
      <c r="X74" s="12"/>
      <c r="Y74" s="12"/>
      <c r="Z74" s="12"/>
    </row>
    <row r="75" ht="15.75" customHeight="1">
      <c r="A75" s="12"/>
      <c r="B75" s="12"/>
      <c r="C75" s="90"/>
      <c r="D75" s="90"/>
      <c r="E75" s="12"/>
      <c r="F75" s="12"/>
      <c r="G75" s="12"/>
      <c r="H75" s="12"/>
      <c r="I75" s="12"/>
      <c r="J75" s="12"/>
      <c r="K75" s="12"/>
      <c r="L75" s="12"/>
      <c r="M75" s="12"/>
      <c r="N75" s="12"/>
      <c r="O75" s="12"/>
      <c r="P75" s="12"/>
      <c r="Q75" s="12"/>
      <c r="R75" s="12"/>
      <c r="S75" s="12"/>
      <c r="T75" s="12"/>
      <c r="U75" s="12"/>
      <c r="V75" s="12"/>
      <c r="W75" s="12"/>
      <c r="X75" s="12"/>
      <c r="Y75" s="12"/>
      <c r="Z75" s="12"/>
    </row>
    <row r="76" ht="15.75" customHeight="1">
      <c r="A76" s="12"/>
      <c r="B76" s="12"/>
      <c r="C76" s="90"/>
      <c r="D76" s="90"/>
      <c r="E76" s="12"/>
      <c r="F76" s="12"/>
      <c r="G76" s="12"/>
      <c r="H76" s="12"/>
      <c r="I76" s="12"/>
      <c r="J76" s="12"/>
      <c r="K76" s="12"/>
      <c r="L76" s="12"/>
      <c r="M76" s="12"/>
      <c r="N76" s="12"/>
      <c r="O76" s="12"/>
      <c r="P76" s="12"/>
      <c r="Q76" s="12"/>
      <c r="R76" s="12"/>
      <c r="S76" s="12"/>
      <c r="T76" s="12"/>
      <c r="U76" s="12"/>
      <c r="V76" s="12"/>
      <c r="W76" s="12"/>
      <c r="X76" s="12"/>
      <c r="Y76" s="12"/>
      <c r="Z76" s="12"/>
    </row>
    <row r="77" ht="15.75" customHeight="1">
      <c r="A77" s="12"/>
      <c r="B77" s="12"/>
      <c r="C77" s="90"/>
      <c r="D77" s="90"/>
      <c r="E77" s="12"/>
      <c r="F77" s="12"/>
      <c r="G77" s="12"/>
      <c r="H77" s="12"/>
      <c r="I77" s="12"/>
      <c r="J77" s="12"/>
      <c r="K77" s="12"/>
      <c r="L77" s="12"/>
      <c r="M77" s="12"/>
      <c r="N77" s="12"/>
      <c r="O77" s="12"/>
      <c r="P77" s="12"/>
      <c r="Q77" s="12"/>
      <c r="R77" s="12"/>
      <c r="S77" s="12"/>
      <c r="T77" s="12"/>
      <c r="U77" s="12"/>
      <c r="V77" s="12"/>
      <c r="W77" s="12"/>
      <c r="X77" s="12"/>
      <c r="Y77" s="12"/>
      <c r="Z77" s="12"/>
    </row>
    <row r="78" ht="15.75" customHeight="1">
      <c r="A78" s="12"/>
      <c r="B78" s="12"/>
      <c r="C78" s="90"/>
      <c r="D78" s="90"/>
      <c r="E78" s="12"/>
      <c r="F78" s="12"/>
      <c r="G78" s="12"/>
      <c r="H78" s="12"/>
      <c r="I78" s="12"/>
      <c r="J78" s="12"/>
      <c r="K78" s="12"/>
      <c r="L78" s="12"/>
      <c r="M78" s="12"/>
      <c r="N78" s="12"/>
      <c r="O78" s="12"/>
      <c r="P78" s="12"/>
      <c r="Q78" s="12"/>
      <c r="R78" s="12"/>
      <c r="S78" s="12"/>
      <c r="T78" s="12"/>
      <c r="U78" s="12"/>
      <c r="V78" s="12"/>
      <c r="W78" s="12"/>
      <c r="X78" s="12"/>
      <c r="Y78" s="12"/>
      <c r="Z78" s="12"/>
    </row>
    <row r="79" ht="15.75" customHeight="1">
      <c r="A79" s="12"/>
      <c r="B79" s="12"/>
      <c r="C79" s="90"/>
      <c r="D79" s="90"/>
      <c r="E79" s="12"/>
      <c r="F79" s="12"/>
      <c r="G79" s="12"/>
      <c r="H79" s="12"/>
      <c r="I79" s="12"/>
      <c r="J79" s="12"/>
      <c r="K79" s="12"/>
      <c r="L79" s="12"/>
      <c r="M79" s="12"/>
      <c r="N79" s="12"/>
      <c r="O79" s="12"/>
      <c r="P79" s="12"/>
      <c r="Q79" s="12"/>
      <c r="R79" s="12"/>
      <c r="S79" s="12"/>
      <c r="T79" s="12"/>
      <c r="U79" s="12"/>
      <c r="V79" s="12"/>
      <c r="W79" s="12"/>
      <c r="X79" s="12"/>
      <c r="Y79" s="12"/>
      <c r="Z79" s="12"/>
    </row>
    <row r="80" ht="15.75" customHeight="1">
      <c r="A80" s="12"/>
      <c r="B80" s="12"/>
      <c r="C80" s="90"/>
      <c r="D80" s="90"/>
      <c r="E80" s="12"/>
      <c r="F80" s="12"/>
      <c r="G80" s="12"/>
      <c r="H80" s="12"/>
      <c r="I80" s="12"/>
      <c r="J80" s="12"/>
      <c r="K80" s="12"/>
      <c r="L80" s="12"/>
      <c r="M80" s="12"/>
      <c r="N80" s="12"/>
      <c r="O80" s="12"/>
      <c r="P80" s="12"/>
      <c r="Q80" s="12"/>
      <c r="R80" s="12"/>
      <c r="S80" s="12"/>
      <c r="T80" s="12"/>
      <c r="U80" s="12"/>
      <c r="V80" s="12"/>
      <c r="W80" s="12"/>
      <c r="X80" s="12"/>
      <c r="Y80" s="12"/>
      <c r="Z80" s="12"/>
    </row>
    <row r="81" ht="15.75" customHeight="1">
      <c r="A81" s="12"/>
      <c r="B81" s="12"/>
      <c r="C81" s="90"/>
      <c r="D81" s="90"/>
      <c r="E81" s="12"/>
      <c r="F81" s="12"/>
      <c r="G81" s="12"/>
      <c r="H81" s="12"/>
      <c r="I81" s="12"/>
      <c r="J81" s="12"/>
      <c r="K81" s="12"/>
      <c r="L81" s="12"/>
      <c r="M81" s="12"/>
      <c r="N81" s="12"/>
      <c r="O81" s="12"/>
      <c r="P81" s="12"/>
      <c r="Q81" s="12"/>
      <c r="R81" s="12"/>
      <c r="S81" s="12"/>
      <c r="T81" s="12"/>
      <c r="U81" s="12"/>
      <c r="V81" s="12"/>
      <c r="W81" s="12"/>
      <c r="X81" s="12"/>
      <c r="Y81" s="12"/>
      <c r="Z81" s="12"/>
    </row>
    <row r="82" ht="15.75" customHeight="1">
      <c r="A82" s="12"/>
      <c r="B82" s="12"/>
      <c r="C82" s="90"/>
      <c r="D82" s="90"/>
      <c r="E82" s="12"/>
      <c r="F82" s="12"/>
      <c r="G82" s="12"/>
      <c r="H82" s="12"/>
      <c r="I82" s="12"/>
      <c r="J82" s="12"/>
      <c r="K82" s="12"/>
      <c r="L82" s="12"/>
      <c r="M82" s="12"/>
      <c r="N82" s="12"/>
      <c r="O82" s="12"/>
      <c r="P82" s="12"/>
      <c r="Q82" s="12"/>
      <c r="R82" s="12"/>
      <c r="S82" s="12"/>
      <c r="T82" s="12"/>
      <c r="U82" s="12"/>
      <c r="V82" s="12"/>
      <c r="W82" s="12"/>
      <c r="X82" s="12"/>
      <c r="Y82" s="12"/>
      <c r="Z82" s="12"/>
    </row>
    <row r="83" ht="15.75" customHeight="1">
      <c r="A83" s="12"/>
      <c r="B83" s="12"/>
      <c r="C83" s="90"/>
      <c r="D83" s="90"/>
      <c r="E83" s="12"/>
      <c r="F83" s="12"/>
      <c r="G83" s="12"/>
      <c r="H83" s="12"/>
      <c r="I83" s="12"/>
      <c r="J83" s="12"/>
      <c r="K83" s="12"/>
      <c r="L83" s="12"/>
      <c r="M83" s="12"/>
      <c r="N83" s="12"/>
      <c r="O83" s="12"/>
      <c r="P83" s="12"/>
      <c r="Q83" s="12"/>
      <c r="R83" s="12"/>
      <c r="S83" s="12"/>
      <c r="T83" s="12"/>
      <c r="U83" s="12"/>
      <c r="V83" s="12"/>
      <c r="W83" s="12"/>
      <c r="X83" s="12"/>
      <c r="Y83" s="12"/>
      <c r="Z83" s="12"/>
    </row>
    <row r="84" ht="15.75" customHeight="1">
      <c r="A84" s="12"/>
      <c r="B84" s="12"/>
      <c r="C84" s="90"/>
      <c r="D84" s="90"/>
      <c r="E84" s="12"/>
      <c r="F84" s="12"/>
      <c r="G84" s="12"/>
      <c r="H84" s="12"/>
      <c r="I84" s="12"/>
      <c r="J84" s="12"/>
      <c r="K84" s="12"/>
      <c r="L84" s="12"/>
      <c r="M84" s="12"/>
      <c r="N84" s="12"/>
      <c r="O84" s="12"/>
      <c r="P84" s="12"/>
      <c r="Q84" s="12"/>
      <c r="R84" s="12"/>
      <c r="S84" s="12"/>
      <c r="T84" s="12"/>
      <c r="U84" s="12"/>
      <c r="V84" s="12"/>
      <c r="W84" s="12"/>
      <c r="X84" s="12"/>
      <c r="Y84" s="12"/>
      <c r="Z84" s="12"/>
    </row>
    <row r="85" ht="15.75" customHeight="1">
      <c r="A85" s="12"/>
      <c r="B85" s="12"/>
      <c r="C85" s="90"/>
      <c r="D85" s="90"/>
      <c r="E85" s="12"/>
      <c r="F85" s="12"/>
      <c r="G85" s="12"/>
      <c r="H85" s="12"/>
      <c r="I85" s="12"/>
      <c r="J85" s="12"/>
      <c r="K85" s="12"/>
      <c r="L85" s="12"/>
      <c r="M85" s="12"/>
      <c r="N85" s="12"/>
      <c r="O85" s="12"/>
      <c r="P85" s="12"/>
      <c r="Q85" s="12"/>
      <c r="R85" s="12"/>
      <c r="S85" s="12"/>
      <c r="T85" s="12"/>
      <c r="U85" s="12"/>
      <c r="V85" s="12"/>
      <c r="W85" s="12"/>
      <c r="X85" s="12"/>
      <c r="Y85" s="12"/>
      <c r="Z85" s="12"/>
    </row>
    <row r="86" ht="15.75" customHeight="1">
      <c r="A86" s="12"/>
      <c r="B86" s="12"/>
      <c r="C86" s="90"/>
      <c r="D86" s="90"/>
      <c r="E86" s="12"/>
      <c r="F86" s="12"/>
      <c r="G86" s="12"/>
      <c r="H86" s="12"/>
      <c r="I86" s="12"/>
      <c r="J86" s="12"/>
      <c r="K86" s="12"/>
      <c r="L86" s="12"/>
      <c r="M86" s="12"/>
      <c r="N86" s="12"/>
      <c r="O86" s="12"/>
      <c r="P86" s="12"/>
      <c r="Q86" s="12"/>
      <c r="R86" s="12"/>
      <c r="S86" s="12"/>
      <c r="T86" s="12"/>
      <c r="U86" s="12"/>
      <c r="V86" s="12"/>
      <c r="W86" s="12"/>
      <c r="X86" s="12"/>
      <c r="Y86" s="12"/>
      <c r="Z86" s="12"/>
    </row>
    <row r="87" ht="15.75" customHeight="1">
      <c r="A87" s="12"/>
      <c r="B87" s="12"/>
      <c r="C87" s="90"/>
      <c r="D87" s="90"/>
      <c r="E87" s="12"/>
      <c r="F87" s="12"/>
      <c r="G87" s="12"/>
      <c r="H87" s="12"/>
      <c r="I87" s="12"/>
      <c r="J87" s="12"/>
      <c r="K87" s="12"/>
      <c r="L87" s="12"/>
      <c r="M87" s="12"/>
      <c r="N87" s="12"/>
      <c r="O87" s="12"/>
      <c r="P87" s="12"/>
      <c r="Q87" s="12"/>
      <c r="R87" s="12"/>
      <c r="S87" s="12"/>
      <c r="T87" s="12"/>
      <c r="U87" s="12"/>
      <c r="V87" s="12"/>
      <c r="W87" s="12"/>
      <c r="X87" s="12"/>
      <c r="Y87" s="12"/>
      <c r="Z87" s="12"/>
    </row>
    <row r="88" ht="15.75" customHeight="1">
      <c r="A88" s="12"/>
      <c r="B88" s="12"/>
      <c r="C88" s="90"/>
      <c r="D88" s="90"/>
      <c r="E88" s="12"/>
      <c r="F88" s="12"/>
      <c r="G88" s="12"/>
      <c r="H88" s="12"/>
      <c r="I88" s="12"/>
      <c r="J88" s="12"/>
      <c r="K88" s="12"/>
      <c r="L88" s="12"/>
      <c r="M88" s="12"/>
      <c r="N88" s="12"/>
      <c r="O88" s="12"/>
      <c r="P88" s="12"/>
      <c r="Q88" s="12"/>
      <c r="R88" s="12"/>
      <c r="S88" s="12"/>
      <c r="T88" s="12"/>
      <c r="U88" s="12"/>
      <c r="V88" s="12"/>
      <c r="W88" s="12"/>
      <c r="X88" s="12"/>
      <c r="Y88" s="12"/>
      <c r="Z88" s="12"/>
    </row>
    <row r="89" ht="15.75" customHeight="1">
      <c r="A89" s="12"/>
      <c r="B89" s="12"/>
      <c r="C89" s="90"/>
      <c r="D89" s="90"/>
      <c r="E89" s="12"/>
      <c r="F89" s="12"/>
      <c r="G89" s="12"/>
      <c r="H89" s="12"/>
      <c r="I89" s="12"/>
      <c r="J89" s="12"/>
      <c r="K89" s="12"/>
      <c r="L89" s="12"/>
      <c r="M89" s="12"/>
      <c r="N89" s="12"/>
      <c r="O89" s="12"/>
      <c r="P89" s="12"/>
      <c r="Q89" s="12"/>
      <c r="R89" s="12"/>
      <c r="S89" s="12"/>
      <c r="T89" s="12"/>
      <c r="U89" s="12"/>
      <c r="V89" s="12"/>
      <c r="W89" s="12"/>
      <c r="X89" s="12"/>
      <c r="Y89" s="12"/>
      <c r="Z89" s="12"/>
    </row>
    <row r="90" ht="15.75" customHeight="1">
      <c r="A90" s="12"/>
      <c r="B90" s="12"/>
      <c r="C90" s="90"/>
      <c r="D90" s="90"/>
      <c r="E90" s="12"/>
      <c r="F90" s="12"/>
      <c r="G90" s="12"/>
      <c r="H90" s="12"/>
      <c r="I90" s="12"/>
      <c r="J90" s="12"/>
      <c r="K90" s="12"/>
      <c r="L90" s="12"/>
      <c r="M90" s="12"/>
      <c r="N90" s="12"/>
      <c r="O90" s="12"/>
      <c r="P90" s="12"/>
      <c r="Q90" s="12"/>
      <c r="R90" s="12"/>
      <c r="S90" s="12"/>
      <c r="T90" s="12"/>
      <c r="U90" s="12"/>
      <c r="V90" s="12"/>
      <c r="W90" s="12"/>
      <c r="X90" s="12"/>
      <c r="Y90" s="12"/>
      <c r="Z90" s="12"/>
    </row>
    <row r="91" ht="15.75" customHeight="1">
      <c r="A91" s="12"/>
      <c r="B91" s="12"/>
      <c r="C91" s="90"/>
      <c r="D91" s="90"/>
      <c r="E91" s="12"/>
      <c r="F91" s="12"/>
      <c r="G91" s="12"/>
      <c r="H91" s="12"/>
      <c r="I91" s="12"/>
      <c r="J91" s="12"/>
      <c r="K91" s="12"/>
      <c r="L91" s="12"/>
      <c r="M91" s="12"/>
      <c r="N91" s="12"/>
      <c r="O91" s="12"/>
      <c r="P91" s="12"/>
      <c r="Q91" s="12"/>
      <c r="R91" s="12"/>
      <c r="S91" s="12"/>
      <c r="T91" s="12"/>
      <c r="U91" s="12"/>
      <c r="V91" s="12"/>
      <c r="W91" s="12"/>
      <c r="X91" s="12"/>
      <c r="Y91" s="12"/>
      <c r="Z91" s="12"/>
    </row>
    <row r="92" ht="15.75" customHeight="1">
      <c r="A92" s="12"/>
      <c r="B92" s="12"/>
      <c r="C92" s="90"/>
      <c r="D92" s="90"/>
      <c r="E92" s="12"/>
      <c r="F92" s="12"/>
      <c r="G92" s="12"/>
      <c r="H92" s="12"/>
      <c r="I92" s="12"/>
      <c r="J92" s="12"/>
      <c r="K92" s="12"/>
      <c r="L92" s="12"/>
      <c r="M92" s="12"/>
      <c r="N92" s="12"/>
      <c r="O92" s="12"/>
      <c r="P92" s="12"/>
      <c r="Q92" s="12"/>
      <c r="R92" s="12"/>
      <c r="S92" s="12"/>
      <c r="T92" s="12"/>
      <c r="U92" s="12"/>
      <c r="V92" s="12"/>
      <c r="W92" s="12"/>
      <c r="X92" s="12"/>
      <c r="Y92" s="12"/>
      <c r="Z92" s="12"/>
    </row>
    <row r="93" ht="15.75" customHeight="1">
      <c r="A93" s="12"/>
      <c r="B93" s="12"/>
      <c r="C93" s="90"/>
      <c r="D93" s="90"/>
      <c r="E93" s="12"/>
      <c r="F93" s="12"/>
      <c r="G93" s="12"/>
      <c r="H93" s="12"/>
      <c r="I93" s="12"/>
      <c r="J93" s="12"/>
      <c r="K93" s="12"/>
      <c r="L93" s="12"/>
      <c r="M93" s="12"/>
      <c r="N93" s="12"/>
      <c r="O93" s="12"/>
      <c r="P93" s="12"/>
      <c r="Q93" s="12"/>
      <c r="R93" s="12"/>
      <c r="S93" s="12"/>
      <c r="T93" s="12"/>
      <c r="U93" s="12"/>
      <c r="V93" s="12"/>
      <c r="W93" s="12"/>
      <c r="X93" s="12"/>
      <c r="Y93" s="12"/>
      <c r="Z93" s="12"/>
    </row>
    <row r="94" ht="15.75" customHeight="1">
      <c r="A94" s="12"/>
      <c r="B94" s="12"/>
      <c r="C94" s="90"/>
      <c r="D94" s="90"/>
      <c r="E94" s="12"/>
      <c r="F94" s="12"/>
      <c r="G94" s="12"/>
      <c r="H94" s="12"/>
      <c r="I94" s="12"/>
      <c r="J94" s="12"/>
      <c r="K94" s="12"/>
      <c r="L94" s="12"/>
      <c r="M94" s="12"/>
      <c r="N94" s="12"/>
      <c r="O94" s="12"/>
      <c r="P94" s="12"/>
      <c r="Q94" s="12"/>
      <c r="R94" s="12"/>
      <c r="S94" s="12"/>
      <c r="T94" s="12"/>
      <c r="U94" s="12"/>
      <c r="V94" s="12"/>
      <c r="W94" s="12"/>
      <c r="X94" s="12"/>
      <c r="Y94" s="12"/>
      <c r="Z94" s="12"/>
    </row>
    <row r="95" ht="15.75" customHeight="1">
      <c r="A95" s="12"/>
      <c r="B95" s="12"/>
      <c r="C95" s="90"/>
      <c r="D95" s="90"/>
      <c r="E95" s="12"/>
      <c r="F95" s="12"/>
      <c r="G95" s="12"/>
      <c r="H95" s="12"/>
      <c r="I95" s="12"/>
      <c r="J95" s="12"/>
      <c r="K95" s="12"/>
      <c r="L95" s="12"/>
      <c r="M95" s="12"/>
      <c r="N95" s="12"/>
      <c r="O95" s="12"/>
      <c r="P95" s="12"/>
      <c r="Q95" s="12"/>
      <c r="R95" s="12"/>
      <c r="S95" s="12"/>
      <c r="T95" s="12"/>
      <c r="U95" s="12"/>
      <c r="V95" s="12"/>
      <c r="W95" s="12"/>
      <c r="X95" s="12"/>
      <c r="Y95" s="12"/>
      <c r="Z95" s="12"/>
    </row>
    <row r="96" ht="15.75" customHeight="1">
      <c r="A96" s="12"/>
      <c r="B96" s="12"/>
      <c r="C96" s="90"/>
      <c r="D96" s="90"/>
      <c r="E96" s="12"/>
      <c r="F96" s="12"/>
      <c r="G96" s="12"/>
      <c r="H96" s="12"/>
      <c r="I96" s="12"/>
      <c r="J96" s="12"/>
      <c r="K96" s="12"/>
      <c r="L96" s="12"/>
      <c r="M96" s="12"/>
      <c r="N96" s="12"/>
      <c r="O96" s="12"/>
      <c r="P96" s="12"/>
      <c r="Q96" s="12"/>
      <c r="R96" s="12"/>
      <c r="S96" s="12"/>
      <c r="T96" s="12"/>
      <c r="U96" s="12"/>
      <c r="V96" s="12"/>
      <c r="W96" s="12"/>
      <c r="X96" s="12"/>
      <c r="Y96" s="12"/>
      <c r="Z96" s="12"/>
    </row>
    <row r="97" ht="15.75" customHeight="1">
      <c r="A97" s="12"/>
      <c r="B97" s="12"/>
      <c r="C97" s="90"/>
      <c r="D97" s="90"/>
      <c r="E97" s="12"/>
      <c r="F97" s="12"/>
      <c r="G97" s="12"/>
      <c r="H97" s="12"/>
      <c r="I97" s="12"/>
      <c r="J97" s="12"/>
      <c r="K97" s="12"/>
      <c r="L97" s="12"/>
      <c r="M97" s="12"/>
      <c r="N97" s="12"/>
      <c r="O97" s="12"/>
      <c r="P97" s="12"/>
      <c r="Q97" s="12"/>
      <c r="R97" s="12"/>
      <c r="S97" s="12"/>
      <c r="T97" s="12"/>
      <c r="U97" s="12"/>
      <c r="V97" s="12"/>
      <c r="W97" s="12"/>
      <c r="X97" s="12"/>
      <c r="Y97" s="12"/>
      <c r="Z97" s="12"/>
    </row>
    <row r="98" ht="15.75" customHeight="1">
      <c r="A98" s="12"/>
      <c r="B98" s="12"/>
      <c r="C98" s="90"/>
      <c r="D98" s="90"/>
      <c r="E98" s="12"/>
      <c r="F98" s="12"/>
      <c r="G98" s="12"/>
      <c r="H98" s="12"/>
      <c r="I98" s="12"/>
      <c r="J98" s="12"/>
      <c r="K98" s="12"/>
      <c r="L98" s="12"/>
      <c r="M98" s="12"/>
      <c r="N98" s="12"/>
      <c r="O98" s="12"/>
      <c r="P98" s="12"/>
      <c r="Q98" s="12"/>
      <c r="R98" s="12"/>
      <c r="S98" s="12"/>
      <c r="T98" s="12"/>
      <c r="U98" s="12"/>
      <c r="V98" s="12"/>
      <c r="W98" s="12"/>
      <c r="X98" s="12"/>
      <c r="Y98" s="12"/>
      <c r="Z98" s="12"/>
    </row>
    <row r="99" ht="15.75" customHeight="1">
      <c r="A99" s="12"/>
      <c r="B99" s="12"/>
      <c r="C99" s="90"/>
      <c r="D99" s="90"/>
      <c r="E99" s="12"/>
      <c r="F99" s="12"/>
      <c r="G99" s="12"/>
      <c r="H99" s="12"/>
      <c r="I99" s="12"/>
      <c r="J99" s="12"/>
      <c r="K99" s="12"/>
      <c r="L99" s="12"/>
      <c r="M99" s="12"/>
      <c r="N99" s="12"/>
      <c r="O99" s="12"/>
      <c r="P99" s="12"/>
      <c r="Q99" s="12"/>
      <c r="R99" s="12"/>
      <c r="S99" s="12"/>
      <c r="T99" s="12"/>
      <c r="U99" s="12"/>
      <c r="V99" s="12"/>
      <c r="W99" s="12"/>
      <c r="X99" s="12"/>
      <c r="Y99" s="12"/>
      <c r="Z99" s="12"/>
    </row>
    <row r="100" ht="15.75" customHeight="1">
      <c r="A100" s="12"/>
      <c r="B100" s="12"/>
      <c r="C100" s="90"/>
      <c r="D100" s="90"/>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5.75" customHeight="1">
      <c r="A101" s="12"/>
      <c r="B101" s="12"/>
      <c r="C101" s="90"/>
      <c r="D101" s="90"/>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5.75" customHeight="1">
      <c r="A102" s="12"/>
      <c r="B102" s="12"/>
      <c r="C102" s="90"/>
      <c r="D102" s="90"/>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5.75" customHeight="1">
      <c r="A103" s="12"/>
      <c r="B103" s="12"/>
      <c r="C103" s="90"/>
      <c r="D103" s="90"/>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5.75" customHeight="1">
      <c r="A104" s="12"/>
      <c r="B104" s="12"/>
      <c r="C104" s="90"/>
      <c r="D104" s="90"/>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5.75" customHeight="1">
      <c r="A105" s="12"/>
      <c r="B105" s="12"/>
      <c r="C105" s="90"/>
      <c r="D105" s="90"/>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5.75" customHeight="1">
      <c r="A106" s="12"/>
      <c r="B106" s="12"/>
      <c r="C106" s="90"/>
      <c r="D106" s="90"/>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5.75" customHeight="1">
      <c r="A107" s="12"/>
      <c r="B107" s="12"/>
      <c r="C107" s="90"/>
      <c r="D107" s="90"/>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5.75" customHeight="1">
      <c r="A108" s="12"/>
      <c r="B108" s="12"/>
      <c r="C108" s="90"/>
      <c r="D108" s="90"/>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5.75" customHeight="1">
      <c r="A109" s="12"/>
      <c r="B109" s="12"/>
      <c r="C109" s="90"/>
      <c r="D109" s="90"/>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5.75" customHeight="1">
      <c r="A110" s="12"/>
      <c r="B110" s="12"/>
      <c r="C110" s="90"/>
      <c r="D110" s="90"/>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5.75" customHeight="1">
      <c r="A111" s="12"/>
      <c r="B111" s="12"/>
      <c r="C111" s="90"/>
      <c r="D111" s="90"/>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5.75" customHeight="1">
      <c r="A112" s="12"/>
      <c r="B112" s="12"/>
      <c r="C112" s="90"/>
      <c r="D112" s="90"/>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5.75" customHeight="1">
      <c r="A113" s="12"/>
      <c r="B113" s="12"/>
      <c r="C113" s="90"/>
      <c r="D113" s="90"/>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5.75" customHeight="1">
      <c r="A114" s="12"/>
      <c r="B114" s="12"/>
      <c r="C114" s="90"/>
      <c r="D114" s="90"/>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5.75" customHeight="1">
      <c r="A115" s="12"/>
      <c r="B115" s="12"/>
      <c r="C115" s="90"/>
      <c r="D115" s="90"/>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5.75" customHeight="1">
      <c r="A116" s="12"/>
      <c r="B116" s="12"/>
      <c r="C116" s="90"/>
      <c r="D116" s="90"/>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5.75" customHeight="1">
      <c r="A117" s="12"/>
      <c r="B117" s="12"/>
      <c r="C117" s="90"/>
      <c r="D117" s="90"/>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5.75" customHeight="1">
      <c r="A118" s="12"/>
      <c r="B118" s="12"/>
      <c r="C118" s="90"/>
      <c r="D118" s="90"/>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5.75" customHeight="1">
      <c r="A119" s="12"/>
      <c r="B119" s="12"/>
      <c r="C119" s="90"/>
      <c r="D119" s="90"/>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5.75" customHeight="1">
      <c r="A120" s="12"/>
      <c r="B120" s="12"/>
      <c r="C120" s="90"/>
      <c r="D120" s="90"/>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5.75" customHeight="1">
      <c r="A121" s="12"/>
      <c r="B121" s="12"/>
      <c r="C121" s="90"/>
      <c r="D121" s="90"/>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5.75" customHeight="1">
      <c r="A122" s="12"/>
      <c r="B122" s="12"/>
      <c r="C122" s="90"/>
      <c r="D122" s="90"/>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5.75" customHeight="1">
      <c r="A123" s="12"/>
      <c r="B123" s="12"/>
      <c r="C123" s="90"/>
      <c r="D123" s="90"/>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5.75" customHeight="1">
      <c r="A124" s="12"/>
      <c r="B124" s="12"/>
      <c r="C124" s="90"/>
      <c r="D124" s="90"/>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5.75" customHeight="1">
      <c r="A125" s="12"/>
      <c r="B125" s="12"/>
      <c r="C125" s="90"/>
      <c r="D125" s="90"/>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5.75" customHeight="1">
      <c r="A126" s="12"/>
      <c r="B126" s="12"/>
      <c r="C126" s="90"/>
      <c r="D126" s="90"/>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5.75" customHeight="1">
      <c r="A127" s="12"/>
      <c r="B127" s="12"/>
      <c r="C127" s="90"/>
      <c r="D127" s="90"/>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5.75" customHeight="1">
      <c r="A128" s="12"/>
      <c r="B128" s="12"/>
      <c r="C128" s="90"/>
      <c r="D128" s="90"/>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5.75" customHeight="1">
      <c r="A129" s="12"/>
      <c r="B129" s="12"/>
      <c r="C129" s="90"/>
      <c r="D129" s="90"/>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5.75" customHeight="1">
      <c r="A130" s="12"/>
      <c r="B130" s="12"/>
      <c r="C130" s="90"/>
      <c r="D130" s="90"/>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5.75" customHeight="1">
      <c r="A131" s="12"/>
      <c r="B131" s="12"/>
      <c r="C131" s="90"/>
      <c r="D131" s="90"/>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5.75" customHeight="1">
      <c r="A132" s="12"/>
      <c r="B132" s="12"/>
      <c r="C132" s="90"/>
      <c r="D132" s="90"/>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5.75" customHeight="1">
      <c r="A133" s="12"/>
      <c r="B133" s="12"/>
      <c r="C133" s="90"/>
      <c r="D133" s="90"/>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5.75" customHeight="1">
      <c r="A134" s="12"/>
      <c r="B134" s="12"/>
      <c r="C134" s="90"/>
      <c r="D134" s="90"/>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5.75" customHeight="1">
      <c r="A135" s="12"/>
      <c r="B135" s="12"/>
      <c r="C135" s="90"/>
      <c r="D135" s="90"/>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5.75" customHeight="1">
      <c r="A136" s="12"/>
      <c r="B136" s="12"/>
      <c r="C136" s="90"/>
      <c r="D136" s="90"/>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5.75" customHeight="1">
      <c r="A137" s="12"/>
      <c r="B137" s="12"/>
      <c r="C137" s="90"/>
      <c r="D137" s="90"/>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5.75" customHeight="1">
      <c r="A138" s="12"/>
      <c r="B138" s="12"/>
      <c r="C138" s="90"/>
      <c r="D138" s="90"/>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5.75" customHeight="1">
      <c r="A139" s="12"/>
      <c r="B139" s="12"/>
      <c r="C139" s="90"/>
      <c r="D139" s="90"/>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5.75" customHeight="1">
      <c r="A140" s="12"/>
      <c r="B140" s="12"/>
      <c r="C140" s="90"/>
      <c r="D140" s="90"/>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5.75" customHeight="1">
      <c r="A141" s="12"/>
      <c r="B141" s="12"/>
      <c r="C141" s="90"/>
      <c r="D141" s="90"/>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5.75" customHeight="1">
      <c r="A142" s="12"/>
      <c r="B142" s="12"/>
      <c r="C142" s="90"/>
      <c r="D142" s="90"/>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5.75" customHeight="1">
      <c r="A143" s="12"/>
      <c r="B143" s="12"/>
      <c r="C143" s="90"/>
      <c r="D143" s="90"/>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5.75" customHeight="1">
      <c r="A144" s="12"/>
      <c r="B144" s="12"/>
      <c r="C144" s="90"/>
      <c r="D144" s="90"/>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5.75" customHeight="1">
      <c r="A145" s="12"/>
      <c r="B145" s="12"/>
      <c r="C145" s="90"/>
      <c r="D145" s="90"/>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5.75" customHeight="1">
      <c r="A146" s="12"/>
      <c r="B146" s="12"/>
      <c r="C146" s="90"/>
      <c r="D146" s="90"/>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5.75" customHeight="1">
      <c r="A147" s="12"/>
      <c r="B147" s="12"/>
      <c r="C147" s="90"/>
      <c r="D147" s="90"/>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5.75" customHeight="1">
      <c r="A148" s="12"/>
      <c r="B148" s="12"/>
      <c r="C148" s="90"/>
      <c r="D148" s="90"/>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5.75" customHeight="1">
      <c r="A149" s="12"/>
      <c r="B149" s="12"/>
      <c r="C149" s="90"/>
      <c r="D149" s="90"/>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5.75" customHeight="1">
      <c r="A150" s="12"/>
      <c r="B150" s="12"/>
      <c r="C150" s="90"/>
      <c r="D150" s="90"/>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5.75" customHeight="1">
      <c r="A151" s="12"/>
      <c r="B151" s="12"/>
      <c r="C151" s="90"/>
      <c r="D151" s="90"/>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5.75" customHeight="1">
      <c r="A152" s="12"/>
      <c r="B152" s="12"/>
      <c r="C152" s="90"/>
      <c r="D152" s="90"/>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5.75" customHeight="1">
      <c r="A153" s="12"/>
      <c r="B153" s="12"/>
      <c r="C153" s="90"/>
      <c r="D153" s="90"/>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5.75" customHeight="1">
      <c r="A154" s="12"/>
      <c r="B154" s="12"/>
      <c r="C154" s="90"/>
      <c r="D154" s="90"/>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5.75" customHeight="1">
      <c r="A155" s="12"/>
      <c r="B155" s="12"/>
      <c r="C155" s="90"/>
      <c r="D155" s="90"/>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5.75" customHeight="1">
      <c r="A156" s="12"/>
      <c r="B156" s="12"/>
      <c r="C156" s="90"/>
      <c r="D156" s="90"/>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5.75" customHeight="1">
      <c r="A157" s="12"/>
      <c r="B157" s="12"/>
      <c r="C157" s="90"/>
      <c r="D157" s="90"/>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5.75" customHeight="1">
      <c r="A158" s="12"/>
      <c r="B158" s="12"/>
      <c r="C158" s="90"/>
      <c r="D158" s="90"/>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5.75" customHeight="1">
      <c r="A159" s="12"/>
      <c r="B159" s="12"/>
      <c r="C159" s="90"/>
      <c r="D159" s="90"/>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5.75" customHeight="1">
      <c r="A160" s="12"/>
      <c r="B160" s="12"/>
      <c r="C160" s="90"/>
      <c r="D160" s="90"/>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5.75" customHeight="1">
      <c r="A161" s="12"/>
      <c r="B161" s="12"/>
      <c r="C161" s="90"/>
      <c r="D161" s="90"/>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5.75" customHeight="1">
      <c r="A162" s="12"/>
      <c r="B162" s="12"/>
      <c r="C162" s="90"/>
      <c r="D162" s="90"/>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5.75" customHeight="1">
      <c r="A163" s="12"/>
      <c r="B163" s="12"/>
      <c r="C163" s="90"/>
      <c r="D163" s="90"/>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5.75" customHeight="1">
      <c r="A164" s="12"/>
      <c r="B164" s="12"/>
      <c r="C164" s="90"/>
      <c r="D164" s="90"/>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5.75" customHeight="1">
      <c r="A165" s="12"/>
      <c r="B165" s="12"/>
      <c r="C165" s="90"/>
      <c r="D165" s="90"/>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5.75" customHeight="1">
      <c r="A166" s="12"/>
      <c r="B166" s="12"/>
      <c r="C166" s="90"/>
      <c r="D166" s="90"/>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5.75" customHeight="1">
      <c r="A167" s="12"/>
      <c r="B167" s="12"/>
      <c r="C167" s="90"/>
      <c r="D167" s="90"/>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5.75" customHeight="1">
      <c r="A168" s="12"/>
      <c r="B168" s="12"/>
      <c r="C168" s="90"/>
      <c r="D168" s="90"/>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5.75" customHeight="1">
      <c r="A169" s="12"/>
      <c r="B169" s="12"/>
      <c r="C169" s="90"/>
      <c r="D169" s="90"/>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5.75" customHeight="1">
      <c r="A170" s="12"/>
      <c r="B170" s="12"/>
      <c r="C170" s="90"/>
      <c r="D170" s="90"/>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5.75" customHeight="1">
      <c r="A171" s="12"/>
      <c r="B171" s="12"/>
      <c r="C171" s="90"/>
      <c r="D171" s="90"/>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5.75" customHeight="1">
      <c r="A172" s="12"/>
      <c r="B172" s="12"/>
      <c r="C172" s="90"/>
      <c r="D172" s="90"/>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5.75" customHeight="1">
      <c r="A173" s="12"/>
      <c r="B173" s="12"/>
      <c r="C173" s="90"/>
      <c r="D173" s="90"/>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5.75" customHeight="1">
      <c r="A174" s="12"/>
      <c r="B174" s="12"/>
      <c r="C174" s="90"/>
      <c r="D174" s="90"/>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5.75" customHeight="1">
      <c r="A175" s="12"/>
      <c r="B175" s="12"/>
      <c r="C175" s="90"/>
      <c r="D175" s="90"/>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5.75" customHeight="1">
      <c r="A176" s="12"/>
      <c r="B176" s="12"/>
      <c r="C176" s="90"/>
      <c r="D176" s="90"/>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5.75" customHeight="1">
      <c r="A177" s="12"/>
      <c r="B177" s="12"/>
      <c r="C177" s="90"/>
      <c r="D177" s="90"/>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5.75" customHeight="1">
      <c r="A178" s="12"/>
      <c r="B178" s="12"/>
      <c r="C178" s="90"/>
      <c r="D178" s="90"/>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5.75" customHeight="1">
      <c r="A179" s="12"/>
      <c r="B179" s="12"/>
      <c r="C179" s="90"/>
      <c r="D179" s="90"/>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5.75" customHeight="1">
      <c r="A180" s="12"/>
      <c r="B180" s="12"/>
      <c r="C180" s="90"/>
      <c r="D180" s="90"/>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5.75" customHeight="1">
      <c r="A181" s="12"/>
      <c r="B181" s="12"/>
      <c r="C181" s="90"/>
      <c r="D181" s="90"/>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5.75" customHeight="1">
      <c r="A182" s="12"/>
      <c r="B182" s="12"/>
      <c r="C182" s="90"/>
      <c r="D182" s="90"/>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5.75" customHeight="1">
      <c r="A183" s="12"/>
      <c r="B183" s="12"/>
      <c r="C183" s="90"/>
      <c r="D183" s="90"/>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5.75" customHeight="1">
      <c r="A184" s="12"/>
      <c r="B184" s="12"/>
      <c r="C184" s="90"/>
      <c r="D184" s="90"/>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5.75" customHeight="1">
      <c r="A185" s="12"/>
      <c r="B185" s="12"/>
      <c r="C185" s="90"/>
      <c r="D185" s="90"/>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5.75" customHeight="1">
      <c r="A186" s="12"/>
      <c r="B186" s="12"/>
      <c r="C186" s="90"/>
      <c r="D186" s="90"/>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5.75" customHeight="1">
      <c r="A187" s="12"/>
      <c r="B187" s="12"/>
      <c r="C187" s="90"/>
      <c r="D187" s="90"/>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5.75" customHeight="1">
      <c r="A188" s="12"/>
      <c r="B188" s="12"/>
      <c r="C188" s="90"/>
      <c r="D188" s="90"/>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5.75" customHeight="1">
      <c r="A189" s="12"/>
      <c r="B189" s="12"/>
      <c r="C189" s="90"/>
      <c r="D189" s="90"/>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5.75" customHeight="1">
      <c r="A190" s="12"/>
      <c r="B190" s="12"/>
      <c r="C190" s="90"/>
      <c r="D190" s="90"/>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5.75" customHeight="1">
      <c r="A191" s="12"/>
      <c r="B191" s="12"/>
      <c r="C191" s="90"/>
      <c r="D191" s="90"/>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5.75" customHeight="1">
      <c r="A192" s="12"/>
      <c r="B192" s="12"/>
      <c r="C192" s="90"/>
      <c r="D192" s="90"/>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5.75" customHeight="1">
      <c r="A193" s="12"/>
      <c r="B193" s="12"/>
      <c r="C193" s="90"/>
      <c r="D193" s="90"/>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5.75" customHeight="1">
      <c r="A194" s="12"/>
      <c r="B194" s="12"/>
      <c r="C194" s="90"/>
      <c r="D194" s="90"/>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5.75" customHeight="1">
      <c r="A195" s="12"/>
      <c r="B195" s="12"/>
      <c r="C195" s="90"/>
      <c r="D195" s="90"/>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5.75" customHeight="1">
      <c r="A196" s="12"/>
      <c r="B196" s="12"/>
      <c r="C196" s="90"/>
      <c r="D196" s="90"/>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5.75" customHeight="1">
      <c r="A197" s="12"/>
      <c r="B197" s="12"/>
      <c r="C197" s="90"/>
      <c r="D197" s="90"/>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5.75" customHeight="1">
      <c r="A198" s="12"/>
      <c r="B198" s="12"/>
      <c r="C198" s="90"/>
      <c r="D198" s="90"/>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5.75" customHeight="1">
      <c r="A199" s="12"/>
      <c r="B199" s="12"/>
      <c r="C199" s="90"/>
      <c r="D199" s="90"/>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5.75" customHeight="1">
      <c r="A200" s="12"/>
      <c r="B200" s="12"/>
      <c r="C200" s="90"/>
      <c r="D200" s="90"/>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5.75" customHeight="1">
      <c r="A201" s="12"/>
      <c r="B201" s="12"/>
      <c r="C201" s="90"/>
      <c r="D201" s="90"/>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5.75" customHeight="1">
      <c r="A202" s="12"/>
      <c r="B202" s="12"/>
      <c r="C202" s="90"/>
      <c r="D202" s="90"/>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5.75" customHeight="1">
      <c r="A203" s="12"/>
      <c r="B203" s="12"/>
      <c r="C203" s="90"/>
      <c r="D203" s="90"/>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5.75" customHeight="1">
      <c r="A204" s="12"/>
      <c r="B204" s="12"/>
      <c r="C204" s="90"/>
      <c r="D204" s="90"/>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5.75" customHeight="1">
      <c r="A205" s="12"/>
      <c r="B205" s="12"/>
      <c r="C205" s="90"/>
      <c r="D205" s="90"/>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5.75" customHeight="1">
      <c r="A206" s="12"/>
      <c r="B206" s="12"/>
      <c r="C206" s="90"/>
      <c r="D206" s="90"/>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5.75" customHeight="1">
      <c r="A207" s="12"/>
      <c r="B207" s="12"/>
      <c r="C207" s="90"/>
      <c r="D207" s="90"/>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5.75" customHeight="1">
      <c r="A208" s="12"/>
      <c r="B208" s="12"/>
      <c r="C208" s="90"/>
      <c r="D208" s="90"/>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5.75" customHeight="1">
      <c r="A209" s="12"/>
      <c r="B209" s="12"/>
      <c r="C209" s="90"/>
      <c r="D209" s="90"/>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5.75" customHeight="1">
      <c r="A210" s="12"/>
      <c r="B210" s="12"/>
      <c r="C210" s="90"/>
      <c r="D210" s="90"/>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5.75" customHeight="1">
      <c r="A211" s="12"/>
      <c r="B211" s="12"/>
      <c r="C211" s="90"/>
      <c r="D211" s="90"/>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5.75" customHeight="1">
      <c r="A212" s="12"/>
      <c r="B212" s="12"/>
      <c r="C212" s="90"/>
      <c r="D212" s="90"/>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5.75" customHeight="1">
      <c r="A213" s="12"/>
      <c r="B213" s="12"/>
      <c r="C213" s="90"/>
      <c r="D213" s="90"/>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5.75" customHeight="1">
      <c r="A214" s="12"/>
      <c r="B214" s="12"/>
      <c r="C214" s="90"/>
      <c r="D214" s="90"/>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5.75" customHeight="1">
      <c r="A215" s="12"/>
      <c r="B215" s="12"/>
      <c r="C215" s="90"/>
      <c r="D215" s="90"/>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5.75" customHeight="1">
      <c r="A216" s="12"/>
      <c r="B216" s="12"/>
      <c r="C216" s="90"/>
      <c r="D216" s="90"/>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5.75" customHeight="1">
      <c r="A217" s="12"/>
      <c r="B217" s="12"/>
      <c r="C217" s="90"/>
      <c r="D217" s="90"/>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5.75" customHeight="1">
      <c r="A218" s="12"/>
      <c r="B218" s="12"/>
      <c r="C218" s="90"/>
      <c r="D218" s="90"/>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5.75" customHeight="1">
      <c r="A219" s="12"/>
      <c r="B219" s="12"/>
      <c r="C219" s="90"/>
      <c r="D219" s="90"/>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5.75" customHeight="1">
      <c r="A220" s="12"/>
      <c r="B220" s="12"/>
      <c r="C220" s="90"/>
      <c r="D220" s="90"/>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5.75" customHeight="1">
      <c r="A221" s="12"/>
      <c r="B221" s="12"/>
      <c r="C221" s="90"/>
      <c r="D221" s="90"/>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5.75" customHeight="1">
      <c r="A222" s="12"/>
      <c r="B222" s="12"/>
      <c r="C222" s="90"/>
      <c r="D222" s="90"/>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5.75" customHeight="1">
      <c r="A223" s="12"/>
      <c r="B223" s="12"/>
      <c r="C223" s="90"/>
      <c r="D223" s="90"/>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5.75" customHeight="1">
      <c r="A224" s="12"/>
      <c r="B224" s="12"/>
      <c r="C224" s="90"/>
      <c r="D224" s="90"/>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5.75" customHeight="1">
      <c r="A225" s="12"/>
      <c r="B225" s="12"/>
      <c r="C225" s="90"/>
      <c r="D225" s="90"/>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5.75" customHeight="1">
      <c r="A226" s="12"/>
      <c r="B226" s="12"/>
      <c r="C226" s="90"/>
      <c r="D226" s="90"/>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5.75" customHeight="1">
      <c r="A227" s="12"/>
      <c r="B227" s="12"/>
      <c r="C227" s="90"/>
      <c r="D227" s="90"/>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5.75" customHeight="1">
      <c r="A228" s="12"/>
      <c r="B228" s="12"/>
      <c r="C228" s="90"/>
      <c r="D228" s="90"/>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5.75" customHeight="1">
      <c r="A229" s="12"/>
      <c r="B229" s="12"/>
      <c r="C229" s="90"/>
      <c r="D229" s="90"/>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5.75" customHeight="1">
      <c r="A230" s="12"/>
      <c r="B230" s="12"/>
      <c r="C230" s="90"/>
      <c r="D230" s="90"/>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5.75" customHeight="1">
      <c r="A231" s="12"/>
      <c r="B231" s="12"/>
      <c r="C231" s="90"/>
      <c r="D231" s="90"/>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5.75" customHeight="1">
      <c r="C232" s="99"/>
    </row>
    <row r="233" ht="15.75" customHeight="1">
      <c r="C233" s="99"/>
    </row>
    <row r="234" ht="15.75" customHeight="1">
      <c r="C234" s="99"/>
    </row>
    <row r="235" ht="15.75" customHeight="1">
      <c r="C235" s="99"/>
    </row>
    <row r="236" ht="15.75" customHeight="1">
      <c r="C236" s="99"/>
    </row>
    <row r="237" ht="15.75" customHeight="1">
      <c r="C237" s="99"/>
    </row>
    <row r="238" ht="15.75" customHeight="1">
      <c r="C238" s="99"/>
    </row>
    <row r="239" ht="15.75" customHeight="1">
      <c r="C239" s="99"/>
    </row>
    <row r="240" ht="15.75" customHeight="1">
      <c r="C240" s="99"/>
    </row>
    <row r="241" ht="15.75" customHeight="1">
      <c r="C241" s="99"/>
    </row>
    <row r="242" ht="15.75" customHeight="1">
      <c r="C242" s="99"/>
    </row>
    <row r="243" ht="15.75" customHeight="1">
      <c r="C243" s="99"/>
    </row>
    <row r="244" ht="15.75" customHeight="1">
      <c r="C244" s="99"/>
    </row>
    <row r="245" ht="15.75" customHeight="1">
      <c r="C245" s="99"/>
    </row>
    <row r="246" ht="15.75" customHeight="1">
      <c r="C246" s="99"/>
    </row>
    <row r="247" ht="15.75" customHeight="1">
      <c r="C247" s="99"/>
    </row>
    <row r="248" ht="15.75" customHeight="1">
      <c r="C248" s="99"/>
    </row>
    <row r="249" ht="15.75" customHeight="1">
      <c r="C249" s="99"/>
    </row>
    <row r="250" ht="15.75" customHeight="1">
      <c r="C250" s="99"/>
    </row>
    <row r="251" ht="15.75" customHeight="1">
      <c r="C251" s="99"/>
    </row>
    <row r="252" ht="15.75" customHeight="1">
      <c r="C252" s="99"/>
    </row>
    <row r="253" ht="15.75" customHeight="1">
      <c r="C253" s="99"/>
    </row>
    <row r="254" ht="15.75" customHeight="1">
      <c r="C254" s="99"/>
    </row>
    <row r="255" ht="15.75" customHeight="1">
      <c r="C255" s="99"/>
    </row>
    <row r="256" ht="15.75" customHeight="1">
      <c r="C256" s="99"/>
    </row>
    <row r="257" ht="15.75" customHeight="1">
      <c r="C257" s="99"/>
    </row>
    <row r="258" ht="15.75" customHeight="1">
      <c r="C258" s="99"/>
    </row>
    <row r="259" ht="15.75" customHeight="1">
      <c r="C259" s="99"/>
    </row>
    <row r="260" ht="15.75" customHeight="1">
      <c r="C260" s="99"/>
    </row>
    <row r="261" ht="15.75" customHeight="1">
      <c r="C261" s="99"/>
    </row>
    <row r="262" ht="15.75" customHeight="1">
      <c r="C262" s="99"/>
    </row>
    <row r="263" ht="15.75" customHeight="1">
      <c r="C263" s="99"/>
    </row>
    <row r="264" ht="15.75" customHeight="1">
      <c r="C264" s="99"/>
    </row>
    <row r="265" ht="15.75" customHeight="1">
      <c r="C265" s="99"/>
    </row>
    <row r="266" ht="15.75" customHeight="1">
      <c r="C266" s="99"/>
    </row>
    <row r="267" ht="15.75" customHeight="1">
      <c r="C267" s="99"/>
    </row>
    <row r="268" ht="15.75" customHeight="1">
      <c r="C268" s="99"/>
    </row>
    <row r="269" ht="15.75" customHeight="1">
      <c r="C269" s="99"/>
    </row>
    <row r="270" ht="15.75" customHeight="1">
      <c r="C270" s="99"/>
    </row>
    <row r="271" ht="15.75" customHeight="1">
      <c r="C271" s="99"/>
    </row>
    <row r="272" ht="15.75" customHeight="1">
      <c r="C272" s="99"/>
    </row>
    <row r="273" ht="15.75" customHeight="1">
      <c r="C273" s="99"/>
    </row>
    <row r="274" ht="15.75" customHeight="1">
      <c r="C274" s="99"/>
    </row>
    <row r="275" ht="15.75" customHeight="1">
      <c r="C275" s="99"/>
    </row>
    <row r="276" ht="15.75" customHeight="1">
      <c r="C276" s="99"/>
    </row>
    <row r="277" ht="15.75" customHeight="1">
      <c r="C277" s="99"/>
    </row>
    <row r="278" ht="15.75" customHeight="1">
      <c r="C278" s="99"/>
    </row>
    <row r="279" ht="15.75" customHeight="1">
      <c r="C279" s="99"/>
    </row>
    <row r="280" ht="15.75" customHeight="1">
      <c r="C280" s="99"/>
    </row>
    <row r="281" ht="15.75" customHeight="1">
      <c r="C281" s="99"/>
    </row>
    <row r="282" ht="15.75" customHeight="1">
      <c r="C282" s="99"/>
    </row>
    <row r="283" ht="15.75" customHeight="1">
      <c r="C283" s="99"/>
    </row>
    <row r="284" ht="15.75" customHeight="1">
      <c r="C284" s="99"/>
    </row>
    <row r="285" ht="15.75" customHeight="1">
      <c r="C285" s="99"/>
    </row>
    <row r="286" ht="15.75" customHeight="1">
      <c r="C286" s="99"/>
    </row>
    <row r="287" ht="15.75" customHeight="1">
      <c r="C287" s="99"/>
    </row>
    <row r="288" ht="15.75" customHeight="1">
      <c r="C288" s="99"/>
    </row>
    <row r="289" ht="15.75" customHeight="1">
      <c r="C289" s="99"/>
    </row>
    <row r="290" ht="15.75" customHeight="1">
      <c r="C290" s="99"/>
    </row>
    <row r="291" ht="15.75" customHeight="1">
      <c r="C291" s="99"/>
    </row>
    <row r="292" ht="15.75" customHeight="1">
      <c r="C292" s="99"/>
    </row>
    <row r="293" ht="15.75" customHeight="1">
      <c r="C293" s="99"/>
    </row>
    <row r="294" ht="15.75" customHeight="1">
      <c r="C294" s="99"/>
    </row>
    <row r="295" ht="15.75" customHeight="1">
      <c r="C295" s="99"/>
    </row>
    <row r="296" ht="15.75" customHeight="1">
      <c r="C296" s="99"/>
    </row>
    <row r="297" ht="15.75" customHeight="1">
      <c r="C297" s="99"/>
    </row>
    <row r="298" ht="15.75" customHeight="1">
      <c r="C298" s="99"/>
    </row>
    <row r="299" ht="15.75" customHeight="1">
      <c r="C299" s="99"/>
    </row>
    <row r="300" ht="15.75" customHeight="1">
      <c r="C300" s="99"/>
    </row>
    <row r="301" ht="15.75" customHeight="1">
      <c r="C301" s="99"/>
    </row>
    <row r="302" ht="15.75" customHeight="1">
      <c r="C302" s="99"/>
    </row>
    <row r="303" ht="15.75" customHeight="1">
      <c r="C303" s="99"/>
    </row>
    <row r="304" ht="15.75" customHeight="1">
      <c r="C304" s="99"/>
    </row>
    <row r="305" ht="15.75" customHeight="1">
      <c r="C305" s="99"/>
    </row>
    <row r="306" ht="15.75" customHeight="1">
      <c r="C306" s="99"/>
    </row>
    <row r="307" ht="15.75" customHeight="1">
      <c r="C307" s="99"/>
    </row>
    <row r="308" ht="15.75" customHeight="1">
      <c r="C308" s="99"/>
    </row>
    <row r="309" ht="15.75" customHeight="1">
      <c r="C309" s="99"/>
    </row>
    <row r="310" ht="15.75" customHeight="1">
      <c r="C310" s="99"/>
    </row>
    <row r="311" ht="15.75" customHeight="1">
      <c r="C311" s="99"/>
    </row>
    <row r="312" ht="15.75" customHeight="1">
      <c r="C312" s="99"/>
    </row>
    <row r="313" ht="15.75" customHeight="1">
      <c r="C313" s="99"/>
    </row>
    <row r="314" ht="15.75" customHeight="1">
      <c r="C314" s="99"/>
    </row>
    <row r="315" ht="15.75" customHeight="1">
      <c r="C315" s="99"/>
    </row>
    <row r="316" ht="15.75" customHeight="1">
      <c r="C316" s="99"/>
    </row>
    <row r="317" ht="15.75" customHeight="1">
      <c r="C317" s="99"/>
    </row>
    <row r="318" ht="15.75" customHeight="1">
      <c r="C318" s="99"/>
    </row>
    <row r="319" ht="15.75" customHeight="1">
      <c r="C319" s="99"/>
    </row>
    <row r="320" ht="15.75" customHeight="1">
      <c r="C320" s="99"/>
    </row>
    <row r="321" ht="15.75" customHeight="1">
      <c r="C321" s="99"/>
    </row>
    <row r="322" ht="15.75" customHeight="1">
      <c r="C322" s="99"/>
    </row>
    <row r="323" ht="15.75" customHeight="1">
      <c r="C323" s="99"/>
    </row>
    <row r="324" ht="15.75" customHeight="1">
      <c r="C324" s="99"/>
    </row>
    <row r="325" ht="15.75" customHeight="1">
      <c r="C325" s="99"/>
    </row>
    <row r="326" ht="15.75" customHeight="1">
      <c r="C326" s="99"/>
    </row>
    <row r="327" ht="15.75" customHeight="1">
      <c r="C327" s="99"/>
    </row>
    <row r="328" ht="15.75" customHeight="1">
      <c r="C328" s="99"/>
    </row>
    <row r="329" ht="15.75" customHeight="1">
      <c r="C329" s="99"/>
    </row>
    <row r="330" ht="15.75" customHeight="1">
      <c r="C330" s="99"/>
    </row>
    <row r="331" ht="15.75" customHeight="1">
      <c r="C331" s="99"/>
    </row>
    <row r="332" ht="15.75" customHeight="1">
      <c r="C332" s="99"/>
    </row>
    <row r="333" ht="15.75" customHeight="1">
      <c r="C333" s="99"/>
    </row>
    <row r="334" ht="15.75" customHeight="1">
      <c r="C334" s="99"/>
    </row>
    <row r="335" ht="15.75" customHeight="1">
      <c r="C335" s="99"/>
    </row>
    <row r="336" ht="15.75" customHeight="1">
      <c r="C336" s="99"/>
    </row>
    <row r="337" ht="15.75" customHeight="1">
      <c r="C337" s="99"/>
    </row>
    <row r="338" ht="15.75" customHeight="1">
      <c r="C338" s="99"/>
    </row>
    <row r="339" ht="15.75" customHeight="1">
      <c r="C339" s="99"/>
    </row>
    <row r="340" ht="15.75" customHeight="1">
      <c r="C340" s="99"/>
    </row>
    <row r="341" ht="15.75" customHeight="1">
      <c r="C341" s="99"/>
    </row>
    <row r="342" ht="15.75" customHeight="1">
      <c r="C342" s="99"/>
    </row>
    <row r="343" ht="15.75" customHeight="1">
      <c r="C343" s="99"/>
    </row>
    <row r="344" ht="15.75" customHeight="1">
      <c r="C344" s="99"/>
    </row>
    <row r="345" ht="15.75" customHeight="1">
      <c r="C345" s="99"/>
    </row>
    <row r="346" ht="15.75" customHeight="1">
      <c r="C346" s="99"/>
    </row>
    <row r="347" ht="15.75" customHeight="1">
      <c r="C347" s="99"/>
    </row>
    <row r="348" ht="15.75" customHeight="1">
      <c r="C348" s="99"/>
    </row>
    <row r="349" ht="15.75" customHeight="1">
      <c r="C349" s="99"/>
    </row>
    <row r="350" ht="15.75" customHeight="1">
      <c r="C350" s="99"/>
    </row>
    <row r="351" ht="15.75" customHeight="1">
      <c r="C351" s="99"/>
    </row>
    <row r="352" ht="15.75" customHeight="1">
      <c r="C352" s="99"/>
    </row>
    <row r="353" ht="15.75" customHeight="1">
      <c r="C353" s="99"/>
    </row>
    <row r="354" ht="15.75" customHeight="1">
      <c r="C354" s="99"/>
    </row>
    <row r="355" ht="15.75" customHeight="1">
      <c r="C355" s="99"/>
    </row>
    <row r="356" ht="15.75" customHeight="1">
      <c r="C356" s="99"/>
    </row>
    <row r="357" ht="15.75" customHeight="1">
      <c r="C357" s="99"/>
    </row>
    <row r="358" ht="15.75" customHeight="1">
      <c r="C358" s="99"/>
    </row>
    <row r="359" ht="15.75" customHeight="1">
      <c r="C359" s="99"/>
    </row>
    <row r="360" ht="15.75" customHeight="1">
      <c r="C360" s="99"/>
    </row>
    <row r="361" ht="15.75" customHeight="1">
      <c r="C361" s="99"/>
    </row>
    <row r="362" ht="15.75" customHeight="1">
      <c r="C362" s="99"/>
    </row>
    <row r="363" ht="15.75" customHeight="1">
      <c r="C363" s="99"/>
    </row>
    <row r="364" ht="15.75" customHeight="1">
      <c r="C364" s="99"/>
    </row>
    <row r="365" ht="15.75" customHeight="1">
      <c r="C365" s="99"/>
    </row>
    <row r="366" ht="15.75" customHeight="1">
      <c r="C366" s="99"/>
    </row>
    <row r="367" ht="15.75" customHeight="1">
      <c r="C367" s="99"/>
    </row>
    <row r="368" ht="15.75" customHeight="1">
      <c r="C368" s="99"/>
    </row>
    <row r="369" ht="15.75" customHeight="1">
      <c r="C369" s="99"/>
    </row>
    <row r="370" ht="15.75" customHeight="1">
      <c r="C370" s="99"/>
    </row>
    <row r="371" ht="15.75" customHeight="1">
      <c r="C371" s="99"/>
    </row>
    <row r="372" ht="15.75" customHeight="1">
      <c r="C372" s="99"/>
    </row>
    <row r="373" ht="15.75" customHeight="1">
      <c r="C373" s="99"/>
    </row>
    <row r="374" ht="15.75" customHeight="1">
      <c r="C374" s="99"/>
    </row>
    <row r="375" ht="15.75" customHeight="1">
      <c r="C375" s="99"/>
    </row>
    <row r="376" ht="15.75" customHeight="1">
      <c r="C376" s="99"/>
    </row>
    <row r="377" ht="15.75" customHeight="1">
      <c r="C377" s="99"/>
    </row>
    <row r="378" ht="15.75" customHeight="1">
      <c r="C378" s="99"/>
    </row>
    <row r="379" ht="15.75" customHeight="1">
      <c r="C379" s="99"/>
    </row>
    <row r="380" ht="15.75" customHeight="1">
      <c r="C380" s="99"/>
    </row>
    <row r="381" ht="15.75" customHeight="1">
      <c r="C381" s="99"/>
    </row>
    <row r="382" ht="15.75" customHeight="1">
      <c r="C382" s="99"/>
    </row>
    <row r="383" ht="15.75" customHeight="1">
      <c r="C383" s="99"/>
    </row>
    <row r="384" ht="15.75" customHeight="1">
      <c r="C384" s="99"/>
    </row>
    <row r="385" ht="15.75" customHeight="1">
      <c r="C385" s="99"/>
    </row>
    <row r="386" ht="15.75" customHeight="1">
      <c r="C386" s="99"/>
    </row>
    <row r="387" ht="15.75" customHeight="1">
      <c r="C387" s="99"/>
    </row>
    <row r="388" ht="15.75" customHeight="1">
      <c r="C388" s="99"/>
    </row>
    <row r="389" ht="15.75" customHeight="1">
      <c r="C389" s="99"/>
    </row>
    <row r="390" ht="15.75" customHeight="1">
      <c r="C390" s="99"/>
    </row>
    <row r="391" ht="15.75" customHeight="1">
      <c r="C391" s="99"/>
    </row>
    <row r="392" ht="15.75" customHeight="1">
      <c r="C392" s="99"/>
    </row>
    <row r="393" ht="15.75" customHeight="1">
      <c r="C393" s="99"/>
    </row>
    <row r="394" ht="15.75" customHeight="1">
      <c r="C394" s="99"/>
    </row>
    <row r="395" ht="15.75" customHeight="1">
      <c r="C395" s="99"/>
    </row>
    <row r="396" ht="15.75" customHeight="1">
      <c r="C396" s="99"/>
    </row>
    <row r="397" ht="15.75" customHeight="1">
      <c r="C397" s="99"/>
    </row>
    <row r="398" ht="15.75" customHeight="1">
      <c r="C398" s="99"/>
    </row>
    <row r="399" ht="15.75" customHeight="1">
      <c r="C399" s="99"/>
    </row>
    <row r="400" ht="15.75" customHeight="1">
      <c r="C400" s="99"/>
    </row>
    <row r="401" ht="15.75" customHeight="1">
      <c r="C401" s="99"/>
    </row>
    <row r="402" ht="15.75" customHeight="1">
      <c r="C402" s="99"/>
    </row>
    <row r="403" ht="15.75" customHeight="1">
      <c r="C403" s="99"/>
    </row>
    <row r="404" ht="15.75" customHeight="1">
      <c r="C404" s="99"/>
    </row>
    <row r="405" ht="15.75" customHeight="1">
      <c r="C405" s="99"/>
    </row>
    <row r="406" ht="15.75" customHeight="1">
      <c r="C406" s="99"/>
    </row>
    <row r="407" ht="15.75" customHeight="1">
      <c r="C407" s="99"/>
    </row>
    <row r="408" ht="15.75" customHeight="1">
      <c r="C408" s="99"/>
    </row>
    <row r="409" ht="15.75" customHeight="1">
      <c r="C409" s="99"/>
    </row>
    <row r="410" ht="15.75" customHeight="1">
      <c r="C410" s="99"/>
    </row>
    <row r="411" ht="15.75" customHeight="1">
      <c r="C411" s="99"/>
    </row>
    <row r="412" ht="15.75" customHeight="1">
      <c r="C412" s="99"/>
    </row>
    <row r="413" ht="15.75" customHeight="1">
      <c r="C413" s="99"/>
    </row>
    <row r="414" ht="15.75" customHeight="1">
      <c r="C414" s="99"/>
    </row>
    <row r="415" ht="15.75" customHeight="1">
      <c r="C415" s="99"/>
    </row>
    <row r="416" ht="15.75" customHeight="1">
      <c r="C416" s="99"/>
    </row>
    <row r="417" ht="15.75" customHeight="1">
      <c r="C417" s="99"/>
    </row>
    <row r="418" ht="15.75" customHeight="1">
      <c r="C418" s="99"/>
    </row>
    <row r="419" ht="15.75" customHeight="1">
      <c r="C419" s="99"/>
    </row>
    <row r="420" ht="15.75" customHeight="1">
      <c r="C420" s="99"/>
    </row>
    <row r="421" ht="15.75" customHeight="1">
      <c r="C421" s="99"/>
    </row>
    <row r="422" ht="15.75" customHeight="1">
      <c r="C422" s="99"/>
    </row>
    <row r="423" ht="15.75" customHeight="1">
      <c r="C423" s="99"/>
    </row>
    <row r="424" ht="15.75" customHeight="1">
      <c r="C424" s="99"/>
    </row>
    <row r="425" ht="15.75" customHeight="1">
      <c r="C425" s="99"/>
    </row>
    <row r="426" ht="15.75" customHeight="1">
      <c r="C426" s="99"/>
    </row>
    <row r="427" ht="15.75" customHeight="1">
      <c r="C427" s="99"/>
    </row>
    <row r="428" ht="15.75" customHeight="1">
      <c r="C428" s="99"/>
    </row>
    <row r="429" ht="15.75" customHeight="1">
      <c r="C429" s="99"/>
    </row>
    <row r="430" ht="15.75" customHeight="1">
      <c r="C430" s="99"/>
    </row>
    <row r="431" ht="15.75" customHeight="1">
      <c r="C431" s="99"/>
    </row>
    <row r="432" ht="15.75" customHeight="1">
      <c r="C432" s="99"/>
    </row>
    <row r="433" ht="15.75" customHeight="1">
      <c r="C433" s="99"/>
    </row>
    <row r="434" ht="15.75" customHeight="1">
      <c r="C434" s="99"/>
    </row>
    <row r="435" ht="15.75" customHeight="1">
      <c r="C435" s="99"/>
    </row>
    <row r="436" ht="15.75" customHeight="1">
      <c r="C436" s="99"/>
    </row>
    <row r="437" ht="15.75" customHeight="1">
      <c r="C437" s="99"/>
    </row>
    <row r="438" ht="15.75" customHeight="1">
      <c r="C438" s="99"/>
    </row>
    <row r="439" ht="15.75" customHeight="1">
      <c r="C439" s="99"/>
    </row>
    <row r="440" ht="15.75" customHeight="1">
      <c r="C440" s="99"/>
    </row>
    <row r="441" ht="15.75" customHeight="1">
      <c r="C441" s="99"/>
    </row>
    <row r="442" ht="15.75" customHeight="1">
      <c r="C442" s="99"/>
    </row>
    <row r="443" ht="15.75" customHeight="1">
      <c r="C443" s="99"/>
    </row>
    <row r="444" ht="15.75" customHeight="1">
      <c r="C444" s="99"/>
    </row>
    <row r="445" ht="15.75" customHeight="1">
      <c r="C445" s="99"/>
    </row>
    <row r="446" ht="15.75" customHeight="1">
      <c r="C446" s="99"/>
    </row>
    <row r="447" ht="15.75" customHeight="1">
      <c r="C447" s="99"/>
    </row>
    <row r="448" ht="15.75" customHeight="1">
      <c r="C448" s="99"/>
    </row>
    <row r="449" ht="15.75" customHeight="1">
      <c r="C449" s="99"/>
    </row>
    <row r="450" ht="15.75" customHeight="1">
      <c r="C450" s="99"/>
    </row>
    <row r="451" ht="15.75" customHeight="1">
      <c r="C451" s="99"/>
    </row>
    <row r="452" ht="15.75" customHeight="1">
      <c r="C452" s="99"/>
    </row>
    <row r="453" ht="15.75" customHeight="1">
      <c r="C453" s="99"/>
    </row>
    <row r="454" ht="15.75" customHeight="1">
      <c r="C454" s="99"/>
    </row>
    <row r="455" ht="15.75" customHeight="1">
      <c r="C455" s="99"/>
    </row>
    <row r="456" ht="15.75" customHeight="1">
      <c r="C456" s="99"/>
    </row>
    <row r="457" ht="15.75" customHeight="1">
      <c r="C457" s="99"/>
    </row>
    <row r="458" ht="15.75" customHeight="1">
      <c r="C458" s="99"/>
    </row>
    <row r="459" ht="15.75" customHeight="1">
      <c r="C459" s="99"/>
    </row>
    <row r="460" ht="15.75" customHeight="1">
      <c r="C460" s="99"/>
    </row>
    <row r="461" ht="15.75" customHeight="1">
      <c r="C461" s="99"/>
    </row>
    <row r="462" ht="15.75" customHeight="1">
      <c r="C462" s="99"/>
    </row>
    <row r="463" ht="15.75" customHeight="1">
      <c r="C463" s="99"/>
    </row>
    <row r="464" ht="15.75" customHeight="1">
      <c r="C464" s="99"/>
    </row>
    <row r="465" ht="15.75" customHeight="1">
      <c r="C465" s="99"/>
    </row>
    <row r="466" ht="15.75" customHeight="1">
      <c r="C466" s="99"/>
    </row>
    <row r="467" ht="15.75" customHeight="1">
      <c r="C467" s="99"/>
    </row>
    <row r="468" ht="15.75" customHeight="1">
      <c r="C468" s="99"/>
    </row>
    <row r="469" ht="15.75" customHeight="1">
      <c r="C469" s="99"/>
    </row>
    <row r="470" ht="15.75" customHeight="1">
      <c r="C470" s="99"/>
    </row>
    <row r="471" ht="15.75" customHeight="1">
      <c r="C471" s="99"/>
    </row>
    <row r="472" ht="15.75" customHeight="1">
      <c r="C472" s="99"/>
    </row>
    <row r="473" ht="15.75" customHeight="1">
      <c r="C473" s="99"/>
    </row>
    <row r="474" ht="15.75" customHeight="1">
      <c r="C474" s="99"/>
    </row>
    <row r="475" ht="15.75" customHeight="1">
      <c r="C475" s="99"/>
    </row>
    <row r="476" ht="15.75" customHeight="1">
      <c r="C476" s="99"/>
    </row>
    <row r="477" ht="15.75" customHeight="1">
      <c r="C477" s="99"/>
    </row>
    <row r="478" ht="15.75" customHeight="1">
      <c r="C478" s="99"/>
    </row>
    <row r="479" ht="15.75" customHeight="1">
      <c r="C479" s="99"/>
    </row>
    <row r="480" ht="15.75" customHeight="1">
      <c r="C480" s="99"/>
    </row>
    <row r="481" ht="15.75" customHeight="1">
      <c r="C481" s="99"/>
    </row>
    <row r="482" ht="15.75" customHeight="1">
      <c r="C482" s="99"/>
    </row>
    <row r="483" ht="15.75" customHeight="1">
      <c r="C483" s="99"/>
    </row>
    <row r="484" ht="15.75" customHeight="1">
      <c r="C484" s="99"/>
    </row>
    <row r="485" ht="15.75" customHeight="1">
      <c r="C485" s="99"/>
    </row>
    <row r="486" ht="15.75" customHeight="1">
      <c r="C486" s="99"/>
    </row>
    <row r="487" ht="15.75" customHeight="1">
      <c r="C487" s="99"/>
    </row>
    <row r="488" ht="15.75" customHeight="1">
      <c r="C488" s="99"/>
    </row>
    <row r="489" ht="15.75" customHeight="1">
      <c r="C489" s="99"/>
    </row>
    <row r="490" ht="15.75" customHeight="1">
      <c r="C490" s="99"/>
    </row>
    <row r="491" ht="15.75" customHeight="1">
      <c r="C491" s="99"/>
    </row>
    <row r="492" ht="15.75" customHeight="1">
      <c r="C492" s="99"/>
    </row>
    <row r="493" ht="15.75" customHeight="1">
      <c r="C493" s="99"/>
    </row>
    <row r="494" ht="15.75" customHeight="1">
      <c r="C494" s="99"/>
    </row>
    <row r="495" ht="15.75" customHeight="1">
      <c r="C495" s="99"/>
    </row>
    <row r="496" ht="15.75" customHeight="1">
      <c r="C496" s="99"/>
    </row>
    <row r="497" ht="15.75" customHeight="1">
      <c r="C497" s="99"/>
    </row>
    <row r="498" ht="15.75" customHeight="1">
      <c r="C498" s="99"/>
    </row>
    <row r="499" ht="15.75" customHeight="1">
      <c r="C499" s="99"/>
    </row>
    <row r="500" ht="15.75" customHeight="1">
      <c r="C500" s="99"/>
    </row>
    <row r="501" ht="15.75" customHeight="1">
      <c r="C501" s="99"/>
    </row>
    <row r="502" ht="15.75" customHeight="1">
      <c r="C502" s="99"/>
    </row>
    <row r="503" ht="15.75" customHeight="1">
      <c r="C503" s="99"/>
    </row>
    <row r="504" ht="15.75" customHeight="1">
      <c r="C504" s="99"/>
    </row>
    <row r="505" ht="15.75" customHeight="1">
      <c r="C505" s="99"/>
    </row>
    <row r="506" ht="15.75" customHeight="1">
      <c r="C506" s="99"/>
    </row>
    <row r="507" ht="15.75" customHeight="1">
      <c r="C507" s="99"/>
    </row>
    <row r="508" ht="15.75" customHeight="1">
      <c r="C508" s="99"/>
    </row>
    <row r="509" ht="15.75" customHeight="1">
      <c r="C509" s="99"/>
    </row>
    <row r="510" ht="15.75" customHeight="1">
      <c r="C510" s="99"/>
    </row>
    <row r="511" ht="15.75" customHeight="1">
      <c r="C511" s="99"/>
    </row>
    <row r="512" ht="15.75" customHeight="1">
      <c r="C512" s="99"/>
    </row>
    <row r="513" ht="15.75" customHeight="1">
      <c r="C513" s="99"/>
    </row>
    <row r="514" ht="15.75" customHeight="1">
      <c r="C514" s="99"/>
    </row>
    <row r="515" ht="15.75" customHeight="1">
      <c r="C515" s="99"/>
    </row>
    <row r="516" ht="15.75" customHeight="1">
      <c r="C516" s="99"/>
    </row>
    <row r="517" ht="15.75" customHeight="1">
      <c r="C517" s="99"/>
    </row>
    <row r="518" ht="15.75" customHeight="1">
      <c r="C518" s="99"/>
    </row>
    <row r="519" ht="15.75" customHeight="1">
      <c r="C519" s="99"/>
    </row>
    <row r="520" ht="15.75" customHeight="1">
      <c r="C520" s="99"/>
    </row>
    <row r="521" ht="15.75" customHeight="1">
      <c r="C521" s="99"/>
    </row>
    <row r="522" ht="15.75" customHeight="1">
      <c r="C522" s="99"/>
    </row>
    <row r="523" ht="15.75" customHeight="1">
      <c r="C523" s="99"/>
    </row>
    <row r="524" ht="15.75" customHeight="1">
      <c r="C524" s="99"/>
    </row>
    <row r="525" ht="15.75" customHeight="1">
      <c r="C525" s="99"/>
    </row>
    <row r="526" ht="15.75" customHeight="1">
      <c r="C526" s="99"/>
    </row>
    <row r="527" ht="15.75" customHeight="1">
      <c r="C527" s="99"/>
    </row>
    <row r="528" ht="15.75" customHeight="1">
      <c r="C528" s="99"/>
    </row>
    <row r="529" ht="15.75" customHeight="1">
      <c r="C529" s="99"/>
    </row>
    <row r="530" ht="15.75" customHeight="1">
      <c r="C530" s="99"/>
    </row>
    <row r="531" ht="15.75" customHeight="1">
      <c r="C531" s="99"/>
    </row>
    <row r="532" ht="15.75" customHeight="1">
      <c r="C532" s="99"/>
    </row>
    <row r="533" ht="15.75" customHeight="1">
      <c r="C533" s="99"/>
    </row>
    <row r="534" ht="15.75" customHeight="1">
      <c r="C534" s="99"/>
    </row>
    <row r="535" ht="15.75" customHeight="1">
      <c r="C535" s="99"/>
    </row>
    <row r="536" ht="15.75" customHeight="1">
      <c r="C536" s="99"/>
    </row>
    <row r="537" ht="15.75" customHeight="1">
      <c r="C537" s="99"/>
    </row>
    <row r="538" ht="15.75" customHeight="1">
      <c r="C538" s="99"/>
    </row>
    <row r="539" ht="15.75" customHeight="1">
      <c r="C539" s="99"/>
    </row>
    <row r="540" ht="15.75" customHeight="1">
      <c r="C540" s="99"/>
    </row>
    <row r="541" ht="15.75" customHeight="1">
      <c r="C541" s="99"/>
    </row>
    <row r="542" ht="15.75" customHeight="1">
      <c r="C542" s="99"/>
    </row>
    <row r="543" ht="15.75" customHeight="1">
      <c r="C543" s="99"/>
    </row>
    <row r="544" ht="15.75" customHeight="1">
      <c r="C544" s="99"/>
    </row>
    <row r="545" ht="15.75" customHeight="1">
      <c r="C545" s="99"/>
    </row>
    <row r="546" ht="15.75" customHeight="1">
      <c r="C546" s="99"/>
    </row>
    <row r="547" ht="15.75" customHeight="1">
      <c r="C547" s="99"/>
    </row>
    <row r="548" ht="15.75" customHeight="1">
      <c r="C548" s="99"/>
    </row>
    <row r="549" ht="15.75" customHeight="1">
      <c r="C549" s="99"/>
    </row>
    <row r="550" ht="15.75" customHeight="1">
      <c r="C550" s="99"/>
    </row>
    <row r="551" ht="15.75" customHeight="1">
      <c r="C551" s="99"/>
    </row>
    <row r="552" ht="15.75" customHeight="1">
      <c r="C552" s="99"/>
    </row>
    <row r="553" ht="15.75" customHeight="1">
      <c r="C553" s="99"/>
    </row>
    <row r="554" ht="15.75" customHeight="1">
      <c r="C554" s="99"/>
    </row>
    <row r="555" ht="15.75" customHeight="1">
      <c r="C555" s="99"/>
    </row>
    <row r="556" ht="15.75" customHeight="1">
      <c r="C556" s="99"/>
    </row>
    <row r="557" ht="15.75" customHeight="1">
      <c r="C557" s="99"/>
    </row>
    <row r="558" ht="15.75" customHeight="1">
      <c r="C558" s="99"/>
    </row>
    <row r="559" ht="15.75" customHeight="1">
      <c r="C559" s="99"/>
    </row>
    <row r="560" ht="15.75" customHeight="1">
      <c r="C560" s="99"/>
    </row>
    <row r="561" ht="15.75" customHeight="1">
      <c r="C561" s="99"/>
    </row>
    <row r="562" ht="15.75" customHeight="1">
      <c r="C562" s="99"/>
    </row>
    <row r="563" ht="15.75" customHeight="1">
      <c r="C563" s="99"/>
    </row>
    <row r="564" ht="15.75" customHeight="1">
      <c r="C564" s="99"/>
    </row>
    <row r="565" ht="15.75" customHeight="1">
      <c r="C565" s="99"/>
    </row>
    <row r="566" ht="15.75" customHeight="1">
      <c r="C566" s="99"/>
    </row>
    <row r="567" ht="15.75" customHeight="1">
      <c r="C567" s="99"/>
    </row>
    <row r="568" ht="15.75" customHeight="1">
      <c r="C568" s="99"/>
    </row>
    <row r="569" ht="15.75" customHeight="1">
      <c r="C569" s="99"/>
    </row>
    <row r="570" ht="15.75" customHeight="1">
      <c r="C570" s="99"/>
    </row>
    <row r="571" ht="15.75" customHeight="1">
      <c r="C571" s="99"/>
    </row>
    <row r="572" ht="15.75" customHeight="1">
      <c r="C572" s="99"/>
    </row>
    <row r="573" ht="15.75" customHeight="1">
      <c r="C573" s="99"/>
    </row>
    <row r="574" ht="15.75" customHeight="1">
      <c r="C574" s="99"/>
    </row>
    <row r="575" ht="15.75" customHeight="1">
      <c r="C575" s="99"/>
    </row>
    <row r="576" ht="15.75" customHeight="1">
      <c r="C576" s="99"/>
    </row>
    <row r="577" ht="15.75" customHeight="1">
      <c r="C577" s="99"/>
    </row>
    <row r="578" ht="15.75" customHeight="1">
      <c r="C578" s="99"/>
    </row>
    <row r="579" ht="15.75" customHeight="1">
      <c r="C579" s="99"/>
    </row>
    <row r="580" ht="15.75" customHeight="1">
      <c r="C580" s="99"/>
    </row>
    <row r="581" ht="15.75" customHeight="1">
      <c r="C581" s="99"/>
    </row>
    <row r="582" ht="15.75" customHeight="1">
      <c r="C582" s="99"/>
    </row>
    <row r="583" ht="15.75" customHeight="1">
      <c r="C583" s="99"/>
    </row>
    <row r="584" ht="15.75" customHeight="1">
      <c r="C584" s="99"/>
    </row>
    <row r="585" ht="15.75" customHeight="1">
      <c r="C585" s="99"/>
    </row>
    <row r="586" ht="15.75" customHeight="1">
      <c r="C586" s="99"/>
    </row>
    <row r="587" ht="15.75" customHeight="1">
      <c r="C587" s="99"/>
    </row>
    <row r="588" ht="15.75" customHeight="1">
      <c r="C588" s="99"/>
    </row>
    <row r="589" ht="15.75" customHeight="1">
      <c r="C589" s="99"/>
    </row>
    <row r="590" ht="15.75" customHeight="1">
      <c r="C590" s="99"/>
    </row>
    <row r="591" ht="15.75" customHeight="1">
      <c r="C591" s="99"/>
    </row>
    <row r="592" ht="15.75" customHeight="1">
      <c r="C592" s="99"/>
    </row>
    <row r="593" ht="15.75" customHeight="1">
      <c r="C593" s="99"/>
    </row>
    <row r="594" ht="15.75" customHeight="1">
      <c r="C594" s="99"/>
    </row>
    <row r="595" ht="15.75" customHeight="1">
      <c r="C595" s="99"/>
    </row>
    <row r="596" ht="15.75" customHeight="1">
      <c r="C596" s="99"/>
    </row>
    <row r="597" ht="15.75" customHeight="1">
      <c r="C597" s="99"/>
    </row>
    <row r="598" ht="15.75" customHeight="1">
      <c r="C598" s="99"/>
    </row>
    <row r="599" ht="15.75" customHeight="1">
      <c r="C599" s="99"/>
    </row>
    <row r="600" ht="15.75" customHeight="1">
      <c r="C600" s="99"/>
    </row>
    <row r="601" ht="15.75" customHeight="1">
      <c r="C601" s="99"/>
    </row>
    <row r="602" ht="15.75" customHeight="1">
      <c r="C602" s="99"/>
    </row>
    <row r="603" ht="15.75" customHeight="1">
      <c r="C603" s="99"/>
    </row>
    <row r="604" ht="15.75" customHeight="1">
      <c r="C604" s="99"/>
    </row>
    <row r="605" ht="15.75" customHeight="1">
      <c r="C605" s="99"/>
    </row>
    <row r="606" ht="15.75" customHeight="1">
      <c r="C606" s="99"/>
    </row>
    <row r="607" ht="15.75" customHeight="1">
      <c r="C607" s="99"/>
    </row>
    <row r="608" ht="15.75" customHeight="1">
      <c r="C608" s="99"/>
    </row>
    <row r="609" ht="15.75" customHeight="1">
      <c r="C609" s="99"/>
    </row>
    <row r="610" ht="15.75" customHeight="1">
      <c r="C610" s="99"/>
    </row>
    <row r="611" ht="15.75" customHeight="1">
      <c r="C611" s="99"/>
    </row>
    <row r="612" ht="15.75" customHeight="1">
      <c r="C612" s="99"/>
    </row>
    <row r="613" ht="15.75" customHeight="1">
      <c r="C613" s="99"/>
    </row>
    <row r="614" ht="15.75" customHeight="1">
      <c r="C614" s="99"/>
    </row>
    <row r="615" ht="15.75" customHeight="1">
      <c r="C615" s="99"/>
    </row>
    <row r="616" ht="15.75" customHeight="1">
      <c r="C616" s="99"/>
    </row>
    <row r="617" ht="15.75" customHeight="1">
      <c r="C617" s="99"/>
    </row>
    <row r="618" ht="15.75" customHeight="1">
      <c r="C618" s="99"/>
    </row>
    <row r="619" ht="15.75" customHeight="1">
      <c r="C619" s="99"/>
    </row>
    <row r="620" ht="15.75" customHeight="1">
      <c r="C620" s="99"/>
    </row>
    <row r="621" ht="15.75" customHeight="1">
      <c r="C621" s="99"/>
    </row>
    <row r="622" ht="15.75" customHeight="1">
      <c r="C622" s="99"/>
    </row>
    <row r="623" ht="15.75" customHeight="1">
      <c r="C623" s="99"/>
    </row>
    <row r="624" ht="15.75" customHeight="1">
      <c r="C624" s="99"/>
    </row>
    <row r="625" ht="15.75" customHeight="1">
      <c r="C625" s="99"/>
    </row>
    <row r="626" ht="15.75" customHeight="1">
      <c r="C626" s="99"/>
    </row>
    <row r="627" ht="15.75" customHeight="1">
      <c r="C627" s="99"/>
    </row>
    <row r="628" ht="15.75" customHeight="1">
      <c r="C628" s="99"/>
    </row>
    <row r="629" ht="15.75" customHeight="1">
      <c r="C629" s="99"/>
    </row>
    <row r="630" ht="15.75" customHeight="1">
      <c r="C630" s="99"/>
    </row>
    <row r="631" ht="15.75" customHeight="1">
      <c r="C631" s="99"/>
    </row>
    <row r="632" ht="15.75" customHeight="1">
      <c r="C632" s="99"/>
    </row>
    <row r="633" ht="15.75" customHeight="1">
      <c r="C633" s="99"/>
    </row>
    <row r="634" ht="15.75" customHeight="1">
      <c r="C634" s="99"/>
    </row>
    <row r="635" ht="15.75" customHeight="1">
      <c r="C635" s="99"/>
    </row>
    <row r="636" ht="15.75" customHeight="1">
      <c r="C636" s="99"/>
    </row>
    <row r="637" ht="15.75" customHeight="1">
      <c r="C637" s="99"/>
    </row>
    <row r="638" ht="15.75" customHeight="1">
      <c r="C638" s="99"/>
    </row>
    <row r="639" ht="15.75" customHeight="1">
      <c r="C639" s="99"/>
    </row>
    <row r="640" ht="15.75" customHeight="1">
      <c r="C640" s="99"/>
    </row>
    <row r="641" ht="15.75" customHeight="1">
      <c r="C641" s="99"/>
    </row>
    <row r="642" ht="15.75" customHeight="1">
      <c r="C642" s="99"/>
    </row>
    <row r="643" ht="15.75" customHeight="1">
      <c r="C643" s="99"/>
    </row>
    <row r="644" ht="15.75" customHeight="1">
      <c r="C644" s="99"/>
    </row>
    <row r="645" ht="15.75" customHeight="1">
      <c r="C645" s="99"/>
    </row>
    <row r="646" ht="15.75" customHeight="1">
      <c r="C646" s="99"/>
    </row>
    <row r="647" ht="15.75" customHeight="1">
      <c r="C647" s="99"/>
    </row>
    <row r="648" ht="15.75" customHeight="1">
      <c r="C648" s="99"/>
    </row>
    <row r="649" ht="15.75" customHeight="1">
      <c r="C649" s="99"/>
    </row>
    <row r="650" ht="15.75" customHeight="1">
      <c r="C650" s="99"/>
    </row>
    <row r="651" ht="15.75" customHeight="1">
      <c r="C651" s="99"/>
    </row>
    <row r="652" ht="15.75" customHeight="1">
      <c r="C652" s="99"/>
    </row>
    <row r="653" ht="15.75" customHeight="1">
      <c r="C653" s="99"/>
    </row>
    <row r="654" ht="15.75" customHeight="1">
      <c r="C654" s="99"/>
    </row>
    <row r="655" ht="15.75" customHeight="1">
      <c r="C655" s="99"/>
    </row>
    <row r="656" ht="15.75" customHeight="1">
      <c r="C656" s="99"/>
    </row>
    <row r="657" ht="15.75" customHeight="1">
      <c r="C657" s="99"/>
    </row>
    <row r="658" ht="15.75" customHeight="1">
      <c r="C658" s="99"/>
    </row>
    <row r="659" ht="15.75" customHeight="1">
      <c r="C659" s="99"/>
    </row>
    <row r="660" ht="15.75" customHeight="1">
      <c r="C660" s="99"/>
    </row>
    <row r="661" ht="15.75" customHeight="1">
      <c r="C661" s="99"/>
    </row>
    <row r="662" ht="15.75" customHeight="1">
      <c r="C662" s="99"/>
    </row>
    <row r="663" ht="15.75" customHeight="1">
      <c r="C663" s="99"/>
    </row>
    <row r="664" ht="15.75" customHeight="1">
      <c r="C664" s="99"/>
    </row>
    <row r="665" ht="15.75" customHeight="1">
      <c r="C665" s="99"/>
    </row>
    <row r="666" ht="15.75" customHeight="1">
      <c r="C666" s="99"/>
    </row>
    <row r="667" ht="15.75" customHeight="1">
      <c r="C667" s="99"/>
    </row>
    <row r="668" ht="15.75" customHeight="1">
      <c r="C668" s="99"/>
    </row>
    <row r="669" ht="15.75" customHeight="1">
      <c r="C669" s="99"/>
    </row>
    <row r="670" ht="15.75" customHeight="1">
      <c r="C670" s="99"/>
    </row>
    <row r="671" ht="15.75" customHeight="1">
      <c r="C671" s="99"/>
    </row>
    <row r="672" ht="15.75" customHeight="1">
      <c r="C672" s="99"/>
    </row>
    <row r="673" ht="15.75" customHeight="1">
      <c r="C673" s="99"/>
    </row>
    <row r="674" ht="15.75" customHeight="1">
      <c r="C674" s="99"/>
    </row>
    <row r="675" ht="15.75" customHeight="1">
      <c r="C675" s="99"/>
    </row>
    <row r="676" ht="15.75" customHeight="1">
      <c r="C676" s="99"/>
    </row>
    <row r="677" ht="15.75" customHeight="1">
      <c r="C677" s="99"/>
    </row>
    <row r="678" ht="15.75" customHeight="1">
      <c r="C678" s="99"/>
    </row>
    <row r="679" ht="15.75" customHeight="1">
      <c r="C679" s="99"/>
    </row>
    <row r="680" ht="15.75" customHeight="1">
      <c r="C680" s="99"/>
    </row>
    <row r="681" ht="15.75" customHeight="1">
      <c r="C681" s="99"/>
    </row>
    <row r="682" ht="15.75" customHeight="1">
      <c r="C682" s="99"/>
    </row>
    <row r="683" ht="15.75" customHeight="1">
      <c r="C683" s="99"/>
    </row>
    <row r="684" ht="15.75" customHeight="1">
      <c r="C684" s="99"/>
    </row>
    <row r="685" ht="15.75" customHeight="1">
      <c r="C685" s="99"/>
    </row>
    <row r="686" ht="15.75" customHeight="1">
      <c r="C686" s="99"/>
    </row>
    <row r="687" ht="15.75" customHeight="1">
      <c r="C687" s="99"/>
    </row>
    <row r="688" ht="15.75" customHeight="1">
      <c r="C688" s="99"/>
    </row>
    <row r="689" ht="15.75" customHeight="1">
      <c r="C689" s="99"/>
    </row>
    <row r="690" ht="15.75" customHeight="1">
      <c r="C690" s="99"/>
    </row>
    <row r="691" ht="15.75" customHeight="1">
      <c r="C691" s="99"/>
    </row>
    <row r="692" ht="15.75" customHeight="1">
      <c r="C692" s="99"/>
    </row>
    <row r="693" ht="15.75" customHeight="1">
      <c r="C693" s="99"/>
    </row>
    <row r="694" ht="15.75" customHeight="1">
      <c r="C694" s="99"/>
    </row>
    <row r="695" ht="15.75" customHeight="1">
      <c r="C695" s="99"/>
    </row>
    <row r="696" ht="15.75" customHeight="1">
      <c r="C696" s="99"/>
    </row>
    <row r="697" ht="15.75" customHeight="1">
      <c r="C697" s="99"/>
    </row>
    <row r="698" ht="15.75" customHeight="1">
      <c r="C698" s="99"/>
    </row>
    <row r="699" ht="15.75" customHeight="1">
      <c r="C699" s="99"/>
    </row>
    <row r="700" ht="15.75" customHeight="1">
      <c r="C700" s="99"/>
    </row>
    <row r="701" ht="15.75" customHeight="1">
      <c r="C701" s="99"/>
    </row>
    <row r="702" ht="15.75" customHeight="1">
      <c r="C702" s="99"/>
    </row>
    <row r="703" ht="15.75" customHeight="1">
      <c r="C703" s="99"/>
    </row>
    <row r="704" ht="15.75" customHeight="1">
      <c r="C704" s="99"/>
    </row>
    <row r="705" ht="15.75" customHeight="1">
      <c r="C705" s="99"/>
    </row>
    <row r="706" ht="15.75" customHeight="1">
      <c r="C706" s="99"/>
    </row>
    <row r="707" ht="15.75" customHeight="1">
      <c r="C707" s="99"/>
    </row>
    <row r="708" ht="15.75" customHeight="1">
      <c r="C708" s="99"/>
    </row>
    <row r="709" ht="15.75" customHeight="1">
      <c r="C709" s="99"/>
    </row>
    <row r="710" ht="15.75" customHeight="1">
      <c r="C710" s="99"/>
    </row>
    <row r="711" ht="15.75" customHeight="1">
      <c r="C711" s="99"/>
    </row>
    <row r="712" ht="15.75" customHeight="1">
      <c r="C712" s="99"/>
    </row>
    <row r="713" ht="15.75" customHeight="1">
      <c r="C713" s="99"/>
    </row>
    <row r="714" ht="15.75" customHeight="1">
      <c r="C714" s="99"/>
    </row>
    <row r="715" ht="15.75" customHeight="1">
      <c r="C715" s="99"/>
    </row>
    <row r="716" ht="15.75" customHeight="1">
      <c r="C716" s="99"/>
    </row>
    <row r="717" ht="15.75" customHeight="1">
      <c r="C717" s="99"/>
    </row>
    <row r="718" ht="15.75" customHeight="1">
      <c r="C718" s="99"/>
    </row>
    <row r="719" ht="15.75" customHeight="1">
      <c r="C719" s="99"/>
    </row>
    <row r="720" ht="15.75" customHeight="1">
      <c r="C720" s="99"/>
    </row>
    <row r="721" ht="15.75" customHeight="1">
      <c r="C721" s="99"/>
    </row>
    <row r="722" ht="15.75" customHeight="1">
      <c r="C722" s="99"/>
    </row>
    <row r="723" ht="15.75" customHeight="1">
      <c r="C723" s="99"/>
    </row>
    <row r="724" ht="15.75" customHeight="1">
      <c r="C724" s="99"/>
    </row>
    <row r="725" ht="15.75" customHeight="1">
      <c r="C725" s="99"/>
    </row>
    <row r="726" ht="15.75" customHeight="1">
      <c r="C726" s="99"/>
    </row>
    <row r="727" ht="15.75" customHeight="1">
      <c r="C727" s="99"/>
    </row>
    <row r="728" ht="15.75" customHeight="1">
      <c r="C728" s="99"/>
    </row>
    <row r="729" ht="15.75" customHeight="1">
      <c r="C729" s="99"/>
    </row>
    <row r="730" ht="15.75" customHeight="1">
      <c r="C730" s="99"/>
    </row>
    <row r="731" ht="15.75" customHeight="1">
      <c r="C731" s="99"/>
    </row>
    <row r="732" ht="15.75" customHeight="1">
      <c r="C732" s="99"/>
    </row>
    <row r="733" ht="15.75" customHeight="1">
      <c r="C733" s="99"/>
    </row>
    <row r="734" ht="15.75" customHeight="1">
      <c r="C734" s="99"/>
    </row>
    <row r="735" ht="15.75" customHeight="1">
      <c r="C735" s="99"/>
    </row>
    <row r="736" ht="15.75" customHeight="1">
      <c r="C736" s="99"/>
    </row>
    <row r="737" ht="15.75" customHeight="1">
      <c r="C737" s="99"/>
    </row>
    <row r="738" ht="15.75" customHeight="1">
      <c r="C738" s="99"/>
    </row>
    <row r="739" ht="15.75" customHeight="1">
      <c r="C739" s="99"/>
    </row>
    <row r="740" ht="15.75" customHeight="1">
      <c r="C740" s="99"/>
    </row>
    <row r="741" ht="15.75" customHeight="1">
      <c r="C741" s="99"/>
    </row>
    <row r="742" ht="15.75" customHeight="1">
      <c r="C742" s="99"/>
    </row>
    <row r="743" ht="15.75" customHeight="1">
      <c r="C743" s="99"/>
    </row>
    <row r="744" ht="15.75" customHeight="1">
      <c r="C744" s="99"/>
    </row>
    <row r="745" ht="15.75" customHeight="1">
      <c r="C745" s="99"/>
    </row>
    <row r="746" ht="15.75" customHeight="1">
      <c r="C746" s="99"/>
    </row>
    <row r="747" ht="15.75" customHeight="1">
      <c r="C747" s="99"/>
    </row>
    <row r="748" ht="15.75" customHeight="1">
      <c r="C748" s="99"/>
    </row>
    <row r="749" ht="15.75" customHeight="1">
      <c r="C749" s="99"/>
    </row>
    <row r="750" ht="15.75" customHeight="1">
      <c r="C750" s="99"/>
    </row>
    <row r="751" ht="15.75" customHeight="1">
      <c r="C751" s="99"/>
    </row>
    <row r="752" ht="15.75" customHeight="1">
      <c r="C752" s="99"/>
    </row>
    <row r="753" ht="15.75" customHeight="1">
      <c r="C753" s="99"/>
    </row>
    <row r="754" ht="15.75" customHeight="1">
      <c r="C754" s="99"/>
    </row>
    <row r="755" ht="15.75" customHeight="1">
      <c r="C755" s="99"/>
    </row>
    <row r="756" ht="15.75" customHeight="1">
      <c r="C756" s="99"/>
    </row>
    <row r="757" ht="15.75" customHeight="1">
      <c r="C757" s="99"/>
    </row>
    <row r="758" ht="15.75" customHeight="1">
      <c r="C758" s="99"/>
    </row>
    <row r="759" ht="15.75" customHeight="1">
      <c r="C759" s="99"/>
    </row>
    <row r="760" ht="15.75" customHeight="1">
      <c r="C760" s="99"/>
    </row>
    <row r="761" ht="15.75" customHeight="1">
      <c r="C761" s="99"/>
    </row>
    <row r="762" ht="15.75" customHeight="1">
      <c r="C762" s="99"/>
    </row>
    <row r="763" ht="15.75" customHeight="1">
      <c r="C763" s="99"/>
    </row>
    <row r="764" ht="15.75" customHeight="1">
      <c r="C764" s="99"/>
    </row>
    <row r="765" ht="15.75" customHeight="1">
      <c r="C765" s="99"/>
    </row>
    <row r="766" ht="15.75" customHeight="1">
      <c r="C766" s="99"/>
    </row>
    <row r="767" ht="15.75" customHeight="1">
      <c r="C767" s="99"/>
    </row>
    <row r="768" ht="15.75" customHeight="1">
      <c r="C768" s="99"/>
    </row>
    <row r="769" ht="15.75" customHeight="1">
      <c r="C769" s="99"/>
    </row>
    <row r="770" ht="15.75" customHeight="1">
      <c r="C770" s="99"/>
    </row>
    <row r="771" ht="15.75" customHeight="1">
      <c r="C771" s="99"/>
    </row>
    <row r="772" ht="15.75" customHeight="1">
      <c r="C772" s="99"/>
    </row>
    <row r="773" ht="15.75" customHeight="1">
      <c r="C773" s="99"/>
    </row>
    <row r="774" ht="15.75" customHeight="1">
      <c r="C774" s="99"/>
    </row>
    <row r="775" ht="15.75" customHeight="1">
      <c r="C775" s="99"/>
    </row>
    <row r="776" ht="15.75" customHeight="1">
      <c r="C776" s="99"/>
    </row>
    <row r="777" ht="15.75" customHeight="1">
      <c r="C777" s="99"/>
    </row>
    <row r="778" ht="15.75" customHeight="1">
      <c r="C778" s="99"/>
    </row>
    <row r="779" ht="15.75" customHeight="1">
      <c r="C779" s="99"/>
    </row>
    <row r="780" ht="15.75" customHeight="1">
      <c r="C780" s="99"/>
    </row>
    <row r="781" ht="15.75" customHeight="1">
      <c r="C781" s="99"/>
    </row>
    <row r="782" ht="15.75" customHeight="1">
      <c r="C782" s="99"/>
    </row>
    <row r="783" ht="15.75" customHeight="1">
      <c r="C783" s="99"/>
    </row>
    <row r="784" ht="15.75" customHeight="1">
      <c r="C784" s="99"/>
    </row>
    <row r="785" ht="15.75" customHeight="1">
      <c r="C785" s="99"/>
    </row>
    <row r="786" ht="15.75" customHeight="1">
      <c r="C786" s="99"/>
    </row>
    <row r="787" ht="15.75" customHeight="1">
      <c r="C787" s="99"/>
    </row>
    <row r="788" ht="15.75" customHeight="1">
      <c r="C788" s="99"/>
    </row>
    <row r="789" ht="15.75" customHeight="1">
      <c r="C789" s="99"/>
    </row>
    <row r="790" ht="15.75" customHeight="1">
      <c r="C790" s="99"/>
    </row>
    <row r="791" ht="15.75" customHeight="1">
      <c r="C791" s="99"/>
    </row>
    <row r="792" ht="15.75" customHeight="1">
      <c r="C792" s="99"/>
    </row>
    <row r="793" ht="15.75" customHeight="1">
      <c r="C793" s="99"/>
    </row>
    <row r="794" ht="15.75" customHeight="1">
      <c r="C794" s="99"/>
    </row>
    <row r="795" ht="15.75" customHeight="1">
      <c r="C795" s="99"/>
    </row>
    <row r="796" ht="15.75" customHeight="1">
      <c r="C796" s="99"/>
    </row>
    <row r="797" ht="15.75" customHeight="1">
      <c r="C797" s="99"/>
    </row>
    <row r="798" ht="15.75" customHeight="1">
      <c r="C798" s="99"/>
    </row>
    <row r="799" ht="15.75" customHeight="1">
      <c r="C799" s="99"/>
    </row>
    <row r="800" ht="15.75" customHeight="1">
      <c r="C800" s="99"/>
    </row>
    <row r="801" ht="15.75" customHeight="1">
      <c r="C801" s="99"/>
    </row>
    <row r="802" ht="15.75" customHeight="1">
      <c r="C802" s="99"/>
    </row>
    <row r="803" ht="15.75" customHeight="1">
      <c r="C803" s="99"/>
    </row>
    <row r="804" ht="15.75" customHeight="1">
      <c r="C804" s="99"/>
    </row>
    <row r="805" ht="15.75" customHeight="1">
      <c r="C805" s="99"/>
    </row>
    <row r="806" ht="15.75" customHeight="1">
      <c r="C806" s="99"/>
    </row>
    <row r="807" ht="15.75" customHeight="1">
      <c r="C807" s="99"/>
    </row>
    <row r="808" ht="15.75" customHeight="1">
      <c r="C808" s="99"/>
    </row>
    <row r="809" ht="15.75" customHeight="1">
      <c r="C809" s="99"/>
    </row>
    <row r="810" ht="15.75" customHeight="1">
      <c r="C810" s="99"/>
    </row>
    <row r="811" ht="15.75" customHeight="1">
      <c r="C811" s="99"/>
    </row>
    <row r="812" ht="15.75" customHeight="1">
      <c r="C812" s="99"/>
    </row>
    <row r="813" ht="15.75" customHeight="1">
      <c r="C813" s="99"/>
    </row>
    <row r="814" ht="15.75" customHeight="1">
      <c r="C814" s="99"/>
    </row>
    <row r="815" ht="15.75" customHeight="1">
      <c r="C815" s="99"/>
    </row>
    <row r="816" ht="15.75" customHeight="1">
      <c r="C816" s="99"/>
    </row>
    <row r="817" ht="15.75" customHeight="1">
      <c r="C817" s="99"/>
    </row>
    <row r="818" ht="15.75" customHeight="1">
      <c r="C818" s="99"/>
    </row>
    <row r="819" ht="15.75" customHeight="1">
      <c r="C819" s="99"/>
    </row>
    <row r="820" ht="15.75" customHeight="1">
      <c r="C820" s="99"/>
    </row>
    <row r="821" ht="15.75" customHeight="1">
      <c r="C821" s="99"/>
    </row>
    <row r="822" ht="15.75" customHeight="1">
      <c r="C822" s="99"/>
    </row>
    <row r="823" ht="15.75" customHeight="1">
      <c r="C823" s="99"/>
    </row>
    <row r="824" ht="15.75" customHeight="1">
      <c r="C824" s="99"/>
    </row>
    <row r="825" ht="15.75" customHeight="1">
      <c r="C825" s="99"/>
    </row>
    <row r="826" ht="15.75" customHeight="1">
      <c r="C826" s="99"/>
    </row>
    <row r="827" ht="15.75" customHeight="1">
      <c r="C827" s="99"/>
    </row>
    <row r="828" ht="15.75" customHeight="1">
      <c r="C828" s="99"/>
    </row>
    <row r="829" ht="15.75" customHeight="1">
      <c r="C829" s="99"/>
    </row>
    <row r="830" ht="15.75" customHeight="1">
      <c r="C830" s="99"/>
    </row>
    <row r="831" ht="15.75" customHeight="1">
      <c r="C831" s="99"/>
    </row>
    <row r="832" ht="15.75" customHeight="1">
      <c r="C832" s="99"/>
    </row>
    <row r="833" ht="15.75" customHeight="1">
      <c r="C833" s="99"/>
    </row>
    <row r="834" ht="15.75" customHeight="1">
      <c r="C834" s="99"/>
    </row>
    <row r="835" ht="15.75" customHeight="1">
      <c r="C835" s="99"/>
    </row>
    <row r="836" ht="15.75" customHeight="1">
      <c r="C836" s="99"/>
    </row>
    <row r="837" ht="15.75" customHeight="1">
      <c r="C837" s="99"/>
    </row>
    <row r="838" ht="15.75" customHeight="1">
      <c r="C838" s="99"/>
    </row>
    <row r="839" ht="15.75" customHeight="1">
      <c r="C839" s="99"/>
    </row>
    <row r="840" ht="15.75" customHeight="1">
      <c r="C840" s="99"/>
    </row>
    <row r="841" ht="15.75" customHeight="1">
      <c r="C841" s="99"/>
    </row>
    <row r="842" ht="15.75" customHeight="1">
      <c r="C842" s="99"/>
    </row>
    <row r="843" ht="15.75" customHeight="1">
      <c r="C843" s="99"/>
    </row>
    <row r="844" ht="15.75" customHeight="1">
      <c r="C844" s="99"/>
    </row>
    <row r="845" ht="15.75" customHeight="1">
      <c r="C845" s="99"/>
    </row>
    <row r="846" ht="15.75" customHeight="1">
      <c r="C846" s="99"/>
    </row>
    <row r="847" ht="15.75" customHeight="1">
      <c r="C847" s="99"/>
    </row>
    <row r="848" ht="15.75" customHeight="1">
      <c r="C848" s="99"/>
    </row>
    <row r="849" ht="15.75" customHeight="1">
      <c r="C849" s="99"/>
    </row>
    <row r="850" ht="15.75" customHeight="1">
      <c r="C850" s="99"/>
    </row>
    <row r="851" ht="15.75" customHeight="1">
      <c r="C851" s="99"/>
    </row>
    <row r="852" ht="15.75" customHeight="1">
      <c r="C852" s="99"/>
    </row>
    <row r="853" ht="15.75" customHeight="1">
      <c r="C853" s="99"/>
    </row>
    <row r="854" ht="15.75" customHeight="1">
      <c r="C854" s="99"/>
    </row>
    <row r="855" ht="15.75" customHeight="1">
      <c r="C855" s="99"/>
    </row>
    <row r="856" ht="15.75" customHeight="1">
      <c r="C856" s="99"/>
    </row>
    <row r="857" ht="15.75" customHeight="1">
      <c r="C857" s="99"/>
    </row>
    <row r="858" ht="15.75" customHeight="1">
      <c r="C858" s="99"/>
    </row>
    <row r="859" ht="15.75" customHeight="1">
      <c r="C859" s="99"/>
    </row>
    <row r="860" ht="15.75" customHeight="1">
      <c r="C860" s="99"/>
    </row>
    <row r="861" ht="15.75" customHeight="1">
      <c r="C861" s="99"/>
    </row>
    <row r="862" ht="15.75" customHeight="1">
      <c r="C862" s="99"/>
    </row>
    <row r="863" ht="15.75" customHeight="1">
      <c r="C863" s="99"/>
    </row>
    <row r="864" ht="15.75" customHeight="1">
      <c r="C864" s="99"/>
    </row>
    <row r="865" ht="15.75" customHeight="1">
      <c r="C865" s="99"/>
    </row>
    <row r="866" ht="15.75" customHeight="1">
      <c r="C866" s="99"/>
    </row>
    <row r="867" ht="15.75" customHeight="1">
      <c r="C867" s="99"/>
    </row>
    <row r="868" ht="15.75" customHeight="1">
      <c r="C868" s="99"/>
    </row>
    <row r="869" ht="15.75" customHeight="1">
      <c r="C869" s="99"/>
    </row>
    <row r="870" ht="15.75" customHeight="1">
      <c r="C870" s="99"/>
    </row>
    <row r="871" ht="15.75" customHeight="1">
      <c r="C871" s="99"/>
    </row>
    <row r="872" ht="15.75" customHeight="1">
      <c r="C872" s="99"/>
    </row>
    <row r="873" ht="15.75" customHeight="1">
      <c r="C873" s="99"/>
    </row>
    <row r="874" ht="15.75" customHeight="1">
      <c r="C874" s="99"/>
    </row>
    <row r="875" ht="15.75" customHeight="1">
      <c r="C875" s="99"/>
    </row>
    <row r="876" ht="15.75" customHeight="1">
      <c r="C876" s="99"/>
    </row>
    <row r="877" ht="15.75" customHeight="1">
      <c r="C877" s="99"/>
    </row>
    <row r="878" ht="15.75" customHeight="1">
      <c r="C878" s="99"/>
    </row>
    <row r="879" ht="15.75" customHeight="1">
      <c r="C879" s="99"/>
    </row>
    <row r="880" ht="15.75" customHeight="1">
      <c r="C880" s="99"/>
    </row>
    <row r="881" ht="15.75" customHeight="1">
      <c r="C881" s="99"/>
    </row>
    <row r="882" ht="15.75" customHeight="1">
      <c r="C882" s="99"/>
    </row>
    <row r="883" ht="15.75" customHeight="1">
      <c r="C883" s="99"/>
    </row>
    <row r="884" ht="15.75" customHeight="1">
      <c r="C884" s="99"/>
    </row>
    <row r="885" ht="15.75" customHeight="1">
      <c r="C885" s="99"/>
    </row>
    <row r="886" ht="15.75" customHeight="1">
      <c r="C886" s="99"/>
    </row>
    <row r="887" ht="15.75" customHeight="1">
      <c r="C887" s="99"/>
    </row>
    <row r="888" ht="15.75" customHeight="1">
      <c r="C888" s="99"/>
    </row>
    <row r="889" ht="15.75" customHeight="1">
      <c r="C889" s="99"/>
    </row>
    <row r="890" ht="15.75" customHeight="1">
      <c r="C890" s="99"/>
    </row>
    <row r="891" ht="15.75" customHeight="1">
      <c r="C891" s="99"/>
    </row>
    <row r="892" ht="15.75" customHeight="1">
      <c r="C892" s="99"/>
    </row>
    <row r="893" ht="15.75" customHeight="1">
      <c r="C893" s="99"/>
    </row>
    <row r="894" ht="15.75" customHeight="1">
      <c r="C894" s="99"/>
    </row>
    <row r="895" ht="15.75" customHeight="1">
      <c r="C895" s="99"/>
    </row>
    <row r="896" ht="15.75" customHeight="1">
      <c r="C896" s="99"/>
    </row>
    <row r="897" ht="15.75" customHeight="1">
      <c r="C897" s="99"/>
    </row>
    <row r="898" ht="15.75" customHeight="1">
      <c r="C898" s="99"/>
    </row>
    <row r="899" ht="15.75" customHeight="1">
      <c r="C899" s="99"/>
    </row>
    <row r="900" ht="15.75" customHeight="1">
      <c r="C900" s="99"/>
    </row>
    <row r="901" ht="15.75" customHeight="1">
      <c r="C901" s="99"/>
    </row>
    <row r="902" ht="15.75" customHeight="1">
      <c r="C902" s="99"/>
    </row>
    <row r="903" ht="15.75" customHeight="1">
      <c r="C903" s="99"/>
    </row>
    <row r="904" ht="15.75" customHeight="1">
      <c r="C904" s="99"/>
    </row>
    <row r="905" ht="15.75" customHeight="1">
      <c r="C905" s="99"/>
    </row>
    <row r="906" ht="15.75" customHeight="1">
      <c r="C906" s="99"/>
    </row>
    <row r="907" ht="15.75" customHeight="1">
      <c r="C907" s="99"/>
    </row>
    <row r="908" ht="15.75" customHeight="1">
      <c r="C908" s="99"/>
    </row>
    <row r="909" ht="15.75" customHeight="1">
      <c r="C909" s="99"/>
    </row>
    <row r="910" ht="15.75" customHeight="1">
      <c r="C910" s="99"/>
    </row>
    <row r="911" ht="15.75" customHeight="1">
      <c r="C911" s="99"/>
    </row>
    <row r="912" ht="15.75" customHeight="1">
      <c r="C912" s="99"/>
    </row>
    <row r="913" ht="15.75" customHeight="1">
      <c r="C913" s="99"/>
    </row>
    <row r="914" ht="15.75" customHeight="1">
      <c r="C914" s="99"/>
    </row>
    <row r="915" ht="15.75" customHeight="1">
      <c r="C915" s="99"/>
    </row>
    <row r="916" ht="15.75" customHeight="1">
      <c r="C916" s="99"/>
    </row>
    <row r="917" ht="15.75" customHeight="1">
      <c r="C917" s="99"/>
    </row>
    <row r="918" ht="15.75" customHeight="1">
      <c r="C918" s="99"/>
    </row>
    <row r="919" ht="15.75" customHeight="1">
      <c r="C919" s="99"/>
    </row>
    <row r="920" ht="15.75" customHeight="1">
      <c r="C920" s="99"/>
    </row>
    <row r="921" ht="15.75" customHeight="1">
      <c r="C921" s="99"/>
    </row>
    <row r="922" ht="15.75" customHeight="1">
      <c r="C922" s="99"/>
    </row>
    <row r="923" ht="15.75" customHeight="1">
      <c r="C923" s="99"/>
    </row>
    <row r="924" ht="15.75" customHeight="1">
      <c r="C924" s="99"/>
    </row>
    <row r="925" ht="15.75" customHeight="1">
      <c r="C925" s="99"/>
    </row>
    <row r="926" ht="15.75" customHeight="1">
      <c r="C926" s="99"/>
    </row>
    <row r="927" ht="15.75" customHeight="1">
      <c r="C927" s="99"/>
    </row>
    <row r="928" ht="15.75" customHeight="1">
      <c r="C928" s="99"/>
    </row>
    <row r="929" ht="15.75" customHeight="1">
      <c r="C929" s="99"/>
    </row>
    <row r="930" ht="15.75" customHeight="1">
      <c r="C930" s="99"/>
    </row>
    <row r="931" ht="15.75" customHeight="1">
      <c r="C931" s="99"/>
    </row>
    <row r="932" ht="15.75" customHeight="1">
      <c r="C932" s="99"/>
    </row>
    <row r="933" ht="15.75" customHeight="1">
      <c r="C933" s="99"/>
    </row>
    <row r="934" ht="15.75" customHeight="1">
      <c r="C934" s="99"/>
    </row>
    <row r="935" ht="15.75" customHeight="1">
      <c r="C935" s="99"/>
    </row>
    <row r="936" ht="15.75" customHeight="1">
      <c r="C936" s="99"/>
    </row>
    <row r="937" ht="15.75" customHeight="1">
      <c r="C937" s="99"/>
    </row>
    <row r="938" ht="15.75" customHeight="1">
      <c r="C938" s="99"/>
    </row>
    <row r="939" ht="15.75" customHeight="1">
      <c r="C939" s="99"/>
    </row>
    <row r="940" ht="15.75" customHeight="1">
      <c r="C940" s="99"/>
    </row>
    <row r="941" ht="15.75" customHeight="1">
      <c r="C941" s="99"/>
    </row>
    <row r="942" ht="15.75" customHeight="1">
      <c r="C942" s="99"/>
    </row>
    <row r="943" ht="15.75" customHeight="1">
      <c r="C943" s="99"/>
    </row>
    <row r="944" ht="15.75" customHeight="1">
      <c r="C944" s="99"/>
    </row>
    <row r="945" ht="15.75" customHeight="1">
      <c r="C945" s="99"/>
    </row>
    <row r="946" ht="15.75" customHeight="1">
      <c r="C946" s="99"/>
    </row>
    <row r="947" ht="15.75" customHeight="1">
      <c r="C947" s="99"/>
    </row>
    <row r="948" ht="15.75" customHeight="1">
      <c r="C948" s="99"/>
    </row>
    <row r="949" ht="15.75" customHeight="1">
      <c r="C949" s="99"/>
    </row>
    <row r="950" ht="15.75" customHeight="1">
      <c r="C950" s="99"/>
    </row>
    <row r="951" ht="15.75" customHeight="1">
      <c r="C951" s="99"/>
    </row>
    <row r="952" ht="15.75" customHeight="1">
      <c r="C952" s="99"/>
    </row>
    <row r="953" ht="15.75" customHeight="1">
      <c r="C953" s="99"/>
    </row>
    <row r="954" ht="15.75" customHeight="1">
      <c r="C954" s="99"/>
    </row>
    <row r="955" ht="15.75" customHeight="1">
      <c r="C955" s="99"/>
    </row>
    <row r="956" ht="15.75" customHeight="1">
      <c r="C956" s="99"/>
    </row>
    <row r="957" ht="15.75" customHeight="1">
      <c r="C957" s="99"/>
    </row>
    <row r="958" ht="15.75" customHeight="1">
      <c r="C958" s="99"/>
    </row>
    <row r="959" ht="15.75" customHeight="1">
      <c r="C959" s="99"/>
    </row>
    <row r="960" ht="15.75" customHeight="1">
      <c r="C960" s="99"/>
    </row>
    <row r="961" ht="15.75" customHeight="1">
      <c r="C961" s="99"/>
    </row>
    <row r="962" ht="15.75" customHeight="1">
      <c r="C962" s="99"/>
    </row>
    <row r="963" ht="15.75" customHeight="1">
      <c r="C963" s="99"/>
    </row>
    <row r="964" ht="15.75" customHeight="1">
      <c r="C964" s="99"/>
    </row>
    <row r="965" ht="15.75" customHeight="1">
      <c r="C965" s="99"/>
    </row>
    <row r="966" ht="15.75" customHeight="1">
      <c r="C966" s="99"/>
    </row>
    <row r="967" ht="15.75" customHeight="1">
      <c r="C967" s="99"/>
    </row>
    <row r="968" ht="15.75" customHeight="1">
      <c r="C968" s="99"/>
    </row>
    <row r="969" ht="15.75" customHeight="1">
      <c r="C969" s="99"/>
    </row>
    <row r="970" ht="15.75" customHeight="1">
      <c r="C970" s="99"/>
    </row>
    <row r="971" ht="15.75" customHeight="1">
      <c r="C971" s="99"/>
    </row>
    <row r="972" ht="15.75" customHeight="1">
      <c r="C972" s="99"/>
    </row>
    <row r="973" ht="15.75" customHeight="1">
      <c r="C973" s="99"/>
    </row>
    <row r="974" ht="15.75" customHeight="1">
      <c r="C974" s="99"/>
    </row>
    <row r="975" ht="15.75" customHeight="1">
      <c r="C975" s="99"/>
    </row>
    <row r="976" ht="15.75" customHeight="1">
      <c r="C976" s="99"/>
    </row>
    <row r="977" ht="15.75" customHeight="1">
      <c r="C977" s="99"/>
    </row>
    <row r="978" ht="15.75" customHeight="1">
      <c r="C978" s="99"/>
    </row>
    <row r="979" ht="15.75" customHeight="1">
      <c r="C979" s="99"/>
    </row>
    <row r="980" ht="15.75" customHeight="1">
      <c r="C980" s="99"/>
    </row>
    <row r="981" ht="15.75" customHeight="1">
      <c r="C981" s="99"/>
    </row>
    <row r="982" ht="15.75" customHeight="1">
      <c r="C982" s="99"/>
    </row>
    <row r="983" ht="15.75" customHeight="1">
      <c r="C983" s="99"/>
    </row>
    <row r="984" ht="15.75" customHeight="1">
      <c r="C984" s="99"/>
    </row>
    <row r="985" ht="15.75" customHeight="1">
      <c r="C985" s="99"/>
    </row>
    <row r="986" ht="15.75" customHeight="1">
      <c r="C986" s="99"/>
    </row>
    <row r="987" ht="15.75" customHeight="1">
      <c r="C987" s="99"/>
    </row>
    <row r="988" ht="15.75" customHeight="1">
      <c r="C988" s="99"/>
    </row>
    <row r="989" ht="15.75" customHeight="1">
      <c r="C989" s="99"/>
    </row>
    <row r="990" ht="15.75" customHeight="1">
      <c r="C990" s="99"/>
    </row>
    <row r="991" ht="15.75" customHeight="1">
      <c r="C991" s="99"/>
    </row>
    <row r="992" ht="15.75" customHeight="1">
      <c r="C992" s="99"/>
    </row>
    <row r="993" ht="15.75" customHeight="1">
      <c r="C993" s="99"/>
    </row>
    <row r="994" ht="15.75" customHeight="1">
      <c r="C994" s="99"/>
    </row>
    <row r="995" ht="15.75" customHeight="1">
      <c r="C995" s="99"/>
    </row>
    <row r="996" ht="15.75" customHeight="1">
      <c r="C996" s="99"/>
    </row>
    <row r="997" ht="15.75" customHeight="1">
      <c r="C997" s="99"/>
    </row>
    <row r="998" ht="15.75" customHeight="1">
      <c r="C998" s="99"/>
    </row>
    <row r="999" ht="15.75" customHeight="1">
      <c r="C999" s="99"/>
    </row>
    <row r="1000" ht="15.75" customHeight="1">
      <c r="C1000" s="99"/>
    </row>
  </sheetData>
  <hyperlinks>
    <hyperlink r:id="rId1" ref="B36"/>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63"/>
    <col customWidth="1" min="2" max="2" width="75.13"/>
    <col customWidth="1" min="3" max="3" width="50.0"/>
    <col customWidth="1" min="4" max="6" width="12.63"/>
    <col customWidth="1" min="7" max="7" width="61.0"/>
  </cols>
  <sheetData>
    <row r="1" ht="15.0" customHeight="1">
      <c r="A1" s="100"/>
      <c r="B1" s="100"/>
      <c r="C1" s="100"/>
      <c r="D1" s="100"/>
      <c r="E1" s="100"/>
      <c r="F1" s="100"/>
      <c r="G1" s="100"/>
      <c r="H1" s="100"/>
      <c r="I1" s="100"/>
      <c r="J1" s="100"/>
      <c r="K1" s="100"/>
      <c r="L1" s="100"/>
      <c r="M1" s="100"/>
      <c r="N1" s="100"/>
      <c r="O1" s="100"/>
      <c r="P1" s="100"/>
      <c r="Q1" s="100"/>
      <c r="R1" s="100"/>
      <c r="S1" s="100"/>
      <c r="T1" s="100"/>
      <c r="U1" s="100"/>
      <c r="V1" s="100"/>
      <c r="W1" s="100"/>
      <c r="X1" s="100"/>
      <c r="Y1" s="100"/>
      <c r="Z1" s="100"/>
    </row>
    <row r="2" ht="15.75" customHeight="1">
      <c r="A2" s="100" t="s">
        <v>2</v>
      </c>
      <c r="B2" s="100" t="s">
        <v>1054</v>
      </c>
      <c r="C2" s="100"/>
      <c r="D2" s="100"/>
      <c r="E2" s="100"/>
      <c r="F2" s="100"/>
      <c r="G2" s="100"/>
      <c r="H2" s="100"/>
      <c r="I2" s="100"/>
      <c r="J2" s="100"/>
      <c r="K2" s="100"/>
      <c r="L2" s="100"/>
      <c r="M2" s="100"/>
      <c r="N2" s="100"/>
      <c r="O2" s="100"/>
      <c r="P2" s="100"/>
      <c r="Q2" s="100"/>
      <c r="R2" s="100"/>
      <c r="S2" s="100"/>
      <c r="T2" s="100"/>
      <c r="U2" s="100"/>
      <c r="V2" s="100"/>
      <c r="W2" s="100"/>
      <c r="X2" s="100"/>
      <c r="Y2" s="100"/>
      <c r="Z2" s="100"/>
    </row>
    <row r="3" ht="15.75" customHeight="1">
      <c r="A3" s="100" t="s">
        <v>1055</v>
      </c>
      <c r="B3" s="100" t="s">
        <v>1056</v>
      </c>
      <c r="C3" s="100"/>
      <c r="D3" s="100"/>
      <c r="E3" s="100"/>
      <c r="F3" s="100"/>
      <c r="G3" s="100"/>
      <c r="H3" s="100"/>
      <c r="I3" s="100"/>
      <c r="J3" s="100"/>
      <c r="K3" s="100"/>
      <c r="L3" s="100"/>
      <c r="M3" s="100"/>
      <c r="N3" s="100"/>
      <c r="O3" s="100"/>
      <c r="P3" s="100"/>
      <c r="Q3" s="100"/>
      <c r="R3" s="100"/>
      <c r="S3" s="100"/>
      <c r="T3" s="100"/>
      <c r="U3" s="100"/>
      <c r="V3" s="100"/>
      <c r="W3" s="100"/>
      <c r="X3" s="100"/>
      <c r="Y3" s="100"/>
      <c r="Z3" s="100"/>
    </row>
    <row r="4" ht="15.75" customHeight="1">
      <c r="A4" s="100" t="s">
        <v>1057</v>
      </c>
      <c r="B4" s="100" t="s">
        <v>1058</v>
      </c>
      <c r="C4" s="100"/>
      <c r="D4" s="100"/>
      <c r="E4" s="100"/>
      <c r="F4" s="100"/>
      <c r="G4" s="100"/>
      <c r="H4" s="100"/>
      <c r="I4" s="100"/>
      <c r="J4" s="100"/>
      <c r="K4" s="100"/>
      <c r="L4" s="100"/>
      <c r="M4" s="100"/>
      <c r="N4" s="100"/>
      <c r="O4" s="100"/>
      <c r="P4" s="100"/>
      <c r="Q4" s="100"/>
      <c r="R4" s="100"/>
      <c r="S4" s="100"/>
      <c r="T4" s="100"/>
      <c r="U4" s="100"/>
      <c r="V4" s="100"/>
      <c r="W4" s="100"/>
      <c r="X4" s="100"/>
      <c r="Y4" s="100"/>
      <c r="Z4" s="100"/>
    </row>
    <row r="5" ht="15.75" customHeight="1">
      <c r="A5" s="100" t="s">
        <v>1059</v>
      </c>
      <c r="B5" s="100" t="s">
        <v>1060</v>
      </c>
      <c r="C5" s="100"/>
      <c r="D5" s="100"/>
      <c r="E5" s="100"/>
      <c r="F5" s="100"/>
      <c r="G5" s="101" t="s">
        <v>1061</v>
      </c>
      <c r="H5" s="100"/>
      <c r="I5" s="100"/>
      <c r="J5" s="100"/>
      <c r="K5" s="100"/>
      <c r="L5" s="100"/>
      <c r="M5" s="100"/>
      <c r="N5" s="100"/>
      <c r="O5" s="100"/>
      <c r="P5" s="100"/>
      <c r="Q5" s="100"/>
      <c r="R5" s="100"/>
      <c r="S5" s="100"/>
      <c r="T5" s="100"/>
      <c r="U5" s="100"/>
      <c r="V5" s="100"/>
      <c r="W5" s="100"/>
      <c r="X5" s="100"/>
      <c r="Y5" s="100"/>
      <c r="Z5" s="100"/>
    </row>
    <row r="6" ht="15.75" customHeight="1">
      <c r="A6" s="100"/>
      <c r="B6" s="100"/>
      <c r="C6" s="100"/>
      <c r="D6" s="100"/>
      <c r="E6" s="100"/>
      <c r="F6" s="100"/>
      <c r="G6" s="100"/>
      <c r="H6" s="100"/>
      <c r="I6" s="100"/>
      <c r="J6" s="100"/>
      <c r="K6" s="100"/>
      <c r="L6" s="100"/>
      <c r="M6" s="100"/>
      <c r="N6" s="100"/>
      <c r="O6" s="100"/>
      <c r="P6" s="100"/>
      <c r="Q6" s="100"/>
      <c r="R6" s="100"/>
      <c r="S6" s="100"/>
      <c r="T6" s="100"/>
      <c r="U6" s="100"/>
      <c r="V6" s="100"/>
      <c r="W6" s="100"/>
      <c r="X6" s="100"/>
      <c r="Y6" s="100"/>
      <c r="Z6" s="100"/>
    </row>
    <row r="7" ht="15.75" customHeight="1">
      <c r="A7" s="100"/>
      <c r="B7" s="100" t="s">
        <v>1062</v>
      </c>
      <c r="C7" s="100"/>
      <c r="D7" s="100"/>
      <c r="E7" s="100"/>
      <c r="F7" s="100"/>
      <c r="G7" s="100"/>
      <c r="H7" s="100"/>
      <c r="I7" s="100"/>
      <c r="J7" s="100"/>
      <c r="K7" s="100"/>
      <c r="L7" s="100"/>
      <c r="M7" s="100"/>
      <c r="N7" s="100"/>
      <c r="O7" s="100"/>
      <c r="P7" s="100"/>
      <c r="Q7" s="100"/>
      <c r="R7" s="100"/>
      <c r="S7" s="100"/>
      <c r="T7" s="100"/>
      <c r="U7" s="100"/>
      <c r="V7" s="100"/>
      <c r="W7" s="100"/>
      <c r="X7" s="100"/>
      <c r="Y7" s="100"/>
      <c r="Z7" s="100"/>
    </row>
    <row r="8" ht="71.25" customHeight="1">
      <c r="A8" s="102" t="s">
        <v>1063</v>
      </c>
      <c r="B8" s="100" t="s">
        <v>1064</v>
      </c>
      <c r="C8" s="100" t="s">
        <v>1065</v>
      </c>
      <c r="D8" s="100"/>
      <c r="E8" s="100"/>
      <c r="F8" s="100"/>
      <c r="G8" s="100"/>
      <c r="H8" s="100"/>
      <c r="I8" s="100"/>
      <c r="J8" s="100"/>
      <c r="K8" s="100"/>
      <c r="L8" s="100"/>
      <c r="M8" s="100"/>
      <c r="N8" s="100"/>
      <c r="O8" s="100"/>
      <c r="P8" s="100"/>
      <c r="Q8" s="100"/>
      <c r="R8" s="100"/>
      <c r="S8" s="100"/>
      <c r="T8" s="100"/>
      <c r="U8" s="100"/>
      <c r="V8" s="100"/>
      <c r="W8" s="100"/>
      <c r="X8" s="100"/>
      <c r="Y8" s="100"/>
      <c r="Z8" s="100"/>
    </row>
    <row r="9" ht="67.5" customHeight="1">
      <c r="A9" s="102" t="s">
        <v>1066</v>
      </c>
      <c r="B9" s="100" t="s">
        <v>1067</v>
      </c>
      <c r="C9" s="100"/>
      <c r="D9" s="100"/>
      <c r="E9" s="100"/>
      <c r="F9" s="100"/>
      <c r="G9" s="100"/>
      <c r="H9" s="100"/>
      <c r="I9" s="100"/>
      <c r="J9" s="100"/>
      <c r="K9" s="100"/>
      <c r="L9" s="100"/>
      <c r="M9" s="100"/>
      <c r="N9" s="100"/>
      <c r="O9" s="100"/>
      <c r="P9" s="100"/>
      <c r="Q9" s="100"/>
      <c r="R9" s="100"/>
      <c r="S9" s="100"/>
      <c r="T9" s="100"/>
      <c r="U9" s="100"/>
      <c r="V9" s="100"/>
      <c r="W9" s="100"/>
      <c r="X9" s="100"/>
      <c r="Y9" s="100"/>
      <c r="Z9" s="100"/>
    </row>
    <row r="10" ht="87.0" customHeight="1">
      <c r="A10" s="100" t="s">
        <v>1068</v>
      </c>
      <c r="B10" s="100" t="s">
        <v>1069</v>
      </c>
      <c r="C10" s="100"/>
      <c r="D10" s="100"/>
      <c r="E10" s="100"/>
      <c r="F10" s="100"/>
      <c r="G10" s="100"/>
      <c r="H10" s="100"/>
      <c r="I10" s="100"/>
      <c r="J10" s="100"/>
      <c r="K10" s="100"/>
      <c r="L10" s="100"/>
      <c r="M10" s="100"/>
      <c r="N10" s="100"/>
      <c r="O10" s="100"/>
      <c r="P10" s="100"/>
      <c r="Q10" s="100"/>
      <c r="R10" s="100"/>
      <c r="S10" s="100"/>
      <c r="T10" s="100"/>
      <c r="U10" s="100"/>
      <c r="V10" s="100"/>
      <c r="W10" s="100"/>
      <c r="X10" s="100"/>
      <c r="Y10" s="100"/>
      <c r="Z10" s="100"/>
    </row>
    <row r="11" ht="90.75" customHeight="1">
      <c r="A11" s="100" t="s">
        <v>1070</v>
      </c>
      <c r="B11" s="100" t="s">
        <v>1071</v>
      </c>
      <c r="C11" s="100"/>
      <c r="D11" s="100"/>
      <c r="E11" s="100"/>
      <c r="F11" s="100"/>
      <c r="G11" s="100"/>
      <c r="H11" s="100"/>
      <c r="I11" s="100"/>
      <c r="J11" s="100"/>
      <c r="K11" s="100"/>
      <c r="L11" s="100"/>
      <c r="M11" s="100"/>
      <c r="N11" s="100"/>
      <c r="O11" s="100"/>
      <c r="P11" s="100"/>
      <c r="Q11" s="100"/>
      <c r="R11" s="100"/>
      <c r="S11" s="100"/>
      <c r="T11" s="100"/>
      <c r="U11" s="100"/>
      <c r="V11" s="100"/>
      <c r="W11" s="100"/>
      <c r="X11" s="100"/>
      <c r="Y11" s="100"/>
      <c r="Z11" s="100"/>
    </row>
    <row r="12" ht="84.75" customHeight="1">
      <c r="A12" s="100" t="s">
        <v>1072</v>
      </c>
      <c r="B12" s="100" t="s">
        <v>1073</v>
      </c>
      <c r="C12" s="100"/>
      <c r="D12" s="100"/>
      <c r="E12" s="100"/>
      <c r="F12" s="100"/>
      <c r="G12" s="100"/>
      <c r="H12" s="100"/>
      <c r="I12" s="100"/>
      <c r="J12" s="100"/>
      <c r="K12" s="100"/>
      <c r="L12" s="100"/>
      <c r="M12" s="100"/>
      <c r="N12" s="100"/>
      <c r="O12" s="100"/>
      <c r="P12" s="100"/>
      <c r="Q12" s="100"/>
      <c r="R12" s="100"/>
      <c r="S12" s="100"/>
      <c r="T12" s="100"/>
      <c r="U12" s="100"/>
      <c r="V12" s="100"/>
      <c r="W12" s="100"/>
      <c r="X12" s="100"/>
      <c r="Y12" s="100"/>
      <c r="Z12" s="100"/>
    </row>
    <row r="13" ht="87.0" customHeight="1">
      <c r="A13" s="100" t="s">
        <v>1074</v>
      </c>
      <c r="B13" s="100" t="s">
        <v>1075</v>
      </c>
      <c r="C13" s="100"/>
      <c r="D13" s="100"/>
      <c r="E13" s="100"/>
      <c r="F13" s="100"/>
      <c r="G13" s="100"/>
      <c r="H13" s="100"/>
      <c r="I13" s="100"/>
      <c r="J13" s="100"/>
      <c r="K13" s="100"/>
      <c r="L13" s="100"/>
      <c r="M13" s="100"/>
      <c r="N13" s="100"/>
      <c r="O13" s="100"/>
      <c r="P13" s="100"/>
      <c r="Q13" s="100"/>
      <c r="R13" s="100"/>
      <c r="S13" s="100"/>
      <c r="T13" s="100"/>
      <c r="U13" s="100"/>
      <c r="V13" s="100"/>
      <c r="W13" s="100"/>
      <c r="X13" s="100"/>
      <c r="Y13" s="100"/>
      <c r="Z13" s="100"/>
    </row>
    <row r="14" ht="70.5" customHeight="1">
      <c r="A14" s="100" t="s">
        <v>1076</v>
      </c>
      <c r="B14" s="100" t="s">
        <v>1077</v>
      </c>
      <c r="C14" s="100"/>
      <c r="D14" s="100"/>
      <c r="E14" s="100"/>
      <c r="F14" s="100"/>
      <c r="G14" s="100"/>
      <c r="H14" s="100"/>
      <c r="I14" s="100"/>
      <c r="J14" s="100"/>
      <c r="K14" s="100"/>
      <c r="L14" s="100"/>
      <c r="M14" s="100"/>
      <c r="N14" s="100"/>
      <c r="O14" s="100"/>
      <c r="P14" s="100"/>
      <c r="Q14" s="100"/>
      <c r="R14" s="100"/>
      <c r="S14" s="100"/>
      <c r="T14" s="100"/>
      <c r="U14" s="100"/>
      <c r="V14" s="100"/>
      <c r="W14" s="100"/>
      <c r="X14" s="100"/>
      <c r="Y14" s="100"/>
      <c r="Z14" s="100"/>
    </row>
    <row r="15" ht="60.0" customHeight="1">
      <c r="A15" s="100" t="s">
        <v>1078</v>
      </c>
      <c r="B15" s="100" t="s">
        <v>1079</v>
      </c>
      <c r="C15" s="100"/>
      <c r="D15" s="100"/>
      <c r="E15" s="100"/>
      <c r="F15" s="100"/>
      <c r="G15" s="100"/>
      <c r="H15" s="100"/>
      <c r="I15" s="100"/>
      <c r="J15" s="100"/>
      <c r="K15" s="100"/>
      <c r="L15" s="100"/>
      <c r="M15" s="100"/>
      <c r="N15" s="100"/>
      <c r="O15" s="100"/>
      <c r="P15" s="100"/>
      <c r="Q15" s="100"/>
      <c r="R15" s="100"/>
      <c r="S15" s="100"/>
      <c r="T15" s="100"/>
      <c r="U15" s="100"/>
      <c r="V15" s="100"/>
      <c r="W15" s="100"/>
      <c r="X15" s="100"/>
      <c r="Y15" s="100"/>
      <c r="Z15" s="100"/>
    </row>
    <row r="16" ht="59.25" customHeight="1">
      <c r="A16" s="100" t="s">
        <v>1080</v>
      </c>
      <c r="B16" s="100" t="s">
        <v>1081</v>
      </c>
      <c r="C16" s="100"/>
      <c r="D16" s="100"/>
      <c r="E16" s="100"/>
      <c r="F16" s="100"/>
      <c r="G16" s="100"/>
      <c r="H16" s="100"/>
      <c r="I16" s="100"/>
      <c r="J16" s="100"/>
      <c r="K16" s="100"/>
      <c r="L16" s="100"/>
      <c r="M16" s="100"/>
      <c r="N16" s="100"/>
      <c r="O16" s="100"/>
      <c r="P16" s="100"/>
      <c r="Q16" s="100"/>
      <c r="R16" s="100"/>
      <c r="S16" s="100"/>
      <c r="T16" s="100"/>
      <c r="U16" s="100"/>
      <c r="V16" s="100"/>
      <c r="W16" s="100"/>
      <c r="X16" s="100"/>
      <c r="Y16" s="100"/>
      <c r="Z16" s="100"/>
    </row>
    <row r="17">
      <c r="A17" s="103"/>
      <c r="B17" s="103"/>
      <c r="C17" s="100"/>
      <c r="D17" s="100"/>
      <c r="E17" s="100"/>
      <c r="F17" s="100"/>
      <c r="G17" s="100"/>
      <c r="H17" s="100"/>
      <c r="I17" s="100"/>
      <c r="J17" s="100"/>
      <c r="K17" s="100"/>
      <c r="L17" s="100"/>
      <c r="M17" s="100"/>
      <c r="N17" s="100"/>
      <c r="O17" s="100"/>
      <c r="P17" s="100"/>
      <c r="Q17" s="100"/>
      <c r="R17" s="100"/>
      <c r="S17" s="100"/>
      <c r="T17" s="100"/>
      <c r="U17" s="100"/>
      <c r="V17" s="100"/>
      <c r="W17" s="100"/>
      <c r="X17" s="100"/>
      <c r="Y17" s="100"/>
      <c r="Z17" s="100"/>
    </row>
    <row r="18" ht="15.75" customHeight="1">
      <c r="A18" s="101" t="s">
        <v>1082</v>
      </c>
      <c r="B18" s="101" t="s">
        <v>1083</v>
      </c>
      <c r="C18" s="100"/>
      <c r="D18" s="100"/>
      <c r="E18" s="100"/>
      <c r="F18" s="100"/>
      <c r="G18" s="100"/>
      <c r="H18" s="100"/>
      <c r="I18" s="100"/>
      <c r="J18" s="100"/>
      <c r="K18" s="100"/>
      <c r="L18" s="100"/>
      <c r="M18" s="100"/>
      <c r="N18" s="100"/>
      <c r="O18" s="100"/>
      <c r="P18" s="100"/>
      <c r="Q18" s="100"/>
      <c r="R18" s="100"/>
      <c r="S18" s="100"/>
      <c r="T18" s="100"/>
      <c r="U18" s="100"/>
      <c r="V18" s="100"/>
      <c r="W18" s="100"/>
      <c r="X18" s="100"/>
      <c r="Y18" s="100"/>
      <c r="Z18" s="100"/>
    </row>
    <row r="19">
      <c r="A19" s="104" t="s">
        <v>580</v>
      </c>
      <c r="B19" s="101" t="s">
        <v>1084</v>
      </c>
      <c r="C19" s="100"/>
      <c r="D19" s="100"/>
      <c r="E19" s="100"/>
      <c r="F19" s="100"/>
      <c r="G19" s="100"/>
      <c r="H19" s="100"/>
      <c r="I19" s="100"/>
      <c r="J19" s="100"/>
      <c r="K19" s="100"/>
      <c r="L19" s="100"/>
      <c r="M19" s="100"/>
      <c r="N19" s="100"/>
      <c r="O19" s="100"/>
      <c r="P19" s="100"/>
      <c r="Q19" s="100"/>
      <c r="R19" s="100"/>
      <c r="S19" s="100"/>
      <c r="T19" s="100"/>
      <c r="U19" s="100"/>
      <c r="V19" s="100"/>
      <c r="W19" s="100"/>
      <c r="X19" s="100"/>
      <c r="Y19" s="100"/>
      <c r="Z19" s="100"/>
    </row>
    <row r="20" ht="15.75" customHeight="1">
      <c r="A20" s="104" t="s">
        <v>622</v>
      </c>
      <c r="B20" s="101" t="s">
        <v>1085</v>
      </c>
      <c r="C20" s="100"/>
      <c r="D20" s="100"/>
      <c r="E20" s="100"/>
      <c r="F20" s="100"/>
      <c r="G20" s="100"/>
      <c r="H20" s="100"/>
      <c r="I20" s="100"/>
      <c r="J20" s="100"/>
      <c r="K20" s="100"/>
      <c r="L20" s="100"/>
      <c r="M20" s="100"/>
      <c r="N20" s="100"/>
      <c r="O20" s="100"/>
      <c r="P20" s="100"/>
      <c r="Q20" s="100"/>
      <c r="R20" s="100"/>
      <c r="S20" s="100"/>
      <c r="T20" s="100"/>
      <c r="U20" s="100"/>
      <c r="V20" s="100"/>
      <c r="W20" s="100"/>
      <c r="X20" s="100"/>
      <c r="Y20" s="100"/>
      <c r="Z20" s="100"/>
    </row>
    <row r="21" ht="15.75" customHeight="1">
      <c r="A21" s="104" t="s">
        <v>626</v>
      </c>
      <c r="B21" s="101" t="s">
        <v>1086</v>
      </c>
      <c r="C21" s="100"/>
      <c r="D21" s="100"/>
      <c r="E21" s="100"/>
      <c r="F21" s="100"/>
      <c r="G21" s="100"/>
      <c r="H21" s="100"/>
      <c r="I21" s="100"/>
      <c r="J21" s="100"/>
      <c r="K21" s="100"/>
      <c r="L21" s="100"/>
      <c r="M21" s="100"/>
      <c r="N21" s="100"/>
      <c r="O21" s="100"/>
      <c r="P21" s="100"/>
      <c r="Q21" s="100"/>
      <c r="R21" s="100"/>
      <c r="S21" s="100"/>
      <c r="T21" s="100"/>
      <c r="U21" s="100"/>
      <c r="V21" s="100"/>
      <c r="W21" s="100"/>
      <c r="X21" s="100"/>
      <c r="Y21" s="100"/>
      <c r="Z21" s="100"/>
    </row>
    <row r="22" ht="15.75" customHeight="1">
      <c r="A22" s="104" t="s">
        <v>628</v>
      </c>
      <c r="B22" s="101" t="s">
        <v>1087</v>
      </c>
      <c r="C22" s="100"/>
      <c r="D22" s="100"/>
      <c r="E22" s="100"/>
      <c r="F22" s="100"/>
      <c r="G22" s="100"/>
      <c r="H22" s="100"/>
      <c r="I22" s="100"/>
      <c r="J22" s="100"/>
      <c r="K22" s="100"/>
      <c r="L22" s="100"/>
      <c r="M22" s="100"/>
      <c r="N22" s="100"/>
      <c r="O22" s="100"/>
      <c r="P22" s="100"/>
      <c r="Q22" s="100"/>
      <c r="R22" s="100"/>
      <c r="S22" s="100"/>
      <c r="T22" s="100"/>
      <c r="U22" s="100"/>
      <c r="V22" s="100"/>
      <c r="W22" s="100"/>
      <c r="X22" s="100"/>
      <c r="Y22" s="100"/>
      <c r="Z22" s="100"/>
    </row>
    <row r="23" ht="15.75" customHeight="1">
      <c r="A23" s="100"/>
      <c r="B23" s="100"/>
      <c r="C23" s="100"/>
      <c r="D23" s="100"/>
      <c r="E23" s="100"/>
      <c r="F23" s="100"/>
      <c r="G23" s="100"/>
      <c r="H23" s="100"/>
      <c r="I23" s="100"/>
      <c r="J23" s="100"/>
      <c r="K23" s="100"/>
      <c r="L23" s="100"/>
      <c r="M23" s="100"/>
      <c r="N23" s="100"/>
      <c r="O23" s="100"/>
      <c r="P23" s="100"/>
      <c r="Q23" s="100"/>
      <c r="R23" s="100"/>
      <c r="S23" s="100"/>
      <c r="T23" s="100"/>
      <c r="U23" s="100"/>
      <c r="V23" s="100"/>
      <c r="W23" s="100"/>
      <c r="X23" s="100"/>
      <c r="Y23" s="100"/>
      <c r="Z23" s="100"/>
    </row>
    <row r="24" ht="120.75" customHeight="1">
      <c r="A24" s="101" t="s">
        <v>1088</v>
      </c>
      <c r="B24" s="101" t="s">
        <v>1089</v>
      </c>
      <c r="C24" s="100"/>
      <c r="D24" s="100"/>
      <c r="E24" s="100"/>
      <c r="F24" s="100"/>
      <c r="G24" s="100"/>
      <c r="H24" s="100"/>
      <c r="I24" s="100"/>
      <c r="J24" s="100"/>
      <c r="K24" s="100"/>
      <c r="L24" s="100"/>
      <c r="M24" s="100"/>
      <c r="N24" s="100"/>
      <c r="O24" s="100"/>
      <c r="P24" s="100"/>
      <c r="Q24" s="100"/>
      <c r="R24" s="100"/>
      <c r="S24" s="100"/>
      <c r="T24" s="100"/>
      <c r="U24" s="100"/>
      <c r="V24" s="100"/>
      <c r="W24" s="100"/>
      <c r="X24" s="100"/>
      <c r="Y24" s="100"/>
      <c r="Z24" s="100"/>
    </row>
    <row r="25" ht="99.75" customHeight="1">
      <c r="A25" s="101" t="s">
        <v>1090</v>
      </c>
      <c r="B25" s="101" t="s">
        <v>1091</v>
      </c>
      <c r="C25" s="100"/>
      <c r="D25" s="100"/>
      <c r="E25" s="100"/>
      <c r="F25" s="100"/>
      <c r="G25" s="100"/>
      <c r="H25" s="100"/>
      <c r="I25" s="100"/>
      <c r="J25" s="100"/>
      <c r="K25" s="100"/>
      <c r="L25" s="100"/>
      <c r="M25" s="100"/>
      <c r="N25" s="100"/>
      <c r="O25" s="100"/>
      <c r="P25" s="100"/>
      <c r="Q25" s="100"/>
      <c r="R25" s="100"/>
      <c r="S25" s="100"/>
      <c r="T25" s="100"/>
      <c r="U25" s="100"/>
      <c r="V25" s="100"/>
      <c r="W25" s="100"/>
      <c r="X25" s="100"/>
      <c r="Y25" s="100"/>
      <c r="Z25" s="100"/>
    </row>
    <row r="26" ht="117.75" customHeight="1">
      <c r="A26" s="101" t="s">
        <v>1092</v>
      </c>
      <c r="B26" s="101" t="s">
        <v>1093</v>
      </c>
      <c r="C26" s="100"/>
      <c r="D26" s="100"/>
      <c r="E26" s="100"/>
      <c r="F26" s="100"/>
      <c r="G26" s="100"/>
      <c r="H26" s="100"/>
      <c r="I26" s="100"/>
      <c r="J26" s="100"/>
      <c r="K26" s="100"/>
      <c r="L26" s="100"/>
      <c r="M26" s="100"/>
      <c r="N26" s="100"/>
      <c r="O26" s="100"/>
      <c r="P26" s="100"/>
      <c r="Q26" s="100"/>
      <c r="R26" s="100"/>
      <c r="S26" s="100"/>
      <c r="T26" s="100"/>
      <c r="U26" s="100"/>
      <c r="V26" s="100"/>
      <c r="W26" s="100"/>
      <c r="X26" s="100"/>
      <c r="Y26" s="100"/>
      <c r="Z26" s="100"/>
    </row>
    <row r="27" ht="106.5" customHeight="1">
      <c r="A27" s="101" t="s">
        <v>1094</v>
      </c>
      <c r="B27" s="101" t="s">
        <v>1095</v>
      </c>
      <c r="C27" s="100"/>
      <c r="D27" s="100"/>
      <c r="E27" s="100"/>
      <c r="F27" s="100"/>
      <c r="G27" s="100"/>
      <c r="H27" s="100"/>
      <c r="I27" s="100"/>
      <c r="J27" s="100"/>
      <c r="K27" s="100"/>
      <c r="L27" s="100"/>
      <c r="M27" s="100"/>
      <c r="N27" s="100"/>
      <c r="O27" s="100"/>
      <c r="P27" s="100"/>
      <c r="Q27" s="100"/>
      <c r="R27" s="100"/>
      <c r="S27" s="100"/>
      <c r="T27" s="100"/>
      <c r="U27" s="100"/>
      <c r="V27" s="100"/>
      <c r="W27" s="100"/>
      <c r="X27" s="100"/>
      <c r="Y27" s="100"/>
      <c r="Z27" s="100"/>
    </row>
    <row r="28" ht="15.75" customHeight="1">
      <c r="A28" s="101"/>
      <c r="B28" s="101"/>
      <c r="C28" s="100"/>
      <c r="D28" s="100"/>
      <c r="E28" s="100"/>
      <c r="F28" s="100"/>
      <c r="G28" s="100"/>
      <c r="H28" s="100"/>
      <c r="I28" s="100"/>
      <c r="J28" s="100"/>
      <c r="K28" s="100"/>
      <c r="L28" s="100"/>
      <c r="M28" s="100"/>
      <c r="N28" s="100"/>
      <c r="O28" s="100"/>
      <c r="P28" s="100"/>
      <c r="Q28" s="100"/>
      <c r="R28" s="100"/>
      <c r="S28" s="100"/>
      <c r="T28" s="100"/>
      <c r="U28" s="100"/>
      <c r="V28" s="100"/>
      <c r="W28" s="100"/>
      <c r="X28" s="100"/>
      <c r="Y28" s="100"/>
      <c r="Z28" s="100"/>
    </row>
    <row r="29" ht="15.75" customHeight="1">
      <c r="A29" s="101"/>
      <c r="B29" s="101"/>
      <c r="C29" s="100"/>
      <c r="D29" s="100"/>
      <c r="E29" s="100"/>
      <c r="F29" s="100"/>
      <c r="G29" s="100"/>
      <c r="H29" s="100"/>
      <c r="I29" s="100"/>
      <c r="J29" s="100"/>
      <c r="K29" s="100"/>
      <c r="L29" s="100"/>
      <c r="M29" s="100"/>
      <c r="N29" s="100"/>
      <c r="O29" s="100"/>
      <c r="P29" s="100"/>
      <c r="Q29" s="100"/>
      <c r="R29" s="100"/>
      <c r="S29" s="100"/>
      <c r="T29" s="100"/>
      <c r="U29" s="100"/>
      <c r="V29" s="100"/>
      <c r="W29" s="100"/>
      <c r="X29" s="100"/>
      <c r="Y29" s="100"/>
      <c r="Z29" s="100"/>
    </row>
    <row r="30" ht="15.75" customHeight="1">
      <c r="A30" s="100"/>
      <c r="B30" s="100"/>
      <c r="C30" s="100"/>
      <c r="D30" s="100"/>
      <c r="E30" s="100"/>
      <c r="F30" s="100"/>
      <c r="G30" s="100"/>
      <c r="H30" s="100"/>
      <c r="I30" s="100"/>
      <c r="J30" s="100"/>
      <c r="K30" s="100"/>
      <c r="L30" s="100"/>
      <c r="M30" s="100"/>
      <c r="N30" s="100"/>
      <c r="O30" s="100"/>
      <c r="P30" s="100"/>
      <c r="Q30" s="100"/>
      <c r="R30" s="100"/>
      <c r="S30" s="100"/>
      <c r="T30" s="100"/>
      <c r="U30" s="100"/>
      <c r="V30" s="100"/>
      <c r="W30" s="100"/>
      <c r="X30" s="100"/>
      <c r="Y30" s="100"/>
      <c r="Z30" s="100"/>
    </row>
    <row r="31" ht="15.75" customHeight="1">
      <c r="A31" s="100"/>
      <c r="B31" s="100"/>
      <c r="C31" s="100"/>
      <c r="D31" s="100"/>
      <c r="E31" s="100"/>
      <c r="F31" s="100"/>
      <c r="G31" s="100"/>
      <c r="H31" s="100"/>
      <c r="I31" s="100"/>
      <c r="J31" s="100"/>
      <c r="K31" s="100"/>
      <c r="L31" s="100"/>
      <c r="M31" s="100"/>
      <c r="N31" s="100"/>
      <c r="O31" s="100"/>
      <c r="P31" s="100"/>
      <c r="Q31" s="100"/>
      <c r="R31" s="100"/>
      <c r="S31" s="100"/>
      <c r="T31" s="100"/>
      <c r="U31" s="100"/>
      <c r="V31" s="100"/>
      <c r="W31" s="100"/>
      <c r="X31" s="100"/>
      <c r="Y31" s="100"/>
      <c r="Z31" s="100"/>
    </row>
    <row r="32" ht="15.75" customHeight="1">
      <c r="A32" s="100"/>
      <c r="B32" s="100"/>
      <c r="C32" s="100"/>
      <c r="D32" s="100"/>
      <c r="E32" s="100"/>
      <c r="F32" s="100"/>
      <c r="G32" s="100"/>
      <c r="H32" s="100"/>
      <c r="I32" s="100"/>
      <c r="J32" s="100"/>
      <c r="K32" s="100"/>
      <c r="L32" s="100"/>
      <c r="M32" s="100"/>
      <c r="N32" s="100"/>
      <c r="O32" s="100"/>
      <c r="P32" s="100"/>
      <c r="Q32" s="100"/>
      <c r="R32" s="100"/>
      <c r="S32" s="100"/>
      <c r="T32" s="100"/>
      <c r="U32" s="100"/>
      <c r="V32" s="100"/>
      <c r="W32" s="100"/>
      <c r="X32" s="100"/>
      <c r="Y32" s="100"/>
      <c r="Z32" s="100"/>
    </row>
    <row r="33" ht="15.75" customHeight="1">
      <c r="A33" s="100"/>
      <c r="B33" s="100"/>
      <c r="C33" s="100"/>
      <c r="D33" s="100"/>
      <c r="E33" s="100"/>
      <c r="F33" s="100"/>
      <c r="G33" s="100"/>
      <c r="H33" s="100"/>
      <c r="I33" s="100"/>
      <c r="J33" s="100"/>
      <c r="K33" s="100"/>
      <c r="L33" s="100"/>
      <c r="M33" s="100"/>
      <c r="N33" s="100"/>
      <c r="O33" s="100"/>
      <c r="P33" s="100"/>
      <c r="Q33" s="100"/>
      <c r="R33" s="100"/>
      <c r="S33" s="100"/>
      <c r="T33" s="100"/>
      <c r="U33" s="100"/>
      <c r="V33" s="100"/>
      <c r="W33" s="100"/>
      <c r="X33" s="100"/>
      <c r="Y33" s="100"/>
      <c r="Z33" s="100"/>
    </row>
    <row r="34" ht="15.75" customHeight="1">
      <c r="A34" s="100"/>
      <c r="B34" s="100"/>
      <c r="C34" s="100"/>
      <c r="D34" s="100"/>
      <c r="E34" s="100"/>
      <c r="F34" s="100"/>
      <c r="G34" s="100"/>
      <c r="H34" s="100"/>
      <c r="I34" s="100"/>
      <c r="J34" s="100"/>
      <c r="K34" s="100"/>
      <c r="L34" s="100"/>
      <c r="M34" s="100"/>
      <c r="N34" s="100"/>
      <c r="O34" s="100"/>
      <c r="P34" s="100"/>
      <c r="Q34" s="100"/>
      <c r="R34" s="100"/>
      <c r="S34" s="100"/>
      <c r="T34" s="100"/>
      <c r="U34" s="100"/>
      <c r="V34" s="100"/>
      <c r="W34" s="100"/>
      <c r="X34" s="100"/>
      <c r="Y34" s="100"/>
      <c r="Z34" s="100"/>
    </row>
    <row r="35" ht="15.75" customHeight="1">
      <c r="A35" s="100"/>
      <c r="B35" s="100"/>
      <c r="C35" s="100"/>
      <c r="D35" s="100"/>
      <c r="E35" s="100"/>
      <c r="F35" s="100"/>
      <c r="G35" s="100"/>
      <c r="H35" s="100"/>
      <c r="I35" s="100"/>
      <c r="J35" s="100"/>
      <c r="K35" s="100"/>
      <c r="L35" s="100"/>
      <c r="M35" s="100"/>
      <c r="N35" s="100"/>
      <c r="O35" s="100"/>
      <c r="P35" s="100"/>
      <c r="Q35" s="100"/>
      <c r="R35" s="100"/>
      <c r="S35" s="100"/>
      <c r="T35" s="100"/>
      <c r="U35" s="100"/>
      <c r="V35" s="100"/>
      <c r="W35" s="100"/>
      <c r="X35" s="100"/>
      <c r="Y35" s="100"/>
      <c r="Z35" s="100"/>
    </row>
    <row r="36" ht="15.75" customHeight="1">
      <c r="A36" s="100"/>
      <c r="B36" s="100"/>
      <c r="C36" s="100"/>
      <c r="D36" s="100"/>
      <c r="E36" s="100"/>
      <c r="F36" s="100"/>
      <c r="G36" s="100"/>
      <c r="H36" s="100"/>
      <c r="I36" s="100"/>
      <c r="J36" s="100"/>
      <c r="K36" s="100"/>
      <c r="L36" s="100"/>
      <c r="M36" s="100"/>
      <c r="N36" s="100"/>
      <c r="O36" s="100"/>
      <c r="P36" s="100"/>
      <c r="Q36" s="100"/>
      <c r="R36" s="100"/>
      <c r="S36" s="100"/>
      <c r="T36" s="100"/>
      <c r="U36" s="100"/>
      <c r="V36" s="100"/>
      <c r="W36" s="100"/>
      <c r="X36" s="100"/>
      <c r="Y36" s="100"/>
      <c r="Z36" s="100"/>
    </row>
    <row r="37" ht="15.75" customHeight="1">
      <c r="A37" s="100"/>
      <c r="B37" s="100"/>
      <c r="C37" s="100"/>
      <c r="D37" s="100"/>
      <c r="E37" s="100"/>
      <c r="F37" s="100"/>
      <c r="G37" s="100"/>
      <c r="H37" s="100"/>
      <c r="I37" s="100"/>
      <c r="J37" s="100"/>
      <c r="K37" s="100"/>
      <c r="L37" s="100"/>
      <c r="M37" s="100"/>
      <c r="N37" s="100"/>
      <c r="O37" s="100"/>
      <c r="P37" s="100"/>
      <c r="Q37" s="100"/>
      <c r="R37" s="100"/>
      <c r="S37" s="100"/>
      <c r="T37" s="100"/>
      <c r="U37" s="100"/>
      <c r="V37" s="100"/>
      <c r="W37" s="100"/>
      <c r="X37" s="100"/>
      <c r="Y37" s="100"/>
      <c r="Z37" s="100"/>
    </row>
    <row r="38" ht="15.75" customHeight="1">
      <c r="A38" s="100"/>
      <c r="B38" s="100"/>
      <c r="C38" s="100"/>
      <c r="D38" s="100"/>
      <c r="E38" s="100"/>
      <c r="F38" s="100"/>
      <c r="G38" s="100"/>
      <c r="H38" s="100"/>
      <c r="I38" s="100"/>
      <c r="J38" s="100"/>
      <c r="K38" s="100"/>
      <c r="L38" s="100"/>
      <c r="M38" s="100"/>
      <c r="N38" s="100"/>
      <c r="O38" s="100"/>
      <c r="P38" s="100"/>
      <c r="Q38" s="100"/>
      <c r="R38" s="100"/>
      <c r="S38" s="100"/>
      <c r="T38" s="100"/>
      <c r="U38" s="100"/>
      <c r="V38" s="100"/>
      <c r="W38" s="100"/>
      <c r="X38" s="100"/>
      <c r="Y38" s="100"/>
      <c r="Z38" s="100"/>
    </row>
    <row r="39" ht="15.75" customHeight="1">
      <c r="A39" s="100"/>
      <c r="B39" s="100"/>
      <c r="C39" s="100"/>
      <c r="D39" s="100"/>
      <c r="E39" s="100"/>
      <c r="F39" s="100"/>
      <c r="G39" s="100"/>
      <c r="H39" s="100"/>
      <c r="I39" s="100"/>
      <c r="J39" s="100"/>
      <c r="K39" s="100"/>
      <c r="L39" s="100"/>
      <c r="M39" s="100"/>
      <c r="N39" s="100"/>
      <c r="O39" s="100"/>
      <c r="P39" s="100"/>
      <c r="Q39" s="100"/>
      <c r="R39" s="100"/>
      <c r="S39" s="100"/>
      <c r="T39" s="100"/>
      <c r="U39" s="100"/>
      <c r="V39" s="100"/>
      <c r="W39" s="100"/>
      <c r="X39" s="100"/>
      <c r="Y39" s="100"/>
      <c r="Z39" s="100"/>
    </row>
    <row r="40" ht="15.75" customHeight="1">
      <c r="A40" s="100"/>
      <c r="B40" s="100"/>
      <c r="C40" s="100"/>
      <c r="D40" s="100"/>
      <c r="E40" s="100"/>
      <c r="F40" s="100"/>
      <c r="G40" s="100"/>
      <c r="H40" s="100"/>
      <c r="I40" s="100"/>
      <c r="J40" s="100"/>
      <c r="K40" s="100"/>
      <c r="L40" s="100"/>
      <c r="M40" s="100"/>
      <c r="N40" s="100"/>
      <c r="O40" s="100"/>
      <c r="P40" s="100"/>
      <c r="Q40" s="100"/>
      <c r="R40" s="100"/>
      <c r="S40" s="100"/>
      <c r="T40" s="100"/>
      <c r="U40" s="100"/>
      <c r="V40" s="100"/>
      <c r="W40" s="100"/>
      <c r="X40" s="100"/>
      <c r="Y40" s="100"/>
      <c r="Z40" s="100"/>
    </row>
    <row r="41" ht="15.75" customHeight="1">
      <c r="A41" s="100"/>
      <c r="B41" s="100"/>
      <c r="C41" s="100"/>
      <c r="D41" s="100"/>
      <c r="E41" s="100"/>
      <c r="F41" s="100"/>
      <c r="G41" s="100"/>
      <c r="H41" s="100"/>
      <c r="I41" s="100"/>
      <c r="J41" s="100"/>
      <c r="K41" s="100"/>
      <c r="L41" s="100"/>
      <c r="M41" s="100"/>
      <c r="N41" s="100"/>
      <c r="O41" s="100"/>
      <c r="P41" s="100"/>
      <c r="Q41" s="100"/>
      <c r="R41" s="100"/>
      <c r="S41" s="100"/>
      <c r="T41" s="100"/>
      <c r="U41" s="100"/>
      <c r="V41" s="100"/>
      <c r="W41" s="100"/>
      <c r="X41" s="100"/>
      <c r="Y41" s="100"/>
      <c r="Z41" s="100"/>
    </row>
    <row r="42" ht="15.75" customHeight="1">
      <c r="A42" s="100"/>
      <c r="B42" s="100"/>
      <c r="C42" s="100"/>
      <c r="D42" s="100"/>
      <c r="E42" s="100"/>
      <c r="F42" s="100"/>
      <c r="G42" s="100"/>
      <c r="H42" s="100"/>
      <c r="I42" s="100"/>
      <c r="J42" s="100"/>
      <c r="K42" s="100"/>
      <c r="L42" s="100"/>
      <c r="M42" s="100"/>
      <c r="N42" s="100"/>
      <c r="O42" s="100"/>
      <c r="P42" s="100"/>
      <c r="Q42" s="100"/>
      <c r="R42" s="100"/>
      <c r="S42" s="100"/>
      <c r="T42" s="100"/>
      <c r="U42" s="100"/>
      <c r="V42" s="100"/>
      <c r="W42" s="100"/>
      <c r="X42" s="100"/>
      <c r="Y42" s="100"/>
      <c r="Z42" s="100"/>
    </row>
    <row r="43" ht="15.75" customHeight="1">
      <c r="A43" s="100"/>
      <c r="B43" s="100"/>
      <c r="C43" s="100"/>
      <c r="D43" s="100"/>
      <c r="E43" s="100"/>
      <c r="F43" s="100"/>
      <c r="G43" s="100"/>
      <c r="H43" s="100"/>
      <c r="I43" s="100"/>
      <c r="J43" s="100"/>
      <c r="K43" s="100"/>
      <c r="L43" s="100"/>
      <c r="M43" s="100"/>
      <c r="N43" s="100"/>
      <c r="O43" s="100"/>
      <c r="P43" s="100"/>
      <c r="Q43" s="100"/>
      <c r="R43" s="100"/>
      <c r="S43" s="100"/>
      <c r="T43" s="100"/>
      <c r="U43" s="100"/>
      <c r="V43" s="100"/>
      <c r="W43" s="100"/>
      <c r="X43" s="100"/>
      <c r="Y43" s="100"/>
      <c r="Z43" s="100"/>
    </row>
    <row r="44" ht="15.75" customHeight="1">
      <c r="A44" s="100"/>
      <c r="B44" s="100"/>
      <c r="C44" s="100"/>
      <c r="D44" s="100"/>
      <c r="E44" s="100"/>
      <c r="F44" s="100"/>
      <c r="G44" s="100"/>
      <c r="H44" s="100"/>
      <c r="I44" s="100"/>
      <c r="J44" s="100"/>
      <c r="K44" s="100"/>
      <c r="L44" s="100"/>
      <c r="M44" s="100"/>
      <c r="N44" s="100"/>
      <c r="O44" s="100"/>
      <c r="P44" s="100"/>
      <c r="Q44" s="100"/>
      <c r="R44" s="100"/>
      <c r="S44" s="100"/>
      <c r="T44" s="100"/>
      <c r="U44" s="100"/>
      <c r="V44" s="100"/>
      <c r="W44" s="100"/>
      <c r="X44" s="100"/>
      <c r="Y44" s="100"/>
      <c r="Z44" s="100"/>
    </row>
    <row r="45" ht="15.75" customHeight="1">
      <c r="A45" s="100"/>
      <c r="B45" s="100"/>
      <c r="C45" s="100"/>
      <c r="D45" s="100"/>
      <c r="E45" s="100"/>
      <c r="F45" s="100"/>
      <c r="G45" s="100"/>
      <c r="H45" s="100"/>
      <c r="I45" s="100"/>
      <c r="J45" s="100"/>
      <c r="K45" s="100"/>
      <c r="L45" s="100"/>
      <c r="M45" s="100"/>
      <c r="N45" s="100"/>
      <c r="O45" s="100"/>
      <c r="P45" s="100"/>
      <c r="Q45" s="100"/>
      <c r="R45" s="100"/>
      <c r="S45" s="100"/>
      <c r="T45" s="100"/>
      <c r="U45" s="100"/>
      <c r="V45" s="100"/>
      <c r="W45" s="100"/>
      <c r="X45" s="100"/>
      <c r="Y45" s="100"/>
      <c r="Z45" s="100"/>
    </row>
    <row r="46" ht="15.75" customHeight="1">
      <c r="A46" s="100"/>
      <c r="B46" s="100"/>
      <c r="C46" s="100"/>
      <c r="D46" s="100"/>
      <c r="E46" s="100"/>
      <c r="F46" s="100"/>
      <c r="G46" s="100"/>
      <c r="H46" s="100"/>
      <c r="I46" s="100"/>
      <c r="J46" s="100"/>
      <c r="K46" s="100"/>
      <c r="L46" s="100"/>
      <c r="M46" s="100"/>
      <c r="N46" s="100"/>
      <c r="O46" s="100"/>
      <c r="P46" s="100"/>
      <c r="Q46" s="100"/>
      <c r="R46" s="100"/>
      <c r="S46" s="100"/>
      <c r="T46" s="100"/>
      <c r="U46" s="100"/>
      <c r="V46" s="100"/>
      <c r="W46" s="100"/>
      <c r="X46" s="100"/>
      <c r="Y46" s="100"/>
      <c r="Z46" s="100"/>
    </row>
    <row r="47" ht="15.75" customHeight="1">
      <c r="A47" s="100"/>
      <c r="B47" s="100"/>
      <c r="C47" s="100"/>
      <c r="D47" s="100"/>
      <c r="E47" s="100"/>
      <c r="F47" s="100"/>
      <c r="G47" s="100"/>
      <c r="H47" s="100"/>
      <c r="I47" s="100"/>
      <c r="J47" s="100"/>
      <c r="K47" s="100"/>
      <c r="L47" s="100"/>
      <c r="M47" s="100"/>
      <c r="N47" s="100"/>
      <c r="O47" s="100"/>
      <c r="P47" s="100"/>
      <c r="Q47" s="100"/>
      <c r="R47" s="100"/>
      <c r="S47" s="100"/>
      <c r="T47" s="100"/>
      <c r="U47" s="100"/>
      <c r="V47" s="100"/>
      <c r="W47" s="100"/>
      <c r="X47" s="100"/>
      <c r="Y47" s="100"/>
      <c r="Z47" s="100"/>
    </row>
    <row r="48" ht="15.75" customHeight="1">
      <c r="A48" s="100"/>
      <c r="B48" s="100"/>
      <c r="C48" s="100"/>
      <c r="D48" s="100"/>
      <c r="E48" s="100"/>
      <c r="F48" s="100"/>
      <c r="G48" s="100"/>
      <c r="H48" s="100"/>
      <c r="I48" s="100"/>
      <c r="J48" s="100"/>
      <c r="K48" s="100"/>
      <c r="L48" s="100"/>
      <c r="M48" s="100"/>
      <c r="N48" s="100"/>
      <c r="O48" s="100"/>
      <c r="P48" s="100"/>
      <c r="Q48" s="100"/>
      <c r="R48" s="100"/>
      <c r="S48" s="100"/>
      <c r="T48" s="100"/>
      <c r="U48" s="100"/>
      <c r="V48" s="100"/>
      <c r="W48" s="100"/>
      <c r="X48" s="100"/>
      <c r="Y48" s="100"/>
      <c r="Z48" s="100"/>
    </row>
    <row r="49" ht="15.75" customHeight="1">
      <c r="A49" s="100"/>
      <c r="B49" s="100"/>
      <c r="C49" s="100"/>
      <c r="D49" s="100"/>
      <c r="E49" s="100"/>
      <c r="F49" s="100"/>
      <c r="G49" s="100"/>
      <c r="H49" s="100"/>
      <c r="I49" s="100"/>
      <c r="J49" s="100"/>
      <c r="K49" s="100"/>
      <c r="L49" s="100"/>
      <c r="M49" s="100"/>
      <c r="N49" s="100"/>
      <c r="O49" s="100"/>
      <c r="P49" s="100"/>
      <c r="Q49" s="100"/>
      <c r="R49" s="100"/>
      <c r="S49" s="100"/>
      <c r="T49" s="100"/>
      <c r="U49" s="100"/>
      <c r="V49" s="100"/>
      <c r="W49" s="100"/>
      <c r="X49" s="100"/>
      <c r="Y49" s="100"/>
      <c r="Z49" s="100"/>
    </row>
    <row r="50" ht="15.75" customHeight="1">
      <c r="A50" s="100"/>
      <c r="B50" s="100"/>
      <c r="C50" s="100"/>
      <c r="D50" s="100"/>
      <c r="E50" s="100"/>
      <c r="F50" s="100"/>
      <c r="G50" s="100"/>
      <c r="H50" s="100"/>
      <c r="I50" s="100"/>
      <c r="J50" s="100"/>
      <c r="K50" s="100"/>
      <c r="L50" s="100"/>
      <c r="M50" s="100"/>
      <c r="N50" s="100"/>
      <c r="O50" s="100"/>
      <c r="P50" s="100"/>
      <c r="Q50" s="100"/>
      <c r="R50" s="100"/>
      <c r="S50" s="100"/>
      <c r="T50" s="100"/>
      <c r="U50" s="100"/>
      <c r="V50" s="100"/>
      <c r="W50" s="100"/>
      <c r="X50" s="100"/>
      <c r="Y50" s="100"/>
      <c r="Z50" s="100"/>
    </row>
    <row r="51" ht="15.75" customHeight="1">
      <c r="A51" s="100"/>
      <c r="B51" s="100"/>
      <c r="C51" s="100"/>
      <c r="D51" s="100"/>
      <c r="E51" s="100"/>
      <c r="F51" s="100"/>
      <c r="G51" s="100"/>
      <c r="H51" s="100"/>
      <c r="I51" s="100"/>
      <c r="J51" s="100"/>
      <c r="K51" s="100"/>
      <c r="L51" s="100"/>
      <c r="M51" s="100"/>
      <c r="N51" s="100"/>
      <c r="O51" s="100"/>
      <c r="P51" s="100"/>
      <c r="Q51" s="100"/>
      <c r="R51" s="100"/>
      <c r="S51" s="100"/>
      <c r="T51" s="100"/>
      <c r="U51" s="100"/>
      <c r="V51" s="100"/>
      <c r="W51" s="100"/>
      <c r="X51" s="100"/>
      <c r="Y51" s="100"/>
      <c r="Z51" s="100"/>
    </row>
    <row r="52" ht="15.75" customHeight="1">
      <c r="A52" s="100"/>
      <c r="B52" s="101"/>
      <c r="C52" s="100"/>
      <c r="D52" s="100"/>
      <c r="E52" s="100"/>
      <c r="F52" s="100"/>
      <c r="G52" s="100"/>
      <c r="H52" s="100"/>
      <c r="I52" s="100"/>
      <c r="J52" s="100"/>
      <c r="K52" s="100"/>
      <c r="L52" s="100"/>
      <c r="M52" s="100"/>
      <c r="N52" s="100"/>
      <c r="O52" s="100"/>
      <c r="P52" s="100"/>
      <c r="Q52" s="100"/>
      <c r="R52" s="100"/>
      <c r="S52" s="100"/>
      <c r="T52" s="100"/>
      <c r="U52" s="100"/>
      <c r="V52" s="100"/>
      <c r="W52" s="100"/>
      <c r="X52" s="100"/>
      <c r="Y52" s="100"/>
      <c r="Z52" s="100"/>
    </row>
    <row r="53" ht="15.75" customHeight="1">
      <c r="A53" s="100"/>
      <c r="B53" s="100"/>
      <c r="C53" s="100"/>
      <c r="D53" s="100"/>
      <c r="E53" s="100"/>
      <c r="F53" s="100"/>
      <c r="G53" s="100"/>
      <c r="H53" s="100"/>
      <c r="I53" s="100"/>
      <c r="J53" s="100"/>
      <c r="K53" s="100"/>
      <c r="L53" s="100"/>
      <c r="M53" s="100"/>
      <c r="N53" s="100"/>
      <c r="O53" s="100"/>
      <c r="P53" s="100"/>
      <c r="Q53" s="100"/>
      <c r="R53" s="100"/>
      <c r="S53" s="100"/>
      <c r="T53" s="100"/>
      <c r="U53" s="100"/>
      <c r="V53" s="100"/>
      <c r="W53" s="100"/>
      <c r="X53" s="100"/>
      <c r="Y53" s="100"/>
      <c r="Z53" s="100"/>
    </row>
    <row r="54" ht="15.75" customHeight="1">
      <c r="A54" s="100"/>
      <c r="B54" s="100"/>
      <c r="C54" s="100"/>
      <c r="D54" s="100"/>
      <c r="E54" s="100"/>
      <c r="F54" s="100"/>
      <c r="G54" s="100"/>
      <c r="H54" s="100"/>
      <c r="I54" s="100"/>
      <c r="J54" s="100"/>
      <c r="K54" s="100"/>
      <c r="L54" s="100"/>
      <c r="M54" s="100"/>
      <c r="N54" s="100"/>
      <c r="O54" s="100"/>
      <c r="P54" s="100"/>
      <c r="Q54" s="100"/>
      <c r="R54" s="100"/>
      <c r="S54" s="100"/>
      <c r="T54" s="100"/>
      <c r="U54" s="100"/>
      <c r="V54" s="100"/>
      <c r="W54" s="100"/>
      <c r="X54" s="100"/>
      <c r="Y54" s="100"/>
      <c r="Z54" s="100"/>
    </row>
    <row r="55" ht="15.75" customHeight="1">
      <c r="A55" s="100"/>
      <c r="B55" s="100"/>
      <c r="C55" s="100"/>
      <c r="D55" s="100"/>
      <c r="E55" s="100"/>
      <c r="F55" s="100"/>
      <c r="G55" s="100"/>
      <c r="H55" s="100"/>
      <c r="I55" s="100"/>
      <c r="J55" s="100"/>
      <c r="K55" s="100"/>
      <c r="L55" s="100"/>
      <c r="M55" s="100"/>
      <c r="N55" s="100"/>
      <c r="O55" s="100"/>
      <c r="P55" s="100"/>
      <c r="Q55" s="100"/>
      <c r="R55" s="100"/>
      <c r="S55" s="100"/>
      <c r="T55" s="100"/>
      <c r="U55" s="100"/>
      <c r="V55" s="100"/>
      <c r="W55" s="100"/>
      <c r="X55" s="100"/>
      <c r="Y55" s="100"/>
      <c r="Z55" s="100"/>
    </row>
    <row r="56" ht="15.75" customHeight="1">
      <c r="A56" s="100"/>
      <c r="B56" s="100"/>
      <c r="C56" s="100"/>
      <c r="D56" s="100"/>
      <c r="E56" s="100"/>
      <c r="F56" s="100"/>
      <c r="G56" s="100"/>
      <c r="H56" s="100"/>
      <c r="I56" s="100"/>
      <c r="J56" s="100"/>
      <c r="K56" s="100"/>
      <c r="L56" s="100"/>
      <c r="M56" s="100"/>
      <c r="N56" s="100"/>
      <c r="O56" s="100"/>
      <c r="P56" s="100"/>
      <c r="Q56" s="100"/>
      <c r="R56" s="100"/>
      <c r="S56" s="100"/>
      <c r="T56" s="100"/>
      <c r="U56" s="100"/>
      <c r="V56" s="100"/>
      <c r="W56" s="100"/>
      <c r="X56" s="100"/>
      <c r="Y56" s="100"/>
      <c r="Z56" s="100"/>
    </row>
    <row r="57" ht="15.75" customHeight="1">
      <c r="A57" s="100"/>
      <c r="B57" s="100"/>
      <c r="C57" s="100"/>
      <c r="D57" s="100"/>
      <c r="E57" s="100"/>
      <c r="F57" s="100"/>
      <c r="G57" s="100"/>
      <c r="H57" s="100"/>
      <c r="I57" s="100"/>
      <c r="J57" s="100"/>
      <c r="K57" s="100"/>
      <c r="L57" s="100"/>
      <c r="M57" s="100"/>
      <c r="N57" s="100"/>
      <c r="O57" s="100"/>
      <c r="P57" s="100"/>
      <c r="Q57" s="100"/>
      <c r="R57" s="100"/>
      <c r="S57" s="100"/>
      <c r="T57" s="100"/>
      <c r="U57" s="100"/>
      <c r="V57" s="100"/>
      <c r="W57" s="100"/>
      <c r="X57" s="100"/>
      <c r="Y57" s="100"/>
      <c r="Z57" s="100"/>
    </row>
    <row r="58" ht="15.75" customHeight="1">
      <c r="A58" s="100"/>
      <c r="B58" s="100"/>
      <c r="C58" s="100"/>
      <c r="D58" s="100"/>
      <c r="E58" s="100"/>
      <c r="F58" s="100"/>
      <c r="G58" s="100"/>
      <c r="H58" s="100"/>
      <c r="I58" s="100"/>
      <c r="J58" s="100"/>
      <c r="K58" s="100"/>
      <c r="L58" s="100"/>
      <c r="M58" s="100"/>
      <c r="N58" s="100"/>
      <c r="O58" s="100"/>
      <c r="P58" s="100"/>
      <c r="Q58" s="100"/>
      <c r="R58" s="100"/>
      <c r="S58" s="100"/>
      <c r="T58" s="100"/>
      <c r="U58" s="100"/>
      <c r="V58" s="100"/>
      <c r="W58" s="100"/>
      <c r="X58" s="100"/>
      <c r="Y58" s="100"/>
      <c r="Z58" s="100"/>
    </row>
    <row r="59" ht="15.75" customHeight="1">
      <c r="A59" s="100"/>
      <c r="B59" s="100"/>
      <c r="C59" s="100"/>
      <c r="D59" s="100"/>
      <c r="E59" s="100"/>
      <c r="F59" s="100"/>
      <c r="G59" s="100"/>
      <c r="H59" s="100"/>
      <c r="I59" s="100"/>
      <c r="J59" s="100"/>
      <c r="K59" s="100"/>
      <c r="L59" s="100"/>
      <c r="M59" s="100"/>
      <c r="N59" s="100"/>
      <c r="O59" s="100"/>
      <c r="P59" s="100"/>
      <c r="Q59" s="100"/>
      <c r="R59" s="100"/>
      <c r="S59" s="100"/>
      <c r="T59" s="100"/>
      <c r="U59" s="100"/>
      <c r="V59" s="100"/>
      <c r="W59" s="100"/>
      <c r="X59" s="100"/>
      <c r="Y59" s="100"/>
      <c r="Z59" s="100"/>
    </row>
    <row r="60" ht="15.75" customHeight="1">
      <c r="A60" s="100"/>
      <c r="B60" s="100"/>
      <c r="C60" s="100"/>
      <c r="D60" s="100"/>
      <c r="E60" s="100"/>
      <c r="F60" s="100"/>
      <c r="G60" s="100"/>
      <c r="H60" s="100"/>
      <c r="I60" s="100"/>
      <c r="J60" s="100"/>
      <c r="K60" s="100"/>
      <c r="L60" s="100"/>
      <c r="M60" s="100"/>
      <c r="N60" s="100"/>
      <c r="O60" s="100"/>
      <c r="P60" s="100"/>
      <c r="Q60" s="100"/>
      <c r="R60" s="100"/>
      <c r="S60" s="100"/>
      <c r="T60" s="100"/>
      <c r="U60" s="100"/>
      <c r="V60" s="100"/>
      <c r="W60" s="100"/>
      <c r="X60" s="100"/>
      <c r="Y60" s="100"/>
      <c r="Z60" s="100"/>
    </row>
    <row r="61" ht="15.75" customHeight="1">
      <c r="A61" s="100"/>
      <c r="B61" s="100"/>
      <c r="C61" s="100"/>
      <c r="D61" s="100"/>
      <c r="E61" s="100"/>
      <c r="F61" s="100"/>
      <c r="G61" s="100"/>
      <c r="H61" s="100"/>
      <c r="I61" s="100"/>
      <c r="J61" s="100"/>
      <c r="K61" s="100"/>
      <c r="L61" s="100"/>
      <c r="M61" s="100"/>
      <c r="N61" s="100"/>
      <c r="O61" s="100"/>
      <c r="P61" s="100"/>
      <c r="Q61" s="100"/>
      <c r="R61" s="100"/>
      <c r="S61" s="100"/>
      <c r="T61" s="100"/>
      <c r="U61" s="100"/>
      <c r="V61" s="100"/>
      <c r="W61" s="100"/>
      <c r="X61" s="100"/>
      <c r="Y61" s="100"/>
      <c r="Z61" s="100"/>
    </row>
    <row r="62" ht="15.75" customHeight="1">
      <c r="A62" s="100"/>
      <c r="B62" s="100"/>
      <c r="C62" s="100"/>
      <c r="D62" s="100"/>
      <c r="E62" s="100"/>
      <c r="F62" s="100"/>
      <c r="G62" s="100"/>
      <c r="H62" s="100"/>
      <c r="I62" s="100"/>
      <c r="J62" s="100"/>
      <c r="K62" s="100"/>
      <c r="L62" s="100"/>
      <c r="M62" s="100"/>
      <c r="N62" s="100"/>
      <c r="O62" s="100"/>
      <c r="P62" s="100"/>
      <c r="Q62" s="100"/>
      <c r="R62" s="100"/>
      <c r="S62" s="100"/>
      <c r="T62" s="100"/>
      <c r="U62" s="100"/>
      <c r="V62" s="100"/>
      <c r="W62" s="100"/>
      <c r="X62" s="100"/>
      <c r="Y62" s="100"/>
      <c r="Z62" s="100"/>
    </row>
    <row r="63" ht="15.75" customHeight="1">
      <c r="A63" s="100"/>
      <c r="B63" s="100"/>
      <c r="C63" s="100"/>
      <c r="D63" s="100"/>
      <c r="E63" s="100"/>
      <c r="F63" s="100"/>
      <c r="G63" s="100"/>
      <c r="H63" s="100"/>
      <c r="I63" s="100"/>
      <c r="J63" s="100"/>
      <c r="K63" s="100"/>
      <c r="L63" s="100"/>
      <c r="M63" s="100"/>
      <c r="N63" s="100"/>
      <c r="O63" s="100"/>
      <c r="P63" s="100"/>
      <c r="Q63" s="100"/>
      <c r="R63" s="100"/>
      <c r="S63" s="100"/>
      <c r="T63" s="100"/>
      <c r="U63" s="100"/>
      <c r="V63" s="100"/>
      <c r="W63" s="100"/>
      <c r="X63" s="100"/>
      <c r="Y63" s="100"/>
      <c r="Z63" s="100"/>
    </row>
    <row r="64" ht="15.75" customHeight="1">
      <c r="A64" s="100"/>
      <c r="B64" s="100"/>
      <c r="C64" s="100"/>
      <c r="D64" s="100"/>
      <c r="E64" s="100"/>
      <c r="F64" s="100"/>
      <c r="G64" s="100"/>
      <c r="H64" s="100"/>
      <c r="I64" s="100"/>
      <c r="J64" s="100"/>
      <c r="K64" s="100"/>
      <c r="L64" s="100"/>
      <c r="M64" s="100"/>
      <c r="N64" s="100"/>
      <c r="O64" s="100"/>
      <c r="P64" s="100"/>
      <c r="Q64" s="100"/>
      <c r="R64" s="100"/>
      <c r="S64" s="100"/>
      <c r="T64" s="100"/>
      <c r="U64" s="100"/>
      <c r="V64" s="100"/>
      <c r="W64" s="100"/>
      <c r="X64" s="100"/>
      <c r="Y64" s="100"/>
      <c r="Z64" s="100"/>
    </row>
    <row r="65" ht="15.75" customHeight="1">
      <c r="A65" s="100"/>
      <c r="B65" s="100"/>
      <c r="C65" s="100"/>
      <c r="D65" s="100"/>
      <c r="E65" s="100"/>
      <c r="F65" s="100"/>
      <c r="G65" s="100"/>
      <c r="H65" s="100"/>
      <c r="I65" s="100"/>
      <c r="J65" s="100"/>
      <c r="K65" s="100"/>
      <c r="L65" s="100"/>
      <c r="M65" s="100"/>
      <c r="N65" s="100"/>
      <c r="O65" s="100"/>
      <c r="P65" s="100"/>
      <c r="Q65" s="100"/>
      <c r="R65" s="100"/>
      <c r="S65" s="100"/>
      <c r="T65" s="100"/>
      <c r="U65" s="100"/>
      <c r="V65" s="100"/>
      <c r="W65" s="100"/>
      <c r="X65" s="100"/>
      <c r="Y65" s="100"/>
      <c r="Z65" s="100"/>
    </row>
    <row r="66" ht="15.75" customHeight="1">
      <c r="A66" s="100"/>
      <c r="B66" s="100"/>
      <c r="C66" s="100"/>
      <c r="D66" s="100"/>
      <c r="E66" s="100"/>
      <c r="F66" s="100"/>
      <c r="G66" s="100"/>
      <c r="H66" s="100"/>
      <c r="I66" s="100"/>
      <c r="J66" s="100"/>
      <c r="K66" s="100"/>
      <c r="L66" s="100"/>
      <c r="M66" s="100"/>
      <c r="N66" s="100"/>
      <c r="O66" s="100"/>
      <c r="P66" s="100"/>
      <c r="Q66" s="100"/>
      <c r="R66" s="100"/>
      <c r="S66" s="100"/>
      <c r="T66" s="100"/>
      <c r="U66" s="100"/>
      <c r="V66" s="100"/>
      <c r="W66" s="100"/>
      <c r="X66" s="100"/>
      <c r="Y66" s="100"/>
      <c r="Z66" s="100"/>
    </row>
    <row r="67" ht="15.75" customHeight="1">
      <c r="A67" s="100"/>
      <c r="B67" s="100"/>
      <c r="C67" s="100"/>
      <c r="D67" s="100"/>
      <c r="E67" s="100"/>
      <c r="F67" s="100"/>
      <c r="G67" s="100"/>
      <c r="H67" s="100"/>
      <c r="I67" s="100"/>
      <c r="J67" s="100"/>
      <c r="K67" s="100"/>
      <c r="L67" s="100"/>
      <c r="M67" s="100"/>
      <c r="N67" s="100"/>
      <c r="O67" s="100"/>
      <c r="P67" s="100"/>
      <c r="Q67" s="100"/>
      <c r="R67" s="100"/>
      <c r="S67" s="100"/>
      <c r="T67" s="100"/>
      <c r="U67" s="100"/>
      <c r="V67" s="100"/>
      <c r="W67" s="100"/>
      <c r="X67" s="100"/>
      <c r="Y67" s="100"/>
      <c r="Z67" s="100"/>
    </row>
    <row r="68" ht="15.75" customHeight="1">
      <c r="A68" s="100"/>
      <c r="B68" s="100"/>
      <c r="C68" s="100"/>
      <c r="D68" s="100"/>
      <c r="E68" s="100"/>
      <c r="F68" s="100"/>
      <c r="G68" s="100"/>
      <c r="H68" s="100"/>
      <c r="I68" s="100"/>
      <c r="J68" s="100"/>
      <c r="K68" s="100"/>
      <c r="L68" s="100"/>
      <c r="M68" s="100"/>
      <c r="N68" s="100"/>
      <c r="O68" s="100"/>
      <c r="P68" s="100"/>
      <c r="Q68" s="100"/>
      <c r="R68" s="100"/>
      <c r="S68" s="100"/>
      <c r="T68" s="100"/>
      <c r="U68" s="100"/>
      <c r="V68" s="100"/>
      <c r="W68" s="100"/>
      <c r="X68" s="100"/>
      <c r="Y68" s="100"/>
      <c r="Z68" s="100"/>
    </row>
    <row r="69" ht="15.75" customHeight="1">
      <c r="A69" s="100"/>
      <c r="B69" s="100"/>
      <c r="C69" s="100"/>
      <c r="D69" s="100"/>
      <c r="E69" s="100"/>
      <c r="F69" s="100"/>
      <c r="G69" s="100"/>
      <c r="H69" s="100"/>
      <c r="I69" s="100"/>
      <c r="J69" s="100"/>
      <c r="K69" s="100"/>
      <c r="L69" s="100"/>
      <c r="M69" s="100"/>
      <c r="N69" s="100"/>
      <c r="O69" s="100"/>
      <c r="P69" s="100"/>
      <c r="Q69" s="100"/>
      <c r="R69" s="100"/>
      <c r="S69" s="100"/>
      <c r="T69" s="100"/>
      <c r="U69" s="100"/>
      <c r="V69" s="100"/>
      <c r="W69" s="100"/>
      <c r="X69" s="100"/>
      <c r="Y69" s="100"/>
      <c r="Z69" s="100"/>
    </row>
    <row r="70" ht="15.75" customHeight="1">
      <c r="A70" s="100"/>
      <c r="B70" s="100"/>
      <c r="C70" s="100"/>
      <c r="D70" s="100"/>
      <c r="E70" s="100"/>
      <c r="F70" s="100"/>
      <c r="G70" s="100"/>
      <c r="H70" s="100"/>
      <c r="I70" s="100"/>
      <c r="J70" s="100"/>
      <c r="K70" s="100"/>
      <c r="L70" s="100"/>
      <c r="M70" s="100"/>
      <c r="N70" s="100"/>
      <c r="O70" s="100"/>
      <c r="P70" s="100"/>
      <c r="Q70" s="100"/>
      <c r="R70" s="100"/>
      <c r="S70" s="100"/>
      <c r="T70" s="100"/>
      <c r="U70" s="100"/>
      <c r="V70" s="100"/>
      <c r="W70" s="100"/>
      <c r="X70" s="100"/>
      <c r="Y70" s="100"/>
      <c r="Z70" s="100"/>
    </row>
    <row r="71" ht="15.75" customHeight="1">
      <c r="A71" s="100"/>
      <c r="B71" s="100"/>
      <c r="C71" s="100"/>
      <c r="D71" s="100"/>
      <c r="E71" s="100"/>
      <c r="F71" s="100"/>
      <c r="G71" s="100"/>
      <c r="H71" s="100"/>
      <c r="I71" s="100"/>
      <c r="J71" s="100"/>
      <c r="K71" s="100"/>
      <c r="L71" s="100"/>
      <c r="M71" s="100"/>
      <c r="N71" s="100"/>
      <c r="O71" s="100"/>
      <c r="P71" s="100"/>
      <c r="Q71" s="100"/>
      <c r="R71" s="100"/>
      <c r="S71" s="100"/>
      <c r="T71" s="100"/>
      <c r="U71" s="100"/>
      <c r="V71" s="100"/>
      <c r="W71" s="100"/>
      <c r="X71" s="100"/>
      <c r="Y71" s="100"/>
      <c r="Z71" s="100"/>
    </row>
    <row r="72" ht="15.75" customHeight="1">
      <c r="A72" s="100"/>
      <c r="B72" s="100"/>
      <c r="C72" s="100"/>
      <c r="D72" s="100"/>
      <c r="E72" s="100"/>
      <c r="F72" s="100"/>
      <c r="G72" s="100"/>
      <c r="H72" s="100"/>
      <c r="I72" s="100"/>
      <c r="J72" s="100"/>
      <c r="K72" s="100"/>
      <c r="L72" s="100"/>
      <c r="M72" s="100"/>
      <c r="N72" s="100"/>
      <c r="O72" s="100"/>
      <c r="P72" s="100"/>
      <c r="Q72" s="100"/>
      <c r="R72" s="100"/>
      <c r="S72" s="100"/>
      <c r="T72" s="100"/>
      <c r="U72" s="100"/>
      <c r="V72" s="100"/>
      <c r="W72" s="100"/>
      <c r="X72" s="100"/>
      <c r="Y72" s="100"/>
      <c r="Z72" s="100"/>
    </row>
    <row r="73" ht="15.75" customHeight="1">
      <c r="A73" s="100"/>
      <c r="B73" s="100"/>
      <c r="C73" s="100"/>
      <c r="D73" s="100"/>
      <c r="E73" s="100"/>
      <c r="F73" s="100"/>
      <c r="G73" s="100"/>
      <c r="H73" s="100"/>
      <c r="I73" s="100"/>
      <c r="J73" s="100"/>
      <c r="K73" s="100"/>
      <c r="L73" s="100"/>
      <c r="M73" s="100"/>
      <c r="N73" s="100"/>
      <c r="O73" s="100"/>
      <c r="P73" s="100"/>
      <c r="Q73" s="100"/>
      <c r="R73" s="100"/>
      <c r="S73" s="100"/>
      <c r="T73" s="100"/>
      <c r="U73" s="100"/>
      <c r="V73" s="100"/>
      <c r="W73" s="100"/>
      <c r="X73" s="100"/>
      <c r="Y73" s="100"/>
      <c r="Z73" s="100"/>
    </row>
    <row r="74" ht="15.75" customHeight="1">
      <c r="A74" s="100"/>
      <c r="B74" s="100"/>
      <c r="C74" s="100"/>
      <c r="D74" s="100"/>
      <c r="E74" s="100"/>
      <c r="F74" s="100"/>
      <c r="G74" s="100"/>
      <c r="H74" s="100"/>
      <c r="I74" s="100"/>
      <c r="J74" s="100"/>
      <c r="K74" s="100"/>
      <c r="L74" s="100"/>
      <c r="M74" s="100"/>
      <c r="N74" s="100"/>
      <c r="O74" s="100"/>
      <c r="P74" s="100"/>
      <c r="Q74" s="100"/>
      <c r="R74" s="100"/>
      <c r="S74" s="100"/>
      <c r="T74" s="100"/>
      <c r="U74" s="100"/>
      <c r="V74" s="100"/>
      <c r="W74" s="100"/>
      <c r="X74" s="100"/>
      <c r="Y74" s="100"/>
      <c r="Z74" s="100"/>
    </row>
    <row r="75" ht="15.75" customHeight="1">
      <c r="A75" s="100"/>
      <c r="B75" s="100"/>
      <c r="C75" s="100"/>
      <c r="D75" s="100"/>
      <c r="E75" s="100"/>
      <c r="F75" s="100"/>
      <c r="G75" s="100"/>
      <c r="H75" s="100"/>
      <c r="I75" s="100"/>
      <c r="J75" s="100"/>
      <c r="K75" s="100"/>
      <c r="L75" s="100"/>
      <c r="M75" s="100"/>
      <c r="N75" s="100"/>
      <c r="O75" s="100"/>
      <c r="P75" s="100"/>
      <c r="Q75" s="100"/>
      <c r="R75" s="100"/>
      <c r="S75" s="100"/>
      <c r="T75" s="100"/>
      <c r="U75" s="100"/>
      <c r="V75" s="100"/>
      <c r="W75" s="100"/>
      <c r="X75" s="100"/>
      <c r="Y75" s="100"/>
      <c r="Z75" s="100"/>
    </row>
    <row r="76" ht="15.75" customHeight="1">
      <c r="A76" s="100"/>
      <c r="B76" s="100"/>
      <c r="C76" s="100"/>
      <c r="D76" s="100"/>
      <c r="E76" s="100"/>
      <c r="F76" s="100"/>
      <c r="G76" s="100"/>
      <c r="H76" s="100"/>
      <c r="I76" s="100"/>
      <c r="J76" s="100"/>
      <c r="K76" s="100"/>
      <c r="L76" s="100"/>
      <c r="M76" s="100"/>
      <c r="N76" s="100"/>
      <c r="O76" s="100"/>
      <c r="P76" s="100"/>
      <c r="Q76" s="100"/>
      <c r="R76" s="100"/>
      <c r="S76" s="100"/>
      <c r="T76" s="100"/>
      <c r="U76" s="100"/>
      <c r="V76" s="100"/>
      <c r="W76" s="100"/>
      <c r="X76" s="100"/>
      <c r="Y76" s="100"/>
      <c r="Z76" s="100"/>
    </row>
    <row r="77" ht="15.75" customHeight="1">
      <c r="A77" s="100"/>
      <c r="B77" s="100"/>
      <c r="C77" s="100"/>
      <c r="D77" s="100"/>
      <c r="E77" s="100"/>
      <c r="F77" s="100"/>
      <c r="G77" s="100"/>
      <c r="H77" s="100"/>
      <c r="I77" s="100"/>
      <c r="J77" s="100"/>
      <c r="K77" s="100"/>
      <c r="L77" s="100"/>
      <c r="M77" s="100"/>
      <c r="N77" s="100"/>
      <c r="O77" s="100"/>
      <c r="P77" s="100"/>
      <c r="Q77" s="100"/>
      <c r="R77" s="100"/>
      <c r="S77" s="100"/>
      <c r="T77" s="100"/>
      <c r="U77" s="100"/>
      <c r="V77" s="100"/>
      <c r="W77" s="100"/>
      <c r="X77" s="100"/>
      <c r="Y77" s="100"/>
      <c r="Z77" s="100"/>
    </row>
    <row r="78" ht="15.75" customHeight="1">
      <c r="A78" s="100"/>
      <c r="B78" s="100"/>
      <c r="C78" s="100"/>
      <c r="D78" s="100"/>
      <c r="E78" s="100"/>
      <c r="F78" s="100"/>
      <c r="G78" s="100"/>
      <c r="H78" s="100"/>
      <c r="I78" s="100"/>
      <c r="J78" s="100"/>
      <c r="K78" s="100"/>
      <c r="L78" s="100"/>
      <c r="M78" s="100"/>
      <c r="N78" s="100"/>
      <c r="O78" s="100"/>
      <c r="P78" s="100"/>
      <c r="Q78" s="100"/>
      <c r="R78" s="100"/>
      <c r="S78" s="100"/>
      <c r="T78" s="100"/>
      <c r="U78" s="100"/>
      <c r="V78" s="100"/>
      <c r="W78" s="100"/>
      <c r="X78" s="100"/>
      <c r="Y78" s="100"/>
      <c r="Z78" s="100"/>
    </row>
    <row r="79" ht="15.75" customHeight="1">
      <c r="A79" s="100"/>
      <c r="B79" s="100"/>
      <c r="C79" s="100"/>
      <c r="D79" s="100"/>
      <c r="E79" s="100"/>
      <c r="F79" s="100"/>
      <c r="G79" s="100"/>
      <c r="H79" s="100"/>
      <c r="I79" s="100"/>
      <c r="J79" s="100"/>
      <c r="K79" s="100"/>
      <c r="L79" s="100"/>
      <c r="M79" s="100"/>
      <c r="N79" s="100"/>
      <c r="O79" s="100"/>
      <c r="P79" s="100"/>
      <c r="Q79" s="100"/>
      <c r="R79" s="100"/>
      <c r="S79" s="100"/>
      <c r="T79" s="100"/>
      <c r="U79" s="100"/>
      <c r="V79" s="100"/>
      <c r="W79" s="100"/>
      <c r="X79" s="100"/>
      <c r="Y79" s="100"/>
      <c r="Z79" s="100"/>
    </row>
    <row r="80" ht="15.75" customHeight="1">
      <c r="A80" s="100"/>
      <c r="B80" s="100"/>
      <c r="C80" s="100"/>
      <c r="D80" s="100"/>
      <c r="E80" s="100"/>
      <c r="F80" s="100"/>
      <c r="G80" s="100"/>
      <c r="H80" s="100"/>
      <c r="I80" s="100"/>
      <c r="J80" s="100"/>
      <c r="K80" s="100"/>
      <c r="L80" s="100"/>
      <c r="M80" s="100"/>
      <c r="N80" s="100"/>
      <c r="O80" s="100"/>
      <c r="P80" s="100"/>
      <c r="Q80" s="100"/>
      <c r="R80" s="100"/>
      <c r="S80" s="100"/>
      <c r="T80" s="100"/>
      <c r="U80" s="100"/>
      <c r="V80" s="100"/>
      <c r="W80" s="100"/>
      <c r="X80" s="100"/>
      <c r="Y80" s="100"/>
      <c r="Z80" s="100"/>
    </row>
    <row r="81" ht="15.75" customHeight="1">
      <c r="A81" s="100"/>
      <c r="B81" s="100"/>
      <c r="C81" s="100"/>
      <c r="D81" s="100"/>
      <c r="E81" s="100"/>
      <c r="F81" s="100"/>
      <c r="G81" s="100"/>
      <c r="H81" s="100"/>
      <c r="I81" s="100"/>
      <c r="J81" s="100"/>
      <c r="K81" s="100"/>
      <c r="L81" s="100"/>
      <c r="M81" s="100"/>
      <c r="N81" s="100"/>
      <c r="O81" s="100"/>
      <c r="P81" s="100"/>
      <c r="Q81" s="100"/>
      <c r="R81" s="100"/>
      <c r="S81" s="100"/>
      <c r="T81" s="100"/>
      <c r="U81" s="100"/>
      <c r="V81" s="100"/>
      <c r="W81" s="100"/>
      <c r="X81" s="100"/>
      <c r="Y81" s="100"/>
      <c r="Z81" s="100"/>
    </row>
    <row r="82" ht="15.75" customHeight="1">
      <c r="A82" s="100"/>
      <c r="B82" s="100"/>
      <c r="C82" s="100"/>
      <c r="D82" s="100"/>
      <c r="E82" s="100"/>
      <c r="F82" s="100"/>
      <c r="G82" s="100"/>
      <c r="H82" s="100"/>
      <c r="I82" s="100"/>
      <c r="J82" s="100"/>
      <c r="K82" s="100"/>
      <c r="L82" s="100"/>
      <c r="M82" s="100"/>
      <c r="N82" s="100"/>
      <c r="O82" s="100"/>
      <c r="P82" s="100"/>
      <c r="Q82" s="100"/>
      <c r="R82" s="100"/>
      <c r="S82" s="100"/>
      <c r="T82" s="100"/>
      <c r="U82" s="100"/>
      <c r="V82" s="100"/>
      <c r="W82" s="100"/>
      <c r="X82" s="100"/>
      <c r="Y82" s="100"/>
      <c r="Z82" s="100"/>
    </row>
    <row r="83" ht="15.75" customHeight="1">
      <c r="A83" s="100"/>
      <c r="B83" s="100"/>
      <c r="C83" s="100"/>
      <c r="D83" s="100"/>
      <c r="E83" s="100"/>
      <c r="F83" s="100"/>
      <c r="G83" s="100"/>
      <c r="H83" s="100"/>
      <c r="I83" s="100"/>
      <c r="J83" s="100"/>
      <c r="K83" s="100"/>
      <c r="L83" s="100"/>
      <c r="M83" s="100"/>
      <c r="N83" s="100"/>
      <c r="O83" s="100"/>
      <c r="P83" s="100"/>
      <c r="Q83" s="100"/>
      <c r="R83" s="100"/>
      <c r="S83" s="100"/>
      <c r="T83" s="100"/>
      <c r="U83" s="100"/>
      <c r="V83" s="100"/>
      <c r="W83" s="100"/>
      <c r="X83" s="100"/>
      <c r="Y83" s="100"/>
      <c r="Z83" s="100"/>
    </row>
    <row r="84" ht="15.75" customHeight="1">
      <c r="A84" s="100"/>
      <c r="B84" s="100"/>
      <c r="C84" s="100"/>
      <c r="D84" s="100"/>
      <c r="E84" s="100"/>
      <c r="F84" s="100"/>
      <c r="G84" s="100"/>
      <c r="H84" s="100"/>
      <c r="I84" s="100"/>
      <c r="J84" s="100"/>
      <c r="K84" s="100"/>
      <c r="L84" s="100"/>
      <c r="M84" s="100"/>
      <c r="N84" s="100"/>
      <c r="O84" s="100"/>
      <c r="P84" s="100"/>
      <c r="Q84" s="100"/>
      <c r="R84" s="100"/>
      <c r="S84" s="100"/>
      <c r="T84" s="100"/>
      <c r="U84" s="100"/>
      <c r="V84" s="100"/>
      <c r="W84" s="100"/>
      <c r="X84" s="100"/>
      <c r="Y84" s="100"/>
      <c r="Z84" s="100"/>
    </row>
    <row r="85" ht="15.75" customHeight="1">
      <c r="A85" s="100"/>
      <c r="B85" s="100"/>
      <c r="C85" s="100"/>
      <c r="D85" s="100"/>
      <c r="E85" s="100"/>
      <c r="F85" s="100"/>
      <c r="G85" s="100"/>
      <c r="H85" s="100"/>
      <c r="I85" s="100"/>
      <c r="J85" s="100"/>
      <c r="K85" s="100"/>
      <c r="L85" s="100"/>
      <c r="M85" s="100"/>
      <c r="N85" s="100"/>
      <c r="O85" s="100"/>
      <c r="P85" s="100"/>
      <c r="Q85" s="100"/>
      <c r="R85" s="100"/>
      <c r="S85" s="100"/>
      <c r="T85" s="100"/>
      <c r="U85" s="100"/>
      <c r="V85" s="100"/>
      <c r="W85" s="100"/>
      <c r="X85" s="100"/>
      <c r="Y85" s="100"/>
      <c r="Z85" s="100"/>
    </row>
    <row r="86" ht="15.75" customHeight="1">
      <c r="A86" s="100"/>
      <c r="B86" s="100"/>
      <c r="C86" s="100"/>
      <c r="D86" s="100"/>
      <c r="E86" s="100"/>
      <c r="F86" s="100"/>
      <c r="G86" s="100"/>
      <c r="H86" s="100"/>
      <c r="I86" s="100"/>
      <c r="J86" s="100"/>
      <c r="K86" s="100"/>
      <c r="L86" s="100"/>
      <c r="M86" s="100"/>
      <c r="N86" s="100"/>
      <c r="O86" s="100"/>
      <c r="P86" s="100"/>
      <c r="Q86" s="100"/>
      <c r="R86" s="100"/>
      <c r="S86" s="100"/>
      <c r="T86" s="100"/>
      <c r="U86" s="100"/>
      <c r="V86" s="100"/>
      <c r="W86" s="100"/>
      <c r="X86" s="100"/>
      <c r="Y86" s="100"/>
      <c r="Z86" s="100"/>
    </row>
    <row r="87" ht="15.75" customHeight="1">
      <c r="A87" s="100"/>
      <c r="B87" s="100"/>
      <c r="C87" s="100"/>
      <c r="D87" s="100"/>
      <c r="E87" s="100"/>
      <c r="F87" s="100"/>
      <c r="G87" s="100"/>
      <c r="H87" s="100"/>
      <c r="I87" s="100"/>
      <c r="J87" s="100"/>
      <c r="K87" s="100"/>
      <c r="L87" s="100"/>
      <c r="M87" s="100"/>
      <c r="N87" s="100"/>
      <c r="O87" s="100"/>
      <c r="P87" s="100"/>
      <c r="Q87" s="100"/>
      <c r="R87" s="100"/>
      <c r="S87" s="100"/>
      <c r="T87" s="100"/>
      <c r="U87" s="100"/>
      <c r="V87" s="100"/>
      <c r="W87" s="100"/>
      <c r="X87" s="100"/>
      <c r="Y87" s="100"/>
      <c r="Z87" s="100"/>
    </row>
    <row r="88" ht="15.75" customHeight="1">
      <c r="A88" s="100"/>
      <c r="B88" s="100"/>
      <c r="C88" s="100"/>
      <c r="D88" s="100"/>
      <c r="E88" s="100"/>
      <c r="F88" s="100"/>
      <c r="G88" s="100"/>
      <c r="H88" s="100"/>
      <c r="I88" s="100"/>
      <c r="J88" s="100"/>
      <c r="K88" s="100"/>
      <c r="L88" s="100"/>
      <c r="M88" s="100"/>
      <c r="N88" s="100"/>
      <c r="O88" s="100"/>
      <c r="P88" s="100"/>
      <c r="Q88" s="100"/>
      <c r="R88" s="100"/>
      <c r="S88" s="100"/>
      <c r="T88" s="100"/>
      <c r="U88" s="100"/>
      <c r="V88" s="100"/>
      <c r="W88" s="100"/>
      <c r="X88" s="100"/>
      <c r="Y88" s="100"/>
      <c r="Z88" s="100"/>
    </row>
    <row r="89" ht="15.75" customHeight="1">
      <c r="A89" s="100"/>
      <c r="B89" s="100"/>
      <c r="C89" s="100"/>
      <c r="D89" s="100"/>
      <c r="E89" s="100"/>
      <c r="F89" s="100"/>
      <c r="G89" s="100"/>
      <c r="H89" s="100"/>
      <c r="I89" s="100"/>
      <c r="J89" s="100"/>
      <c r="K89" s="100"/>
      <c r="L89" s="100"/>
      <c r="M89" s="100"/>
      <c r="N89" s="100"/>
      <c r="O89" s="100"/>
      <c r="P89" s="100"/>
      <c r="Q89" s="100"/>
      <c r="R89" s="100"/>
      <c r="S89" s="100"/>
      <c r="T89" s="100"/>
      <c r="U89" s="100"/>
      <c r="V89" s="100"/>
      <c r="W89" s="100"/>
      <c r="X89" s="100"/>
      <c r="Y89" s="100"/>
      <c r="Z89" s="100"/>
    </row>
    <row r="90" ht="15.75" customHeight="1">
      <c r="A90" s="100"/>
      <c r="B90" s="100"/>
      <c r="C90" s="100"/>
      <c r="D90" s="100"/>
      <c r="E90" s="100"/>
      <c r="F90" s="100"/>
      <c r="G90" s="100"/>
      <c r="H90" s="100"/>
      <c r="I90" s="100"/>
      <c r="J90" s="100"/>
      <c r="K90" s="100"/>
      <c r="L90" s="100"/>
      <c r="M90" s="100"/>
      <c r="N90" s="100"/>
      <c r="O90" s="100"/>
      <c r="P90" s="100"/>
      <c r="Q90" s="100"/>
      <c r="R90" s="100"/>
      <c r="S90" s="100"/>
      <c r="T90" s="100"/>
      <c r="U90" s="100"/>
      <c r="V90" s="100"/>
      <c r="W90" s="100"/>
      <c r="X90" s="100"/>
      <c r="Y90" s="100"/>
      <c r="Z90" s="100"/>
    </row>
    <row r="91" ht="15.75" customHeight="1">
      <c r="A91" s="100"/>
      <c r="B91" s="100"/>
      <c r="C91" s="100"/>
      <c r="D91" s="100"/>
      <c r="E91" s="100"/>
      <c r="F91" s="100"/>
      <c r="G91" s="100"/>
      <c r="H91" s="100"/>
      <c r="I91" s="100"/>
      <c r="J91" s="100"/>
      <c r="K91" s="100"/>
      <c r="L91" s="100"/>
      <c r="M91" s="100"/>
      <c r="N91" s="100"/>
      <c r="O91" s="100"/>
      <c r="P91" s="100"/>
      <c r="Q91" s="100"/>
      <c r="R91" s="100"/>
      <c r="S91" s="100"/>
      <c r="T91" s="100"/>
      <c r="U91" s="100"/>
      <c r="V91" s="100"/>
      <c r="W91" s="100"/>
      <c r="X91" s="100"/>
      <c r="Y91" s="100"/>
      <c r="Z91" s="100"/>
    </row>
    <row r="92" ht="15.75" customHeight="1">
      <c r="A92" s="100"/>
      <c r="B92" s="100"/>
      <c r="C92" s="100"/>
      <c r="D92" s="100"/>
      <c r="E92" s="100"/>
      <c r="F92" s="100"/>
      <c r="G92" s="100"/>
      <c r="H92" s="100"/>
      <c r="I92" s="100"/>
      <c r="J92" s="100"/>
      <c r="K92" s="100"/>
      <c r="L92" s="100"/>
      <c r="M92" s="100"/>
      <c r="N92" s="100"/>
      <c r="O92" s="100"/>
      <c r="P92" s="100"/>
      <c r="Q92" s="100"/>
      <c r="R92" s="100"/>
      <c r="S92" s="100"/>
      <c r="T92" s="100"/>
      <c r="U92" s="100"/>
      <c r="V92" s="100"/>
      <c r="W92" s="100"/>
      <c r="X92" s="100"/>
      <c r="Y92" s="100"/>
      <c r="Z92" s="100"/>
    </row>
    <row r="93" ht="15.75" customHeight="1">
      <c r="A93" s="100"/>
      <c r="B93" s="100"/>
      <c r="C93" s="100"/>
      <c r="D93" s="100"/>
      <c r="E93" s="100"/>
      <c r="F93" s="100"/>
      <c r="G93" s="100"/>
      <c r="H93" s="100"/>
      <c r="I93" s="100"/>
      <c r="J93" s="100"/>
      <c r="K93" s="100"/>
      <c r="L93" s="100"/>
      <c r="M93" s="100"/>
      <c r="N93" s="100"/>
      <c r="O93" s="100"/>
      <c r="P93" s="100"/>
      <c r="Q93" s="100"/>
      <c r="R93" s="100"/>
      <c r="S93" s="100"/>
      <c r="T93" s="100"/>
      <c r="U93" s="100"/>
      <c r="V93" s="100"/>
      <c r="W93" s="100"/>
      <c r="X93" s="100"/>
      <c r="Y93" s="100"/>
      <c r="Z93" s="100"/>
    </row>
    <row r="94" ht="15.75" customHeight="1">
      <c r="A94" s="100"/>
      <c r="B94" s="100"/>
      <c r="C94" s="100"/>
      <c r="D94" s="100"/>
      <c r="E94" s="100"/>
      <c r="F94" s="100"/>
      <c r="G94" s="100"/>
      <c r="H94" s="100"/>
      <c r="I94" s="100"/>
      <c r="J94" s="100"/>
      <c r="K94" s="100"/>
      <c r="L94" s="100"/>
      <c r="M94" s="100"/>
      <c r="N94" s="100"/>
      <c r="O94" s="100"/>
      <c r="P94" s="100"/>
      <c r="Q94" s="100"/>
      <c r="R94" s="100"/>
      <c r="S94" s="100"/>
      <c r="T94" s="100"/>
      <c r="U94" s="100"/>
      <c r="V94" s="100"/>
      <c r="W94" s="100"/>
      <c r="X94" s="100"/>
      <c r="Y94" s="100"/>
      <c r="Z94" s="100"/>
    </row>
    <row r="95" ht="15.75" customHeight="1">
      <c r="A95" s="100"/>
      <c r="B95" s="100"/>
      <c r="C95" s="100"/>
      <c r="D95" s="100"/>
      <c r="E95" s="100"/>
      <c r="F95" s="100"/>
      <c r="G95" s="100"/>
      <c r="H95" s="100"/>
      <c r="I95" s="100"/>
      <c r="J95" s="100"/>
      <c r="K95" s="100"/>
      <c r="L95" s="100"/>
      <c r="M95" s="100"/>
      <c r="N95" s="100"/>
      <c r="O95" s="100"/>
      <c r="P95" s="100"/>
      <c r="Q95" s="100"/>
      <c r="R95" s="100"/>
      <c r="S95" s="100"/>
      <c r="T95" s="100"/>
      <c r="U95" s="100"/>
      <c r="V95" s="100"/>
      <c r="W95" s="100"/>
      <c r="X95" s="100"/>
      <c r="Y95" s="100"/>
      <c r="Z95" s="100"/>
    </row>
    <row r="96" ht="15.75" customHeight="1">
      <c r="A96" s="100"/>
      <c r="B96" s="100"/>
      <c r="C96" s="100"/>
      <c r="D96" s="100"/>
      <c r="E96" s="100"/>
      <c r="F96" s="100"/>
      <c r="G96" s="100"/>
      <c r="H96" s="100"/>
      <c r="I96" s="100"/>
      <c r="J96" s="100"/>
      <c r="K96" s="100"/>
      <c r="L96" s="100"/>
      <c r="M96" s="100"/>
      <c r="N96" s="100"/>
      <c r="O96" s="100"/>
      <c r="P96" s="100"/>
      <c r="Q96" s="100"/>
      <c r="R96" s="100"/>
      <c r="S96" s="100"/>
      <c r="T96" s="100"/>
      <c r="U96" s="100"/>
      <c r="V96" s="100"/>
      <c r="W96" s="100"/>
      <c r="X96" s="100"/>
      <c r="Y96" s="100"/>
      <c r="Z96" s="100"/>
    </row>
    <row r="97" ht="15.75" customHeight="1">
      <c r="A97" s="100"/>
      <c r="B97" s="100"/>
      <c r="C97" s="100"/>
      <c r="D97" s="100"/>
      <c r="E97" s="100"/>
      <c r="F97" s="100"/>
      <c r="G97" s="100"/>
      <c r="H97" s="100"/>
      <c r="I97" s="100"/>
      <c r="J97" s="100"/>
      <c r="K97" s="100"/>
      <c r="L97" s="100"/>
      <c r="M97" s="100"/>
      <c r="N97" s="100"/>
      <c r="O97" s="100"/>
      <c r="P97" s="100"/>
      <c r="Q97" s="100"/>
      <c r="R97" s="100"/>
      <c r="S97" s="100"/>
      <c r="T97" s="100"/>
      <c r="U97" s="100"/>
      <c r="V97" s="100"/>
      <c r="W97" s="100"/>
      <c r="X97" s="100"/>
      <c r="Y97" s="100"/>
      <c r="Z97" s="100"/>
    </row>
    <row r="98" ht="15.75" customHeight="1">
      <c r="A98" s="100"/>
      <c r="B98" s="100"/>
      <c r="C98" s="100"/>
      <c r="D98" s="100"/>
      <c r="E98" s="100"/>
      <c r="F98" s="100"/>
      <c r="G98" s="100"/>
      <c r="H98" s="100"/>
      <c r="I98" s="100"/>
      <c r="J98" s="100"/>
      <c r="K98" s="100"/>
      <c r="L98" s="100"/>
      <c r="M98" s="100"/>
      <c r="N98" s="100"/>
      <c r="O98" s="100"/>
      <c r="P98" s="100"/>
      <c r="Q98" s="100"/>
      <c r="R98" s="100"/>
      <c r="S98" s="100"/>
      <c r="T98" s="100"/>
      <c r="U98" s="100"/>
      <c r="V98" s="100"/>
      <c r="W98" s="100"/>
      <c r="X98" s="100"/>
      <c r="Y98" s="100"/>
      <c r="Z98" s="100"/>
    </row>
    <row r="99" ht="15.75" customHeight="1">
      <c r="A99" s="100"/>
      <c r="B99" s="100"/>
      <c r="C99" s="100"/>
      <c r="D99" s="100"/>
      <c r="E99" s="100"/>
      <c r="F99" s="100"/>
      <c r="G99" s="100"/>
      <c r="H99" s="100"/>
      <c r="I99" s="100"/>
      <c r="J99" s="100"/>
      <c r="K99" s="100"/>
      <c r="L99" s="100"/>
      <c r="M99" s="100"/>
      <c r="N99" s="100"/>
      <c r="O99" s="100"/>
      <c r="P99" s="100"/>
      <c r="Q99" s="100"/>
      <c r="R99" s="100"/>
      <c r="S99" s="100"/>
      <c r="T99" s="100"/>
      <c r="U99" s="100"/>
      <c r="V99" s="100"/>
      <c r="W99" s="100"/>
      <c r="X99" s="100"/>
      <c r="Y99" s="100"/>
      <c r="Z99" s="100"/>
    </row>
    <row r="100" ht="15.75" customHeight="1">
      <c r="A100" s="100"/>
      <c r="B100" s="100"/>
      <c r="C100" s="100"/>
      <c r="D100" s="100"/>
      <c r="E100" s="100"/>
      <c r="F100" s="100"/>
      <c r="G100" s="100"/>
      <c r="H100" s="100"/>
      <c r="I100" s="100"/>
      <c r="J100" s="100"/>
      <c r="K100" s="100"/>
      <c r="L100" s="100"/>
      <c r="M100" s="100"/>
      <c r="N100" s="100"/>
      <c r="O100" s="100"/>
      <c r="P100" s="100"/>
      <c r="Q100" s="100"/>
      <c r="R100" s="100"/>
      <c r="S100" s="100"/>
      <c r="T100" s="100"/>
      <c r="U100" s="100"/>
      <c r="V100" s="100"/>
      <c r="W100" s="100"/>
      <c r="X100" s="100"/>
      <c r="Y100" s="100"/>
      <c r="Z100" s="100"/>
    </row>
    <row r="101" ht="15.75" customHeight="1">
      <c r="A101" s="100"/>
      <c r="B101" s="100"/>
      <c r="C101" s="100"/>
      <c r="D101" s="100"/>
      <c r="E101" s="100"/>
      <c r="F101" s="100"/>
      <c r="G101" s="100"/>
      <c r="H101" s="100"/>
      <c r="I101" s="100"/>
      <c r="J101" s="100"/>
      <c r="K101" s="100"/>
      <c r="L101" s="100"/>
      <c r="M101" s="100"/>
      <c r="N101" s="100"/>
      <c r="O101" s="100"/>
      <c r="P101" s="100"/>
      <c r="Q101" s="100"/>
      <c r="R101" s="100"/>
      <c r="S101" s="100"/>
      <c r="T101" s="100"/>
      <c r="U101" s="100"/>
      <c r="V101" s="100"/>
      <c r="W101" s="100"/>
      <c r="X101" s="100"/>
      <c r="Y101" s="100"/>
      <c r="Z101" s="100"/>
    </row>
    <row r="102" ht="15.75" customHeight="1">
      <c r="A102" s="100"/>
      <c r="B102" s="100"/>
      <c r="C102" s="100"/>
      <c r="D102" s="100"/>
      <c r="E102" s="100"/>
      <c r="F102" s="100"/>
      <c r="G102" s="100"/>
      <c r="H102" s="100"/>
      <c r="I102" s="100"/>
      <c r="J102" s="100"/>
      <c r="K102" s="100"/>
      <c r="L102" s="100"/>
      <c r="M102" s="100"/>
      <c r="N102" s="100"/>
      <c r="O102" s="100"/>
      <c r="P102" s="100"/>
      <c r="Q102" s="100"/>
      <c r="R102" s="100"/>
      <c r="S102" s="100"/>
      <c r="T102" s="100"/>
      <c r="U102" s="100"/>
      <c r="V102" s="100"/>
      <c r="W102" s="100"/>
      <c r="X102" s="100"/>
      <c r="Y102" s="100"/>
      <c r="Z102" s="100"/>
    </row>
    <row r="103" ht="15.75" customHeight="1">
      <c r="A103" s="100"/>
      <c r="B103" s="100"/>
      <c r="C103" s="100"/>
      <c r="D103" s="100"/>
      <c r="E103" s="100"/>
      <c r="F103" s="100"/>
      <c r="G103" s="100"/>
      <c r="H103" s="100"/>
      <c r="I103" s="100"/>
      <c r="J103" s="100"/>
      <c r="K103" s="100"/>
      <c r="L103" s="100"/>
      <c r="M103" s="100"/>
      <c r="N103" s="100"/>
      <c r="O103" s="100"/>
      <c r="P103" s="100"/>
      <c r="Q103" s="100"/>
      <c r="R103" s="100"/>
      <c r="S103" s="100"/>
      <c r="T103" s="100"/>
      <c r="U103" s="100"/>
      <c r="V103" s="100"/>
      <c r="W103" s="100"/>
      <c r="X103" s="100"/>
      <c r="Y103" s="100"/>
      <c r="Z103" s="100"/>
    </row>
    <row r="104" ht="15.75" customHeight="1">
      <c r="A104" s="100"/>
      <c r="B104" s="100"/>
      <c r="C104" s="100"/>
      <c r="D104" s="100"/>
      <c r="E104" s="100"/>
      <c r="F104" s="100"/>
      <c r="G104" s="100"/>
      <c r="H104" s="100"/>
      <c r="I104" s="100"/>
      <c r="J104" s="100"/>
      <c r="K104" s="100"/>
      <c r="L104" s="100"/>
      <c r="M104" s="100"/>
      <c r="N104" s="100"/>
      <c r="O104" s="100"/>
      <c r="P104" s="100"/>
      <c r="Q104" s="100"/>
      <c r="R104" s="100"/>
      <c r="S104" s="100"/>
      <c r="T104" s="100"/>
      <c r="U104" s="100"/>
      <c r="V104" s="100"/>
      <c r="W104" s="100"/>
      <c r="X104" s="100"/>
      <c r="Y104" s="100"/>
      <c r="Z104" s="100"/>
    </row>
    <row r="105" ht="15.75" customHeight="1">
      <c r="A105" s="100"/>
      <c r="B105" s="100"/>
      <c r="C105" s="100"/>
      <c r="D105" s="100"/>
      <c r="E105" s="100"/>
      <c r="F105" s="100"/>
      <c r="G105" s="100"/>
      <c r="H105" s="100"/>
      <c r="I105" s="100"/>
      <c r="J105" s="100"/>
      <c r="K105" s="100"/>
      <c r="L105" s="100"/>
      <c r="M105" s="100"/>
      <c r="N105" s="100"/>
      <c r="O105" s="100"/>
      <c r="P105" s="100"/>
      <c r="Q105" s="100"/>
      <c r="R105" s="100"/>
      <c r="S105" s="100"/>
      <c r="T105" s="100"/>
      <c r="U105" s="100"/>
      <c r="V105" s="100"/>
      <c r="W105" s="100"/>
      <c r="X105" s="100"/>
      <c r="Y105" s="100"/>
      <c r="Z105" s="100"/>
    </row>
    <row r="106" ht="15.75" customHeight="1">
      <c r="A106" s="100"/>
      <c r="B106" s="100"/>
      <c r="C106" s="100"/>
      <c r="D106" s="100"/>
      <c r="E106" s="100"/>
      <c r="F106" s="100"/>
      <c r="G106" s="100"/>
      <c r="H106" s="100"/>
      <c r="I106" s="100"/>
      <c r="J106" s="100"/>
      <c r="K106" s="100"/>
      <c r="L106" s="100"/>
      <c r="M106" s="100"/>
      <c r="N106" s="100"/>
      <c r="O106" s="100"/>
      <c r="P106" s="100"/>
      <c r="Q106" s="100"/>
      <c r="R106" s="100"/>
      <c r="S106" s="100"/>
      <c r="T106" s="100"/>
      <c r="U106" s="100"/>
      <c r="V106" s="100"/>
      <c r="W106" s="100"/>
      <c r="X106" s="100"/>
      <c r="Y106" s="100"/>
      <c r="Z106" s="100"/>
    </row>
    <row r="107" ht="15.75" customHeight="1">
      <c r="A107" s="100"/>
      <c r="B107" s="100"/>
      <c r="C107" s="100"/>
      <c r="D107" s="100"/>
      <c r="E107" s="100"/>
      <c r="F107" s="100"/>
      <c r="G107" s="100"/>
      <c r="H107" s="100"/>
      <c r="I107" s="100"/>
      <c r="J107" s="100"/>
      <c r="K107" s="100"/>
      <c r="L107" s="100"/>
      <c r="M107" s="100"/>
      <c r="N107" s="100"/>
      <c r="O107" s="100"/>
      <c r="P107" s="100"/>
      <c r="Q107" s="100"/>
      <c r="R107" s="100"/>
      <c r="S107" s="100"/>
      <c r="T107" s="100"/>
      <c r="U107" s="100"/>
      <c r="V107" s="100"/>
      <c r="W107" s="100"/>
      <c r="X107" s="100"/>
      <c r="Y107" s="100"/>
      <c r="Z107" s="100"/>
    </row>
    <row r="108" ht="15.75" customHeight="1">
      <c r="A108" s="100"/>
      <c r="B108" s="100"/>
      <c r="C108" s="100"/>
      <c r="D108" s="100"/>
      <c r="E108" s="100"/>
      <c r="F108" s="100"/>
      <c r="G108" s="100"/>
      <c r="H108" s="100"/>
      <c r="I108" s="100"/>
      <c r="J108" s="100"/>
      <c r="K108" s="100"/>
      <c r="L108" s="100"/>
      <c r="M108" s="100"/>
      <c r="N108" s="100"/>
      <c r="O108" s="100"/>
      <c r="P108" s="100"/>
      <c r="Q108" s="100"/>
      <c r="R108" s="100"/>
      <c r="S108" s="100"/>
      <c r="T108" s="100"/>
      <c r="U108" s="100"/>
      <c r="V108" s="100"/>
      <c r="W108" s="100"/>
      <c r="X108" s="100"/>
      <c r="Y108" s="100"/>
      <c r="Z108" s="100"/>
    </row>
    <row r="109" ht="15.75" customHeight="1">
      <c r="A109" s="100"/>
      <c r="B109" s="100"/>
      <c r="C109" s="100"/>
      <c r="D109" s="100"/>
      <c r="E109" s="100"/>
      <c r="F109" s="100"/>
      <c r="G109" s="100"/>
      <c r="H109" s="100"/>
      <c r="I109" s="100"/>
      <c r="J109" s="100"/>
      <c r="K109" s="100"/>
      <c r="L109" s="100"/>
      <c r="M109" s="100"/>
      <c r="N109" s="100"/>
      <c r="O109" s="100"/>
      <c r="P109" s="100"/>
      <c r="Q109" s="100"/>
      <c r="R109" s="100"/>
      <c r="S109" s="100"/>
      <c r="T109" s="100"/>
      <c r="U109" s="100"/>
      <c r="V109" s="100"/>
      <c r="W109" s="100"/>
      <c r="X109" s="100"/>
      <c r="Y109" s="100"/>
      <c r="Z109" s="100"/>
    </row>
    <row r="110" ht="15.75" customHeight="1">
      <c r="A110" s="100"/>
      <c r="B110" s="100"/>
      <c r="C110" s="100"/>
      <c r="D110" s="100"/>
      <c r="E110" s="100"/>
      <c r="F110" s="100"/>
      <c r="G110" s="100"/>
      <c r="H110" s="100"/>
      <c r="I110" s="100"/>
      <c r="J110" s="100"/>
      <c r="K110" s="100"/>
      <c r="L110" s="100"/>
      <c r="M110" s="100"/>
      <c r="N110" s="100"/>
      <c r="O110" s="100"/>
      <c r="P110" s="100"/>
      <c r="Q110" s="100"/>
      <c r="R110" s="100"/>
      <c r="S110" s="100"/>
      <c r="T110" s="100"/>
      <c r="U110" s="100"/>
      <c r="V110" s="100"/>
      <c r="W110" s="100"/>
      <c r="X110" s="100"/>
      <c r="Y110" s="100"/>
      <c r="Z110" s="100"/>
    </row>
    <row r="111" ht="15.75" customHeight="1">
      <c r="A111" s="100"/>
      <c r="B111" s="100"/>
      <c r="C111" s="100"/>
      <c r="D111" s="100"/>
      <c r="E111" s="100"/>
      <c r="F111" s="100"/>
      <c r="G111" s="100"/>
      <c r="H111" s="100"/>
      <c r="I111" s="100"/>
      <c r="J111" s="100"/>
      <c r="K111" s="100"/>
      <c r="L111" s="100"/>
      <c r="M111" s="100"/>
      <c r="N111" s="100"/>
      <c r="O111" s="100"/>
      <c r="P111" s="100"/>
      <c r="Q111" s="100"/>
      <c r="R111" s="100"/>
      <c r="S111" s="100"/>
      <c r="T111" s="100"/>
      <c r="U111" s="100"/>
      <c r="V111" s="100"/>
      <c r="W111" s="100"/>
      <c r="X111" s="100"/>
      <c r="Y111" s="100"/>
      <c r="Z111" s="100"/>
    </row>
    <row r="112" ht="15.75" customHeight="1">
      <c r="A112" s="100"/>
      <c r="B112" s="100"/>
      <c r="C112" s="100"/>
      <c r="D112" s="100"/>
      <c r="E112" s="100"/>
      <c r="F112" s="100"/>
      <c r="G112" s="100"/>
      <c r="H112" s="100"/>
      <c r="I112" s="100"/>
      <c r="J112" s="100"/>
      <c r="K112" s="100"/>
      <c r="L112" s="100"/>
      <c r="M112" s="100"/>
      <c r="N112" s="100"/>
      <c r="O112" s="100"/>
      <c r="P112" s="100"/>
      <c r="Q112" s="100"/>
      <c r="R112" s="100"/>
      <c r="S112" s="100"/>
      <c r="T112" s="100"/>
      <c r="U112" s="100"/>
      <c r="V112" s="100"/>
      <c r="W112" s="100"/>
      <c r="X112" s="100"/>
      <c r="Y112" s="100"/>
      <c r="Z112" s="100"/>
    </row>
    <row r="113" ht="15.75" customHeight="1">
      <c r="A113" s="100"/>
      <c r="B113" s="100"/>
      <c r="C113" s="100"/>
      <c r="D113" s="100"/>
      <c r="E113" s="100"/>
      <c r="F113" s="100"/>
      <c r="G113" s="100"/>
      <c r="H113" s="100"/>
      <c r="I113" s="100"/>
      <c r="J113" s="100"/>
      <c r="K113" s="100"/>
      <c r="L113" s="100"/>
      <c r="M113" s="100"/>
      <c r="N113" s="100"/>
      <c r="O113" s="100"/>
      <c r="P113" s="100"/>
      <c r="Q113" s="100"/>
      <c r="R113" s="100"/>
      <c r="S113" s="100"/>
      <c r="T113" s="100"/>
      <c r="U113" s="100"/>
      <c r="V113" s="100"/>
      <c r="W113" s="100"/>
      <c r="X113" s="100"/>
      <c r="Y113" s="100"/>
      <c r="Z113" s="100"/>
    </row>
    <row r="114" ht="15.75" customHeight="1">
      <c r="A114" s="100"/>
      <c r="B114" s="100"/>
      <c r="C114" s="100"/>
      <c r="D114" s="100"/>
      <c r="E114" s="100"/>
      <c r="F114" s="100"/>
      <c r="G114" s="100"/>
      <c r="H114" s="100"/>
      <c r="I114" s="100"/>
      <c r="J114" s="100"/>
      <c r="K114" s="100"/>
      <c r="L114" s="100"/>
      <c r="M114" s="100"/>
      <c r="N114" s="100"/>
      <c r="O114" s="100"/>
      <c r="P114" s="100"/>
      <c r="Q114" s="100"/>
      <c r="R114" s="100"/>
      <c r="S114" s="100"/>
      <c r="T114" s="100"/>
      <c r="U114" s="100"/>
      <c r="V114" s="100"/>
      <c r="W114" s="100"/>
      <c r="X114" s="100"/>
      <c r="Y114" s="100"/>
      <c r="Z114" s="100"/>
    </row>
    <row r="115" ht="15.75" customHeight="1">
      <c r="A115" s="100"/>
      <c r="B115" s="100"/>
      <c r="C115" s="100"/>
      <c r="D115" s="100"/>
      <c r="E115" s="100"/>
      <c r="F115" s="100"/>
      <c r="G115" s="100"/>
      <c r="H115" s="100"/>
      <c r="I115" s="100"/>
      <c r="J115" s="100"/>
      <c r="K115" s="100"/>
      <c r="L115" s="100"/>
      <c r="M115" s="100"/>
      <c r="N115" s="100"/>
      <c r="O115" s="100"/>
      <c r="P115" s="100"/>
      <c r="Q115" s="100"/>
      <c r="R115" s="100"/>
      <c r="S115" s="100"/>
      <c r="T115" s="100"/>
      <c r="U115" s="100"/>
      <c r="V115" s="100"/>
      <c r="W115" s="100"/>
      <c r="X115" s="100"/>
      <c r="Y115" s="100"/>
      <c r="Z115" s="100"/>
    </row>
    <row r="116" ht="15.75" customHeight="1">
      <c r="A116" s="100"/>
      <c r="B116" s="100"/>
      <c r="C116" s="100"/>
      <c r="D116" s="100"/>
      <c r="E116" s="100"/>
      <c r="F116" s="100"/>
      <c r="G116" s="100"/>
      <c r="H116" s="100"/>
      <c r="I116" s="100"/>
      <c r="J116" s="100"/>
      <c r="K116" s="100"/>
      <c r="L116" s="100"/>
      <c r="M116" s="100"/>
      <c r="N116" s="100"/>
      <c r="O116" s="100"/>
      <c r="P116" s="100"/>
      <c r="Q116" s="100"/>
      <c r="R116" s="100"/>
      <c r="S116" s="100"/>
      <c r="T116" s="100"/>
      <c r="U116" s="100"/>
      <c r="V116" s="100"/>
      <c r="W116" s="100"/>
      <c r="X116" s="100"/>
      <c r="Y116" s="100"/>
      <c r="Z116" s="100"/>
    </row>
    <row r="117" ht="15.75" customHeight="1">
      <c r="A117" s="100"/>
      <c r="B117" s="100"/>
      <c r="C117" s="100"/>
      <c r="D117" s="100"/>
      <c r="E117" s="100"/>
      <c r="F117" s="100"/>
      <c r="G117" s="100"/>
      <c r="H117" s="100"/>
      <c r="I117" s="100"/>
      <c r="J117" s="100"/>
      <c r="K117" s="100"/>
      <c r="L117" s="100"/>
      <c r="M117" s="100"/>
      <c r="N117" s="100"/>
      <c r="O117" s="100"/>
      <c r="P117" s="100"/>
      <c r="Q117" s="100"/>
      <c r="R117" s="100"/>
      <c r="S117" s="100"/>
      <c r="T117" s="100"/>
      <c r="U117" s="100"/>
      <c r="V117" s="100"/>
      <c r="W117" s="100"/>
      <c r="X117" s="100"/>
      <c r="Y117" s="100"/>
      <c r="Z117" s="100"/>
    </row>
    <row r="118" ht="15.75" customHeight="1">
      <c r="A118" s="100"/>
      <c r="B118" s="100"/>
      <c r="C118" s="100"/>
      <c r="D118" s="100"/>
      <c r="E118" s="100"/>
      <c r="F118" s="100"/>
      <c r="G118" s="100"/>
      <c r="H118" s="100"/>
      <c r="I118" s="100"/>
      <c r="J118" s="100"/>
      <c r="K118" s="100"/>
      <c r="L118" s="100"/>
      <c r="M118" s="100"/>
      <c r="N118" s="100"/>
      <c r="O118" s="100"/>
      <c r="P118" s="100"/>
      <c r="Q118" s="100"/>
      <c r="R118" s="100"/>
      <c r="S118" s="100"/>
      <c r="T118" s="100"/>
      <c r="U118" s="100"/>
      <c r="V118" s="100"/>
      <c r="W118" s="100"/>
      <c r="X118" s="100"/>
      <c r="Y118" s="100"/>
      <c r="Z118" s="100"/>
    </row>
    <row r="119" ht="15.75" customHeight="1">
      <c r="A119" s="100"/>
      <c r="B119" s="100"/>
      <c r="C119" s="100"/>
      <c r="D119" s="100"/>
      <c r="E119" s="100"/>
      <c r="F119" s="100"/>
      <c r="G119" s="100"/>
      <c r="H119" s="100"/>
      <c r="I119" s="100"/>
      <c r="J119" s="100"/>
      <c r="K119" s="100"/>
      <c r="L119" s="100"/>
      <c r="M119" s="100"/>
      <c r="N119" s="100"/>
      <c r="O119" s="100"/>
      <c r="P119" s="100"/>
      <c r="Q119" s="100"/>
      <c r="R119" s="100"/>
      <c r="S119" s="100"/>
      <c r="T119" s="100"/>
      <c r="U119" s="100"/>
      <c r="V119" s="100"/>
      <c r="W119" s="100"/>
      <c r="X119" s="100"/>
      <c r="Y119" s="100"/>
      <c r="Z119" s="100"/>
    </row>
    <row r="120" ht="15.75" customHeight="1">
      <c r="A120" s="100"/>
      <c r="B120" s="100"/>
      <c r="C120" s="100"/>
      <c r="D120" s="100"/>
      <c r="E120" s="100"/>
      <c r="F120" s="100"/>
      <c r="G120" s="100"/>
      <c r="H120" s="100"/>
      <c r="I120" s="100"/>
      <c r="J120" s="100"/>
      <c r="K120" s="100"/>
      <c r="L120" s="100"/>
      <c r="M120" s="100"/>
      <c r="N120" s="100"/>
      <c r="O120" s="100"/>
      <c r="P120" s="100"/>
      <c r="Q120" s="100"/>
      <c r="R120" s="100"/>
      <c r="S120" s="100"/>
      <c r="T120" s="100"/>
      <c r="U120" s="100"/>
      <c r="V120" s="100"/>
      <c r="W120" s="100"/>
      <c r="X120" s="100"/>
      <c r="Y120" s="100"/>
      <c r="Z120" s="100"/>
    </row>
    <row r="121" ht="15.75" customHeight="1">
      <c r="A121" s="100"/>
      <c r="B121" s="100"/>
      <c r="C121" s="100"/>
      <c r="D121" s="100"/>
      <c r="E121" s="100"/>
      <c r="F121" s="100"/>
      <c r="G121" s="100"/>
      <c r="H121" s="100"/>
      <c r="I121" s="100"/>
      <c r="J121" s="100"/>
      <c r="K121" s="100"/>
      <c r="L121" s="100"/>
      <c r="M121" s="100"/>
      <c r="N121" s="100"/>
      <c r="O121" s="100"/>
      <c r="P121" s="100"/>
      <c r="Q121" s="100"/>
      <c r="R121" s="100"/>
      <c r="S121" s="100"/>
      <c r="T121" s="100"/>
      <c r="U121" s="100"/>
      <c r="V121" s="100"/>
      <c r="W121" s="100"/>
      <c r="X121" s="100"/>
      <c r="Y121" s="100"/>
      <c r="Z121" s="100"/>
    </row>
    <row r="122" ht="15.75" customHeight="1">
      <c r="A122" s="100"/>
      <c r="B122" s="100"/>
      <c r="C122" s="100"/>
      <c r="D122" s="100"/>
      <c r="E122" s="100"/>
      <c r="F122" s="100"/>
      <c r="G122" s="100"/>
      <c r="H122" s="100"/>
      <c r="I122" s="100"/>
      <c r="J122" s="100"/>
      <c r="K122" s="100"/>
      <c r="L122" s="100"/>
      <c r="M122" s="100"/>
      <c r="N122" s="100"/>
      <c r="O122" s="100"/>
      <c r="P122" s="100"/>
      <c r="Q122" s="100"/>
      <c r="R122" s="100"/>
      <c r="S122" s="100"/>
      <c r="T122" s="100"/>
      <c r="U122" s="100"/>
      <c r="V122" s="100"/>
      <c r="W122" s="100"/>
      <c r="X122" s="100"/>
      <c r="Y122" s="100"/>
      <c r="Z122" s="100"/>
    </row>
    <row r="123" ht="15.75" customHeight="1">
      <c r="A123" s="100"/>
      <c r="B123" s="100"/>
      <c r="C123" s="100"/>
      <c r="D123" s="100"/>
      <c r="E123" s="100"/>
      <c r="F123" s="100"/>
      <c r="G123" s="100"/>
      <c r="H123" s="100"/>
      <c r="I123" s="100"/>
      <c r="J123" s="100"/>
      <c r="K123" s="100"/>
      <c r="L123" s="100"/>
      <c r="M123" s="100"/>
      <c r="N123" s="100"/>
      <c r="O123" s="100"/>
      <c r="P123" s="100"/>
      <c r="Q123" s="100"/>
      <c r="R123" s="100"/>
      <c r="S123" s="100"/>
      <c r="T123" s="100"/>
      <c r="U123" s="100"/>
      <c r="V123" s="100"/>
      <c r="W123" s="100"/>
      <c r="X123" s="100"/>
      <c r="Y123" s="100"/>
      <c r="Z123" s="100"/>
    </row>
    <row r="124" ht="15.75" customHeight="1">
      <c r="A124" s="100"/>
      <c r="B124" s="100"/>
      <c r="C124" s="100"/>
      <c r="D124" s="100"/>
      <c r="E124" s="100"/>
      <c r="F124" s="100"/>
      <c r="G124" s="100"/>
      <c r="H124" s="100"/>
      <c r="I124" s="100"/>
      <c r="J124" s="100"/>
      <c r="K124" s="100"/>
      <c r="L124" s="100"/>
      <c r="M124" s="100"/>
      <c r="N124" s="100"/>
      <c r="O124" s="100"/>
      <c r="P124" s="100"/>
      <c r="Q124" s="100"/>
      <c r="R124" s="100"/>
      <c r="S124" s="100"/>
      <c r="T124" s="100"/>
      <c r="U124" s="100"/>
      <c r="V124" s="100"/>
      <c r="W124" s="100"/>
      <c r="X124" s="100"/>
      <c r="Y124" s="100"/>
      <c r="Z124" s="100"/>
    </row>
    <row r="125" ht="15.75" customHeight="1">
      <c r="A125" s="100"/>
      <c r="B125" s="100"/>
      <c r="C125" s="100"/>
      <c r="D125" s="100"/>
      <c r="E125" s="100"/>
      <c r="F125" s="100"/>
      <c r="G125" s="100"/>
      <c r="H125" s="100"/>
      <c r="I125" s="100"/>
      <c r="J125" s="100"/>
      <c r="K125" s="100"/>
      <c r="L125" s="100"/>
      <c r="M125" s="100"/>
      <c r="N125" s="100"/>
      <c r="O125" s="100"/>
      <c r="P125" s="100"/>
      <c r="Q125" s="100"/>
      <c r="R125" s="100"/>
      <c r="S125" s="100"/>
      <c r="T125" s="100"/>
      <c r="U125" s="100"/>
      <c r="V125" s="100"/>
      <c r="W125" s="100"/>
      <c r="X125" s="100"/>
      <c r="Y125" s="100"/>
      <c r="Z125" s="100"/>
    </row>
    <row r="126" ht="15.75" customHeight="1">
      <c r="A126" s="100"/>
      <c r="B126" s="100"/>
      <c r="C126" s="100"/>
      <c r="D126" s="100"/>
      <c r="E126" s="100"/>
      <c r="F126" s="100"/>
      <c r="G126" s="100"/>
      <c r="H126" s="100"/>
      <c r="I126" s="100"/>
      <c r="J126" s="100"/>
      <c r="K126" s="100"/>
      <c r="L126" s="100"/>
      <c r="M126" s="100"/>
      <c r="N126" s="100"/>
      <c r="O126" s="100"/>
      <c r="P126" s="100"/>
      <c r="Q126" s="100"/>
      <c r="R126" s="100"/>
      <c r="S126" s="100"/>
      <c r="T126" s="100"/>
      <c r="U126" s="100"/>
      <c r="V126" s="100"/>
      <c r="W126" s="100"/>
      <c r="X126" s="100"/>
      <c r="Y126" s="100"/>
      <c r="Z126" s="100"/>
    </row>
    <row r="127" ht="15.75" customHeight="1">
      <c r="A127" s="100"/>
      <c r="B127" s="100"/>
      <c r="C127" s="100"/>
      <c r="D127" s="100"/>
      <c r="E127" s="100"/>
      <c r="F127" s="100"/>
      <c r="G127" s="100"/>
      <c r="H127" s="100"/>
      <c r="I127" s="100"/>
      <c r="J127" s="100"/>
      <c r="K127" s="100"/>
      <c r="L127" s="100"/>
      <c r="M127" s="100"/>
      <c r="N127" s="100"/>
      <c r="O127" s="100"/>
      <c r="P127" s="100"/>
      <c r="Q127" s="100"/>
      <c r="R127" s="100"/>
      <c r="S127" s="100"/>
      <c r="T127" s="100"/>
      <c r="U127" s="100"/>
      <c r="V127" s="100"/>
      <c r="W127" s="100"/>
      <c r="X127" s="100"/>
      <c r="Y127" s="100"/>
      <c r="Z127" s="100"/>
    </row>
    <row r="128" ht="15.75" customHeight="1">
      <c r="A128" s="100"/>
      <c r="B128" s="100"/>
      <c r="C128" s="100"/>
      <c r="D128" s="100"/>
      <c r="E128" s="100"/>
      <c r="F128" s="100"/>
      <c r="G128" s="100"/>
      <c r="H128" s="100"/>
      <c r="I128" s="100"/>
      <c r="J128" s="100"/>
      <c r="K128" s="100"/>
      <c r="L128" s="100"/>
      <c r="M128" s="100"/>
      <c r="N128" s="100"/>
      <c r="O128" s="100"/>
      <c r="P128" s="100"/>
      <c r="Q128" s="100"/>
      <c r="R128" s="100"/>
      <c r="S128" s="100"/>
      <c r="T128" s="100"/>
      <c r="U128" s="100"/>
      <c r="V128" s="100"/>
      <c r="W128" s="100"/>
      <c r="X128" s="100"/>
      <c r="Y128" s="100"/>
      <c r="Z128" s="100"/>
    </row>
    <row r="129" ht="15.75" customHeight="1">
      <c r="A129" s="100"/>
      <c r="B129" s="100"/>
      <c r="C129" s="100"/>
      <c r="D129" s="100"/>
      <c r="E129" s="100"/>
      <c r="F129" s="100"/>
      <c r="G129" s="100"/>
      <c r="H129" s="100"/>
      <c r="I129" s="100"/>
      <c r="J129" s="100"/>
      <c r="K129" s="100"/>
      <c r="L129" s="100"/>
      <c r="M129" s="100"/>
      <c r="N129" s="100"/>
      <c r="O129" s="100"/>
      <c r="P129" s="100"/>
      <c r="Q129" s="100"/>
      <c r="R129" s="100"/>
      <c r="S129" s="100"/>
      <c r="T129" s="100"/>
      <c r="U129" s="100"/>
      <c r="V129" s="100"/>
      <c r="W129" s="100"/>
      <c r="X129" s="100"/>
      <c r="Y129" s="100"/>
      <c r="Z129" s="100"/>
    </row>
    <row r="130" ht="15.75" customHeight="1">
      <c r="A130" s="100"/>
      <c r="B130" s="100"/>
      <c r="C130" s="100"/>
      <c r="D130" s="100"/>
      <c r="E130" s="100"/>
      <c r="F130" s="100"/>
      <c r="G130" s="100"/>
      <c r="H130" s="100"/>
      <c r="I130" s="100"/>
      <c r="J130" s="100"/>
      <c r="K130" s="100"/>
      <c r="L130" s="100"/>
      <c r="M130" s="100"/>
      <c r="N130" s="100"/>
      <c r="O130" s="100"/>
      <c r="P130" s="100"/>
      <c r="Q130" s="100"/>
      <c r="R130" s="100"/>
      <c r="S130" s="100"/>
      <c r="T130" s="100"/>
      <c r="U130" s="100"/>
      <c r="V130" s="100"/>
      <c r="W130" s="100"/>
      <c r="X130" s="100"/>
      <c r="Y130" s="100"/>
      <c r="Z130" s="100"/>
    </row>
    <row r="131" ht="15.75" customHeight="1">
      <c r="A131" s="100"/>
      <c r="B131" s="100"/>
      <c r="C131" s="100"/>
      <c r="D131" s="100"/>
      <c r="E131" s="100"/>
      <c r="F131" s="100"/>
      <c r="G131" s="100"/>
      <c r="H131" s="100"/>
      <c r="I131" s="100"/>
      <c r="J131" s="100"/>
      <c r="K131" s="100"/>
      <c r="L131" s="100"/>
      <c r="M131" s="100"/>
      <c r="N131" s="100"/>
      <c r="O131" s="100"/>
      <c r="P131" s="100"/>
      <c r="Q131" s="100"/>
      <c r="R131" s="100"/>
      <c r="S131" s="100"/>
      <c r="T131" s="100"/>
      <c r="U131" s="100"/>
      <c r="V131" s="100"/>
      <c r="W131" s="100"/>
      <c r="X131" s="100"/>
      <c r="Y131" s="100"/>
      <c r="Z131" s="100"/>
    </row>
    <row r="132" ht="15.75" customHeight="1">
      <c r="A132" s="100"/>
      <c r="B132" s="100"/>
      <c r="C132" s="100"/>
      <c r="D132" s="100"/>
      <c r="E132" s="100"/>
      <c r="F132" s="100"/>
      <c r="G132" s="100"/>
      <c r="H132" s="100"/>
      <c r="I132" s="100"/>
      <c r="J132" s="100"/>
      <c r="K132" s="100"/>
      <c r="L132" s="100"/>
      <c r="M132" s="100"/>
      <c r="N132" s="100"/>
      <c r="O132" s="100"/>
      <c r="P132" s="100"/>
      <c r="Q132" s="100"/>
      <c r="R132" s="100"/>
      <c r="S132" s="100"/>
      <c r="T132" s="100"/>
      <c r="U132" s="100"/>
      <c r="V132" s="100"/>
      <c r="W132" s="100"/>
      <c r="X132" s="100"/>
      <c r="Y132" s="100"/>
      <c r="Z132" s="100"/>
    </row>
    <row r="133" ht="15.75" customHeight="1">
      <c r="A133" s="100"/>
      <c r="B133" s="100"/>
      <c r="C133" s="100"/>
      <c r="D133" s="100"/>
      <c r="E133" s="100"/>
      <c r="F133" s="100"/>
      <c r="G133" s="100"/>
      <c r="H133" s="100"/>
      <c r="I133" s="100"/>
      <c r="J133" s="100"/>
      <c r="K133" s="100"/>
      <c r="L133" s="100"/>
      <c r="M133" s="100"/>
      <c r="N133" s="100"/>
      <c r="O133" s="100"/>
      <c r="P133" s="100"/>
      <c r="Q133" s="100"/>
      <c r="R133" s="100"/>
      <c r="S133" s="100"/>
      <c r="T133" s="100"/>
      <c r="U133" s="100"/>
      <c r="V133" s="100"/>
      <c r="W133" s="100"/>
      <c r="X133" s="100"/>
      <c r="Y133" s="100"/>
      <c r="Z133" s="100"/>
    </row>
    <row r="134" ht="15.75" customHeight="1">
      <c r="A134" s="100"/>
      <c r="B134" s="100"/>
      <c r="C134" s="100"/>
      <c r="D134" s="100"/>
      <c r="E134" s="100"/>
      <c r="F134" s="100"/>
      <c r="G134" s="100"/>
      <c r="H134" s="100"/>
      <c r="I134" s="100"/>
      <c r="J134" s="100"/>
      <c r="K134" s="100"/>
      <c r="L134" s="100"/>
      <c r="M134" s="100"/>
      <c r="N134" s="100"/>
      <c r="O134" s="100"/>
      <c r="P134" s="100"/>
      <c r="Q134" s="100"/>
      <c r="R134" s="100"/>
      <c r="S134" s="100"/>
      <c r="T134" s="100"/>
      <c r="U134" s="100"/>
      <c r="V134" s="100"/>
      <c r="W134" s="100"/>
      <c r="X134" s="100"/>
      <c r="Y134" s="100"/>
      <c r="Z134" s="100"/>
    </row>
    <row r="135" ht="15.75" customHeight="1">
      <c r="A135" s="100"/>
      <c r="B135" s="100"/>
      <c r="C135" s="100"/>
      <c r="D135" s="100"/>
      <c r="E135" s="100"/>
      <c r="F135" s="100"/>
      <c r="G135" s="100"/>
      <c r="H135" s="100"/>
      <c r="I135" s="100"/>
      <c r="J135" s="100"/>
      <c r="K135" s="100"/>
      <c r="L135" s="100"/>
      <c r="M135" s="100"/>
      <c r="N135" s="100"/>
      <c r="O135" s="100"/>
      <c r="P135" s="100"/>
      <c r="Q135" s="100"/>
      <c r="R135" s="100"/>
      <c r="S135" s="100"/>
      <c r="T135" s="100"/>
      <c r="U135" s="100"/>
      <c r="V135" s="100"/>
      <c r="W135" s="100"/>
      <c r="X135" s="100"/>
      <c r="Y135" s="100"/>
      <c r="Z135" s="100"/>
    </row>
    <row r="136" ht="15.75" customHeight="1">
      <c r="A136" s="100"/>
      <c r="B136" s="100"/>
      <c r="C136" s="100"/>
      <c r="D136" s="100"/>
      <c r="E136" s="100"/>
      <c r="F136" s="100"/>
      <c r="G136" s="100"/>
      <c r="H136" s="100"/>
      <c r="I136" s="100"/>
      <c r="J136" s="100"/>
      <c r="K136" s="100"/>
      <c r="L136" s="100"/>
      <c r="M136" s="100"/>
      <c r="N136" s="100"/>
      <c r="O136" s="100"/>
      <c r="P136" s="100"/>
      <c r="Q136" s="100"/>
      <c r="R136" s="100"/>
      <c r="S136" s="100"/>
      <c r="T136" s="100"/>
      <c r="U136" s="100"/>
      <c r="V136" s="100"/>
      <c r="W136" s="100"/>
      <c r="X136" s="100"/>
      <c r="Y136" s="100"/>
      <c r="Z136" s="100"/>
    </row>
    <row r="137" ht="15.75" customHeight="1">
      <c r="A137" s="100"/>
      <c r="B137" s="100"/>
      <c r="C137" s="100"/>
      <c r="D137" s="100"/>
      <c r="E137" s="100"/>
      <c r="F137" s="100"/>
      <c r="G137" s="100"/>
      <c r="H137" s="100"/>
      <c r="I137" s="100"/>
      <c r="J137" s="100"/>
      <c r="K137" s="100"/>
      <c r="L137" s="100"/>
      <c r="M137" s="100"/>
      <c r="N137" s="100"/>
      <c r="O137" s="100"/>
      <c r="P137" s="100"/>
      <c r="Q137" s="100"/>
      <c r="R137" s="100"/>
      <c r="S137" s="100"/>
      <c r="T137" s="100"/>
      <c r="U137" s="100"/>
      <c r="V137" s="100"/>
      <c r="W137" s="100"/>
      <c r="X137" s="100"/>
      <c r="Y137" s="100"/>
      <c r="Z137" s="100"/>
    </row>
    <row r="138" ht="15.75" customHeight="1">
      <c r="A138" s="100"/>
      <c r="B138" s="100"/>
      <c r="C138" s="100"/>
      <c r="D138" s="100"/>
      <c r="E138" s="100"/>
      <c r="F138" s="100"/>
      <c r="G138" s="100"/>
      <c r="H138" s="100"/>
      <c r="I138" s="100"/>
      <c r="J138" s="100"/>
      <c r="K138" s="100"/>
      <c r="L138" s="100"/>
      <c r="M138" s="100"/>
      <c r="N138" s="100"/>
      <c r="O138" s="100"/>
      <c r="P138" s="100"/>
      <c r="Q138" s="100"/>
      <c r="R138" s="100"/>
      <c r="S138" s="100"/>
      <c r="T138" s="100"/>
      <c r="U138" s="100"/>
      <c r="V138" s="100"/>
      <c r="W138" s="100"/>
      <c r="X138" s="100"/>
      <c r="Y138" s="100"/>
      <c r="Z138" s="100"/>
    </row>
    <row r="139" ht="15.75" customHeight="1">
      <c r="A139" s="100"/>
      <c r="B139" s="100"/>
      <c r="C139" s="100"/>
      <c r="D139" s="100"/>
      <c r="E139" s="100"/>
      <c r="F139" s="100"/>
      <c r="G139" s="100"/>
      <c r="H139" s="100"/>
      <c r="I139" s="100"/>
      <c r="J139" s="100"/>
      <c r="K139" s="100"/>
      <c r="L139" s="100"/>
      <c r="M139" s="100"/>
      <c r="N139" s="100"/>
      <c r="O139" s="100"/>
      <c r="P139" s="100"/>
      <c r="Q139" s="100"/>
      <c r="R139" s="100"/>
      <c r="S139" s="100"/>
      <c r="T139" s="100"/>
      <c r="U139" s="100"/>
      <c r="V139" s="100"/>
      <c r="W139" s="100"/>
      <c r="X139" s="100"/>
      <c r="Y139" s="100"/>
      <c r="Z139" s="100"/>
    </row>
    <row r="140" ht="15.75" customHeight="1">
      <c r="A140" s="100"/>
      <c r="B140" s="100"/>
      <c r="C140" s="100"/>
      <c r="D140" s="100"/>
      <c r="E140" s="100"/>
      <c r="F140" s="100"/>
      <c r="G140" s="100"/>
      <c r="H140" s="100"/>
      <c r="I140" s="100"/>
      <c r="J140" s="100"/>
      <c r="K140" s="100"/>
      <c r="L140" s="100"/>
      <c r="M140" s="100"/>
      <c r="N140" s="100"/>
      <c r="O140" s="100"/>
      <c r="P140" s="100"/>
      <c r="Q140" s="100"/>
      <c r="R140" s="100"/>
      <c r="S140" s="100"/>
      <c r="T140" s="100"/>
      <c r="U140" s="100"/>
      <c r="V140" s="100"/>
      <c r="W140" s="100"/>
      <c r="X140" s="100"/>
      <c r="Y140" s="100"/>
      <c r="Z140" s="100"/>
    </row>
    <row r="141" ht="15.75" customHeight="1">
      <c r="A141" s="100"/>
      <c r="B141" s="100"/>
      <c r="C141" s="100"/>
      <c r="D141" s="100"/>
      <c r="E141" s="100"/>
      <c r="F141" s="100"/>
      <c r="G141" s="100"/>
      <c r="H141" s="100"/>
      <c r="I141" s="100"/>
      <c r="J141" s="100"/>
      <c r="K141" s="100"/>
      <c r="L141" s="100"/>
      <c r="M141" s="100"/>
      <c r="N141" s="100"/>
      <c r="O141" s="100"/>
      <c r="P141" s="100"/>
      <c r="Q141" s="100"/>
      <c r="R141" s="100"/>
      <c r="S141" s="100"/>
      <c r="T141" s="100"/>
      <c r="U141" s="100"/>
      <c r="V141" s="100"/>
      <c r="W141" s="100"/>
      <c r="X141" s="100"/>
      <c r="Y141" s="100"/>
      <c r="Z141" s="100"/>
    </row>
    <row r="142" ht="15.75" customHeight="1">
      <c r="A142" s="100"/>
      <c r="B142" s="100"/>
      <c r="C142" s="100"/>
      <c r="D142" s="100"/>
      <c r="E142" s="100"/>
      <c r="F142" s="100"/>
      <c r="G142" s="100"/>
      <c r="H142" s="100"/>
      <c r="I142" s="100"/>
      <c r="J142" s="100"/>
      <c r="K142" s="100"/>
      <c r="L142" s="100"/>
      <c r="M142" s="100"/>
      <c r="N142" s="100"/>
      <c r="O142" s="100"/>
      <c r="P142" s="100"/>
      <c r="Q142" s="100"/>
      <c r="R142" s="100"/>
      <c r="S142" s="100"/>
      <c r="T142" s="100"/>
      <c r="U142" s="100"/>
      <c r="V142" s="100"/>
      <c r="W142" s="100"/>
      <c r="X142" s="100"/>
      <c r="Y142" s="100"/>
      <c r="Z142" s="100"/>
    </row>
    <row r="143" ht="15.75" customHeight="1">
      <c r="A143" s="100"/>
      <c r="B143" s="100"/>
      <c r="C143" s="100"/>
      <c r="D143" s="100"/>
      <c r="E143" s="100"/>
      <c r="F143" s="100"/>
      <c r="G143" s="100"/>
      <c r="H143" s="100"/>
      <c r="I143" s="100"/>
      <c r="J143" s="100"/>
      <c r="K143" s="100"/>
      <c r="L143" s="100"/>
      <c r="M143" s="100"/>
      <c r="N143" s="100"/>
      <c r="O143" s="100"/>
      <c r="P143" s="100"/>
      <c r="Q143" s="100"/>
      <c r="R143" s="100"/>
      <c r="S143" s="100"/>
      <c r="T143" s="100"/>
      <c r="U143" s="100"/>
      <c r="V143" s="100"/>
      <c r="W143" s="100"/>
      <c r="X143" s="100"/>
      <c r="Y143" s="100"/>
      <c r="Z143" s="100"/>
    </row>
    <row r="144" ht="15.75" customHeight="1">
      <c r="A144" s="100"/>
      <c r="B144" s="100"/>
      <c r="C144" s="100"/>
      <c r="D144" s="100"/>
      <c r="E144" s="100"/>
      <c r="F144" s="100"/>
      <c r="G144" s="100"/>
      <c r="H144" s="100"/>
      <c r="I144" s="100"/>
      <c r="J144" s="100"/>
      <c r="K144" s="100"/>
      <c r="L144" s="100"/>
      <c r="M144" s="100"/>
      <c r="N144" s="100"/>
      <c r="O144" s="100"/>
      <c r="P144" s="100"/>
      <c r="Q144" s="100"/>
      <c r="R144" s="100"/>
      <c r="S144" s="100"/>
      <c r="T144" s="100"/>
      <c r="U144" s="100"/>
      <c r="V144" s="100"/>
      <c r="W144" s="100"/>
      <c r="X144" s="100"/>
      <c r="Y144" s="100"/>
      <c r="Z144" s="100"/>
    </row>
    <row r="145" ht="15.75" customHeight="1">
      <c r="A145" s="100"/>
      <c r="B145" s="100"/>
      <c r="C145" s="100"/>
      <c r="D145" s="100"/>
      <c r="E145" s="100"/>
      <c r="F145" s="100"/>
      <c r="G145" s="100"/>
      <c r="H145" s="100"/>
      <c r="I145" s="100"/>
      <c r="J145" s="100"/>
      <c r="K145" s="100"/>
      <c r="L145" s="100"/>
      <c r="M145" s="100"/>
      <c r="N145" s="100"/>
      <c r="O145" s="100"/>
      <c r="P145" s="100"/>
      <c r="Q145" s="100"/>
      <c r="R145" s="100"/>
      <c r="S145" s="100"/>
      <c r="T145" s="100"/>
      <c r="U145" s="100"/>
      <c r="V145" s="100"/>
      <c r="W145" s="100"/>
      <c r="X145" s="100"/>
      <c r="Y145" s="100"/>
      <c r="Z145" s="100"/>
    </row>
    <row r="146" ht="15.75" customHeight="1">
      <c r="A146" s="100"/>
      <c r="B146" s="100"/>
      <c r="C146" s="100"/>
      <c r="D146" s="100"/>
      <c r="E146" s="100"/>
      <c r="F146" s="100"/>
      <c r="G146" s="100"/>
      <c r="H146" s="100"/>
      <c r="I146" s="100"/>
      <c r="J146" s="100"/>
      <c r="K146" s="100"/>
      <c r="L146" s="100"/>
      <c r="M146" s="100"/>
      <c r="N146" s="100"/>
      <c r="O146" s="100"/>
      <c r="P146" s="100"/>
      <c r="Q146" s="100"/>
      <c r="R146" s="100"/>
      <c r="S146" s="100"/>
      <c r="T146" s="100"/>
      <c r="U146" s="100"/>
      <c r="V146" s="100"/>
      <c r="W146" s="100"/>
      <c r="X146" s="100"/>
      <c r="Y146" s="100"/>
      <c r="Z146" s="100"/>
    </row>
    <row r="147" ht="15.75" customHeight="1">
      <c r="A147" s="100"/>
      <c r="B147" s="100"/>
      <c r="C147" s="100"/>
      <c r="D147" s="100"/>
      <c r="E147" s="100"/>
      <c r="F147" s="100"/>
      <c r="G147" s="100"/>
      <c r="H147" s="100"/>
      <c r="I147" s="100"/>
      <c r="J147" s="100"/>
      <c r="K147" s="100"/>
      <c r="L147" s="100"/>
      <c r="M147" s="100"/>
      <c r="N147" s="100"/>
      <c r="O147" s="100"/>
      <c r="P147" s="100"/>
      <c r="Q147" s="100"/>
      <c r="R147" s="100"/>
      <c r="S147" s="100"/>
      <c r="T147" s="100"/>
      <c r="U147" s="100"/>
      <c r="V147" s="100"/>
      <c r="W147" s="100"/>
      <c r="X147" s="100"/>
      <c r="Y147" s="100"/>
      <c r="Z147" s="100"/>
    </row>
    <row r="148" ht="15.75" customHeight="1">
      <c r="A148" s="100"/>
      <c r="B148" s="100"/>
      <c r="C148" s="100"/>
      <c r="D148" s="100"/>
      <c r="E148" s="100"/>
      <c r="F148" s="100"/>
      <c r="G148" s="100"/>
      <c r="H148" s="100"/>
      <c r="I148" s="100"/>
      <c r="J148" s="100"/>
      <c r="K148" s="100"/>
      <c r="L148" s="100"/>
      <c r="M148" s="100"/>
      <c r="N148" s="100"/>
      <c r="O148" s="100"/>
      <c r="P148" s="100"/>
      <c r="Q148" s="100"/>
      <c r="R148" s="100"/>
      <c r="S148" s="100"/>
      <c r="T148" s="100"/>
      <c r="U148" s="100"/>
      <c r="V148" s="100"/>
      <c r="W148" s="100"/>
      <c r="X148" s="100"/>
      <c r="Y148" s="100"/>
      <c r="Z148" s="100"/>
    </row>
    <row r="149" ht="15.75" customHeight="1">
      <c r="A149" s="100"/>
      <c r="B149" s="100"/>
      <c r="C149" s="100"/>
      <c r="D149" s="100"/>
      <c r="E149" s="100"/>
      <c r="F149" s="100"/>
      <c r="G149" s="100"/>
      <c r="H149" s="100"/>
      <c r="I149" s="100"/>
      <c r="J149" s="100"/>
      <c r="K149" s="100"/>
      <c r="L149" s="100"/>
      <c r="M149" s="100"/>
      <c r="N149" s="100"/>
      <c r="O149" s="100"/>
      <c r="P149" s="100"/>
      <c r="Q149" s="100"/>
      <c r="R149" s="100"/>
      <c r="S149" s="100"/>
      <c r="T149" s="100"/>
      <c r="U149" s="100"/>
      <c r="V149" s="100"/>
      <c r="W149" s="100"/>
      <c r="X149" s="100"/>
      <c r="Y149" s="100"/>
      <c r="Z149" s="100"/>
    </row>
    <row r="150" ht="15.75" customHeight="1">
      <c r="A150" s="100"/>
      <c r="B150" s="100"/>
      <c r="C150" s="100"/>
      <c r="D150" s="100"/>
      <c r="E150" s="100"/>
      <c r="F150" s="100"/>
      <c r="G150" s="100"/>
      <c r="H150" s="100"/>
      <c r="I150" s="100"/>
      <c r="J150" s="100"/>
      <c r="K150" s="100"/>
      <c r="L150" s="100"/>
      <c r="M150" s="100"/>
      <c r="N150" s="100"/>
      <c r="O150" s="100"/>
      <c r="P150" s="100"/>
      <c r="Q150" s="100"/>
      <c r="R150" s="100"/>
      <c r="S150" s="100"/>
      <c r="T150" s="100"/>
      <c r="U150" s="100"/>
      <c r="V150" s="100"/>
      <c r="W150" s="100"/>
      <c r="X150" s="100"/>
      <c r="Y150" s="100"/>
      <c r="Z150" s="100"/>
    </row>
    <row r="151" ht="15.75" customHeight="1">
      <c r="A151" s="100"/>
      <c r="B151" s="100"/>
      <c r="C151" s="100"/>
      <c r="D151" s="100"/>
      <c r="E151" s="100"/>
      <c r="F151" s="100"/>
      <c r="G151" s="100"/>
      <c r="H151" s="100"/>
      <c r="I151" s="100"/>
      <c r="J151" s="100"/>
      <c r="K151" s="100"/>
      <c r="L151" s="100"/>
      <c r="M151" s="100"/>
      <c r="N151" s="100"/>
      <c r="O151" s="100"/>
      <c r="P151" s="100"/>
      <c r="Q151" s="100"/>
      <c r="R151" s="100"/>
      <c r="S151" s="100"/>
      <c r="T151" s="100"/>
      <c r="U151" s="100"/>
      <c r="V151" s="100"/>
      <c r="W151" s="100"/>
      <c r="X151" s="100"/>
      <c r="Y151" s="100"/>
      <c r="Z151" s="100"/>
    </row>
    <row r="152" ht="15.75" customHeight="1">
      <c r="A152" s="100"/>
      <c r="B152" s="100"/>
      <c r="C152" s="100"/>
      <c r="D152" s="100"/>
      <c r="E152" s="100"/>
      <c r="F152" s="100"/>
      <c r="G152" s="100"/>
      <c r="H152" s="100"/>
      <c r="I152" s="100"/>
      <c r="J152" s="100"/>
      <c r="K152" s="100"/>
      <c r="L152" s="100"/>
      <c r="M152" s="100"/>
      <c r="N152" s="100"/>
      <c r="O152" s="100"/>
      <c r="P152" s="100"/>
      <c r="Q152" s="100"/>
      <c r="R152" s="100"/>
      <c r="S152" s="100"/>
      <c r="T152" s="100"/>
      <c r="U152" s="100"/>
      <c r="V152" s="100"/>
      <c r="W152" s="100"/>
      <c r="X152" s="100"/>
      <c r="Y152" s="100"/>
      <c r="Z152" s="100"/>
    </row>
    <row r="153" ht="15.75" customHeight="1">
      <c r="A153" s="100"/>
      <c r="B153" s="100"/>
      <c r="C153" s="100"/>
      <c r="D153" s="100"/>
      <c r="E153" s="100"/>
      <c r="F153" s="100"/>
      <c r="G153" s="100"/>
      <c r="H153" s="100"/>
      <c r="I153" s="100"/>
      <c r="J153" s="100"/>
      <c r="K153" s="100"/>
      <c r="L153" s="100"/>
      <c r="M153" s="100"/>
      <c r="N153" s="100"/>
      <c r="O153" s="100"/>
      <c r="P153" s="100"/>
      <c r="Q153" s="100"/>
      <c r="R153" s="100"/>
      <c r="S153" s="100"/>
      <c r="T153" s="100"/>
      <c r="U153" s="100"/>
      <c r="V153" s="100"/>
      <c r="W153" s="100"/>
      <c r="X153" s="100"/>
      <c r="Y153" s="100"/>
      <c r="Z153" s="100"/>
    </row>
    <row r="154" ht="15.75" customHeight="1">
      <c r="A154" s="100"/>
      <c r="B154" s="100"/>
      <c r="C154" s="100"/>
      <c r="D154" s="100"/>
      <c r="E154" s="100"/>
      <c r="F154" s="100"/>
      <c r="G154" s="100"/>
      <c r="H154" s="100"/>
      <c r="I154" s="100"/>
      <c r="J154" s="100"/>
      <c r="K154" s="100"/>
      <c r="L154" s="100"/>
      <c r="M154" s="100"/>
      <c r="N154" s="100"/>
      <c r="O154" s="100"/>
      <c r="P154" s="100"/>
      <c r="Q154" s="100"/>
      <c r="R154" s="100"/>
      <c r="S154" s="100"/>
      <c r="T154" s="100"/>
      <c r="U154" s="100"/>
      <c r="V154" s="100"/>
      <c r="W154" s="100"/>
      <c r="X154" s="100"/>
      <c r="Y154" s="100"/>
      <c r="Z154" s="100"/>
    </row>
    <row r="155" ht="15.75" customHeight="1">
      <c r="A155" s="100"/>
      <c r="B155" s="100"/>
      <c r="C155" s="100"/>
      <c r="D155" s="100"/>
      <c r="E155" s="100"/>
      <c r="F155" s="100"/>
      <c r="G155" s="100"/>
      <c r="H155" s="100"/>
      <c r="I155" s="100"/>
      <c r="J155" s="100"/>
      <c r="K155" s="100"/>
      <c r="L155" s="100"/>
      <c r="M155" s="100"/>
      <c r="N155" s="100"/>
      <c r="O155" s="100"/>
      <c r="P155" s="100"/>
      <c r="Q155" s="100"/>
      <c r="R155" s="100"/>
      <c r="S155" s="100"/>
      <c r="T155" s="100"/>
      <c r="U155" s="100"/>
      <c r="V155" s="100"/>
      <c r="W155" s="100"/>
      <c r="X155" s="100"/>
      <c r="Y155" s="100"/>
      <c r="Z155" s="100"/>
    </row>
    <row r="156" ht="15.75" customHeight="1">
      <c r="A156" s="100"/>
      <c r="B156" s="100"/>
      <c r="C156" s="100"/>
      <c r="D156" s="100"/>
      <c r="E156" s="100"/>
      <c r="F156" s="100"/>
      <c r="G156" s="100"/>
      <c r="H156" s="100"/>
      <c r="I156" s="100"/>
      <c r="J156" s="100"/>
      <c r="K156" s="100"/>
      <c r="L156" s="100"/>
      <c r="M156" s="100"/>
      <c r="N156" s="100"/>
      <c r="O156" s="100"/>
      <c r="P156" s="100"/>
      <c r="Q156" s="100"/>
      <c r="R156" s="100"/>
      <c r="S156" s="100"/>
      <c r="T156" s="100"/>
      <c r="U156" s="100"/>
      <c r="V156" s="100"/>
      <c r="W156" s="100"/>
      <c r="X156" s="100"/>
      <c r="Y156" s="100"/>
      <c r="Z156" s="100"/>
    </row>
    <row r="157" ht="15.75" customHeight="1">
      <c r="A157" s="100"/>
      <c r="B157" s="100"/>
      <c r="C157" s="100"/>
      <c r="D157" s="100"/>
      <c r="E157" s="100"/>
      <c r="F157" s="100"/>
      <c r="G157" s="100"/>
      <c r="H157" s="100"/>
      <c r="I157" s="100"/>
      <c r="J157" s="100"/>
      <c r="K157" s="100"/>
      <c r="L157" s="100"/>
      <c r="M157" s="100"/>
      <c r="N157" s="100"/>
      <c r="O157" s="100"/>
      <c r="P157" s="100"/>
      <c r="Q157" s="100"/>
      <c r="R157" s="100"/>
      <c r="S157" s="100"/>
      <c r="T157" s="100"/>
      <c r="U157" s="100"/>
      <c r="V157" s="100"/>
      <c r="W157" s="100"/>
      <c r="X157" s="100"/>
      <c r="Y157" s="100"/>
      <c r="Z157" s="100"/>
    </row>
    <row r="158" ht="15.75" customHeight="1">
      <c r="A158" s="100"/>
      <c r="B158" s="100"/>
      <c r="C158" s="100"/>
      <c r="D158" s="100"/>
      <c r="E158" s="100"/>
      <c r="F158" s="100"/>
      <c r="G158" s="100"/>
      <c r="H158" s="100"/>
      <c r="I158" s="100"/>
      <c r="J158" s="100"/>
      <c r="K158" s="100"/>
      <c r="L158" s="100"/>
      <c r="M158" s="100"/>
      <c r="N158" s="100"/>
      <c r="O158" s="100"/>
      <c r="P158" s="100"/>
      <c r="Q158" s="100"/>
      <c r="R158" s="100"/>
      <c r="S158" s="100"/>
      <c r="T158" s="100"/>
      <c r="U158" s="100"/>
      <c r="V158" s="100"/>
      <c r="W158" s="100"/>
      <c r="X158" s="100"/>
      <c r="Y158" s="100"/>
      <c r="Z158" s="100"/>
    </row>
    <row r="159" ht="15.75" customHeight="1">
      <c r="A159" s="100"/>
      <c r="B159" s="100"/>
      <c r="C159" s="100"/>
      <c r="D159" s="100"/>
      <c r="E159" s="100"/>
      <c r="F159" s="100"/>
      <c r="G159" s="100"/>
      <c r="H159" s="100"/>
      <c r="I159" s="100"/>
      <c r="J159" s="100"/>
      <c r="K159" s="100"/>
      <c r="L159" s="100"/>
      <c r="M159" s="100"/>
      <c r="N159" s="100"/>
      <c r="O159" s="100"/>
      <c r="P159" s="100"/>
      <c r="Q159" s="100"/>
      <c r="R159" s="100"/>
      <c r="S159" s="100"/>
      <c r="T159" s="100"/>
      <c r="U159" s="100"/>
      <c r="V159" s="100"/>
      <c r="W159" s="100"/>
      <c r="X159" s="100"/>
      <c r="Y159" s="100"/>
      <c r="Z159" s="100"/>
    </row>
    <row r="160" ht="15.75" customHeight="1">
      <c r="A160" s="100"/>
      <c r="B160" s="100"/>
      <c r="C160" s="100"/>
      <c r="D160" s="100"/>
      <c r="E160" s="100"/>
      <c r="F160" s="100"/>
      <c r="G160" s="100"/>
      <c r="H160" s="100"/>
      <c r="I160" s="100"/>
      <c r="J160" s="100"/>
      <c r="K160" s="100"/>
      <c r="L160" s="100"/>
      <c r="M160" s="100"/>
      <c r="N160" s="100"/>
      <c r="O160" s="100"/>
      <c r="P160" s="100"/>
      <c r="Q160" s="100"/>
      <c r="R160" s="100"/>
      <c r="S160" s="100"/>
      <c r="T160" s="100"/>
      <c r="U160" s="100"/>
      <c r="V160" s="100"/>
      <c r="W160" s="100"/>
      <c r="X160" s="100"/>
      <c r="Y160" s="100"/>
      <c r="Z160" s="100"/>
    </row>
    <row r="161" ht="15.75" customHeight="1">
      <c r="A161" s="100"/>
      <c r="B161" s="100"/>
      <c r="C161" s="100"/>
      <c r="D161" s="100"/>
      <c r="E161" s="100"/>
      <c r="F161" s="100"/>
      <c r="G161" s="100"/>
      <c r="H161" s="100"/>
      <c r="I161" s="100"/>
      <c r="J161" s="100"/>
      <c r="K161" s="100"/>
      <c r="L161" s="100"/>
      <c r="M161" s="100"/>
      <c r="N161" s="100"/>
      <c r="O161" s="100"/>
      <c r="P161" s="100"/>
      <c r="Q161" s="100"/>
      <c r="R161" s="100"/>
      <c r="S161" s="100"/>
      <c r="T161" s="100"/>
      <c r="U161" s="100"/>
      <c r="V161" s="100"/>
      <c r="W161" s="100"/>
      <c r="X161" s="100"/>
      <c r="Y161" s="100"/>
      <c r="Z161" s="100"/>
    </row>
    <row r="162" ht="15.75" customHeight="1">
      <c r="A162" s="100"/>
      <c r="B162" s="100"/>
      <c r="C162" s="100"/>
      <c r="D162" s="100"/>
      <c r="E162" s="100"/>
      <c r="F162" s="100"/>
      <c r="G162" s="100"/>
      <c r="H162" s="100"/>
      <c r="I162" s="100"/>
      <c r="J162" s="100"/>
      <c r="K162" s="100"/>
      <c r="L162" s="100"/>
      <c r="M162" s="100"/>
      <c r="N162" s="100"/>
      <c r="O162" s="100"/>
      <c r="P162" s="100"/>
      <c r="Q162" s="100"/>
      <c r="R162" s="100"/>
      <c r="S162" s="100"/>
      <c r="T162" s="100"/>
      <c r="U162" s="100"/>
      <c r="V162" s="100"/>
      <c r="W162" s="100"/>
      <c r="X162" s="100"/>
      <c r="Y162" s="100"/>
      <c r="Z162" s="100"/>
    </row>
    <row r="163" ht="15.75" customHeight="1">
      <c r="A163" s="100"/>
      <c r="B163" s="100"/>
      <c r="C163" s="100"/>
      <c r="D163" s="100"/>
      <c r="E163" s="100"/>
      <c r="F163" s="100"/>
      <c r="G163" s="100"/>
      <c r="H163" s="100"/>
      <c r="I163" s="100"/>
      <c r="J163" s="100"/>
      <c r="K163" s="100"/>
      <c r="L163" s="100"/>
      <c r="M163" s="100"/>
      <c r="N163" s="100"/>
      <c r="O163" s="100"/>
      <c r="P163" s="100"/>
      <c r="Q163" s="100"/>
      <c r="R163" s="100"/>
      <c r="S163" s="100"/>
      <c r="T163" s="100"/>
      <c r="U163" s="100"/>
      <c r="V163" s="100"/>
      <c r="W163" s="100"/>
      <c r="X163" s="100"/>
      <c r="Y163" s="100"/>
      <c r="Z163" s="100"/>
    </row>
    <row r="164" ht="15.75" customHeight="1">
      <c r="A164" s="100"/>
      <c r="B164" s="100"/>
      <c r="C164" s="100"/>
      <c r="D164" s="100"/>
      <c r="E164" s="100"/>
      <c r="F164" s="100"/>
      <c r="G164" s="100"/>
      <c r="H164" s="100"/>
      <c r="I164" s="100"/>
      <c r="J164" s="100"/>
      <c r="K164" s="100"/>
      <c r="L164" s="100"/>
      <c r="M164" s="100"/>
      <c r="N164" s="100"/>
      <c r="O164" s="100"/>
      <c r="P164" s="100"/>
      <c r="Q164" s="100"/>
      <c r="R164" s="100"/>
      <c r="S164" s="100"/>
      <c r="T164" s="100"/>
      <c r="U164" s="100"/>
      <c r="V164" s="100"/>
      <c r="W164" s="100"/>
      <c r="X164" s="100"/>
      <c r="Y164" s="100"/>
      <c r="Z164" s="100"/>
    </row>
    <row r="165" ht="15.75" customHeight="1">
      <c r="A165" s="100"/>
      <c r="B165" s="100"/>
      <c r="C165" s="100"/>
      <c r="D165" s="100"/>
      <c r="E165" s="100"/>
      <c r="F165" s="100"/>
      <c r="G165" s="100"/>
      <c r="H165" s="100"/>
      <c r="I165" s="100"/>
      <c r="J165" s="100"/>
      <c r="K165" s="100"/>
      <c r="L165" s="100"/>
      <c r="M165" s="100"/>
      <c r="N165" s="100"/>
      <c r="O165" s="100"/>
      <c r="P165" s="100"/>
      <c r="Q165" s="100"/>
      <c r="R165" s="100"/>
      <c r="S165" s="100"/>
      <c r="T165" s="100"/>
      <c r="U165" s="100"/>
      <c r="V165" s="100"/>
      <c r="W165" s="100"/>
      <c r="X165" s="100"/>
      <c r="Y165" s="100"/>
      <c r="Z165" s="100"/>
    </row>
    <row r="166" ht="15.75" customHeight="1">
      <c r="A166" s="100"/>
      <c r="B166" s="100"/>
      <c r="C166" s="100"/>
      <c r="D166" s="100"/>
      <c r="E166" s="100"/>
      <c r="F166" s="100"/>
      <c r="G166" s="100"/>
      <c r="H166" s="100"/>
      <c r="I166" s="100"/>
      <c r="J166" s="100"/>
      <c r="K166" s="100"/>
      <c r="L166" s="100"/>
      <c r="M166" s="100"/>
      <c r="N166" s="100"/>
      <c r="O166" s="100"/>
      <c r="P166" s="100"/>
      <c r="Q166" s="100"/>
      <c r="R166" s="100"/>
      <c r="S166" s="100"/>
      <c r="T166" s="100"/>
      <c r="U166" s="100"/>
      <c r="V166" s="100"/>
      <c r="W166" s="100"/>
      <c r="X166" s="100"/>
      <c r="Y166" s="100"/>
      <c r="Z166" s="100"/>
    </row>
    <row r="167" ht="15.75" customHeight="1">
      <c r="A167" s="100"/>
      <c r="B167" s="100"/>
      <c r="C167" s="100"/>
      <c r="D167" s="100"/>
      <c r="E167" s="100"/>
      <c r="F167" s="100"/>
      <c r="G167" s="100"/>
      <c r="H167" s="100"/>
      <c r="I167" s="100"/>
      <c r="J167" s="100"/>
      <c r="K167" s="100"/>
      <c r="L167" s="100"/>
      <c r="M167" s="100"/>
      <c r="N167" s="100"/>
      <c r="O167" s="100"/>
      <c r="P167" s="100"/>
      <c r="Q167" s="100"/>
      <c r="R167" s="100"/>
      <c r="S167" s="100"/>
      <c r="T167" s="100"/>
      <c r="U167" s="100"/>
      <c r="V167" s="100"/>
      <c r="W167" s="100"/>
      <c r="X167" s="100"/>
      <c r="Y167" s="100"/>
      <c r="Z167" s="100"/>
    </row>
    <row r="168" ht="15.75" customHeight="1">
      <c r="A168" s="100"/>
      <c r="B168" s="100"/>
      <c r="C168" s="100"/>
      <c r="D168" s="100"/>
      <c r="E168" s="100"/>
      <c r="F168" s="100"/>
      <c r="G168" s="100"/>
      <c r="H168" s="100"/>
      <c r="I168" s="100"/>
      <c r="J168" s="100"/>
      <c r="K168" s="100"/>
      <c r="L168" s="100"/>
      <c r="M168" s="100"/>
      <c r="N168" s="100"/>
      <c r="O168" s="100"/>
      <c r="P168" s="100"/>
      <c r="Q168" s="100"/>
      <c r="R168" s="100"/>
      <c r="S168" s="100"/>
      <c r="T168" s="100"/>
      <c r="U168" s="100"/>
      <c r="V168" s="100"/>
      <c r="W168" s="100"/>
      <c r="X168" s="100"/>
      <c r="Y168" s="100"/>
      <c r="Z168" s="100"/>
    </row>
    <row r="169" ht="15.75" customHeight="1">
      <c r="A169" s="100"/>
      <c r="B169" s="100"/>
      <c r="C169" s="100"/>
      <c r="D169" s="100"/>
      <c r="E169" s="100"/>
      <c r="F169" s="100"/>
      <c r="G169" s="100"/>
      <c r="H169" s="100"/>
      <c r="I169" s="100"/>
      <c r="J169" s="100"/>
      <c r="K169" s="100"/>
      <c r="L169" s="100"/>
      <c r="M169" s="100"/>
      <c r="N169" s="100"/>
      <c r="O169" s="100"/>
      <c r="P169" s="100"/>
      <c r="Q169" s="100"/>
      <c r="R169" s="100"/>
      <c r="S169" s="100"/>
      <c r="T169" s="100"/>
      <c r="U169" s="100"/>
      <c r="V169" s="100"/>
      <c r="W169" s="100"/>
      <c r="X169" s="100"/>
      <c r="Y169" s="100"/>
      <c r="Z169" s="100"/>
    </row>
    <row r="170" ht="15.75" customHeight="1">
      <c r="A170" s="100"/>
      <c r="B170" s="100"/>
      <c r="C170" s="100"/>
      <c r="D170" s="100"/>
      <c r="E170" s="100"/>
      <c r="F170" s="100"/>
      <c r="G170" s="100"/>
      <c r="H170" s="100"/>
      <c r="I170" s="100"/>
      <c r="J170" s="100"/>
      <c r="K170" s="100"/>
      <c r="L170" s="100"/>
      <c r="M170" s="100"/>
      <c r="N170" s="100"/>
      <c r="O170" s="100"/>
      <c r="P170" s="100"/>
      <c r="Q170" s="100"/>
      <c r="R170" s="100"/>
      <c r="S170" s="100"/>
      <c r="T170" s="100"/>
      <c r="U170" s="100"/>
      <c r="V170" s="100"/>
      <c r="W170" s="100"/>
      <c r="X170" s="100"/>
      <c r="Y170" s="100"/>
      <c r="Z170" s="100"/>
    </row>
    <row r="171" ht="15.75" customHeight="1">
      <c r="A171" s="100"/>
      <c r="B171" s="100"/>
      <c r="C171" s="100"/>
      <c r="D171" s="100"/>
      <c r="E171" s="100"/>
      <c r="F171" s="100"/>
      <c r="G171" s="100"/>
      <c r="H171" s="100"/>
      <c r="I171" s="100"/>
      <c r="J171" s="100"/>
      <c r="K171" s="100"/>
      <c r="L171" s="100"/>
      <c r="M171" s="100"/>
      <c r="N171" s="100"/>
      <c r="O171" s="100"/>
      <c r="P171" s="100"/>
      <c r="Q171" s="100"/>
      <c r="R171" s="100"/>
      <c r="S171" s="100"/>
      <c r="T171" s="100"/>
      <c r="U171" s="100"/>
      <c r="V171" s="100"/>
      <c r="W171" s="100"/>
      <c r="X171" s="100"/>
      <c r="Y171" s="100"/>
      <c r="Z171" s="100"/>
    </row>
    <row r="172" ht="15.75" customHeight="1">
      <c r="A172" s="100"/>
      <c r="B172" s="100"/>
      <c r="C172" s="100"/>
      <c r="D172" s="100"/>
      <c r="E172" s="100"/>
      <c r="F172" s="100"/>
      <c r="G172" s="100"/>
      <c r="H172" s="100"/>
      <c r="I172" s="100"/>
      <c r="J172" s="100"/>
      <c r="K172" s="100"/>
      <c r="L172" s="100"/>
      <c r="M172" s="100"/>
      <c r="N172" s="100"/>
      <c r="O172" s="100"/>
      <c r="P172" s="100"/>
      <c r="Q172" s="100"/>
      <c r="R172" s="100"/>
      <c r="S172" s="100"/>
      <c r="T172" s="100"/>
      <c r="U172" s="100"/>
      <c r="V172" s="100"/>
      <c r="W172" s="100"/>
      <c r="X172" s="100"/>
      <c r="Y172" s="100"/>
      <c r="Z172" s="100"/>
    </row>
    <row r="173" ht="15.75" customHeight="1">
      <c r="A173" s="100"/>
      <c r="B173" s="100"/>
      <c r="C173" s="100"/>
      <c r="D173" s="100"/>
      <c r="E173" s="100"/>
      <c r="F173" s="100"/>
      <c r="G173" s="100"/>
      <c r="H173" s="100"/>
      <c r="I173" s="100"/>
      <c r="J173" s="100"/>
      <c r="K173" s="100"/>
      <c r="L173" s="100"/>
      <c r="M173" s="100"/>
      <c r="N173" s="100"/>
      <c r="O173" s="100"/>
      <c r="P173" s="100"/>
      <c r="Q173" s="100"/>
      <c r="R173" s="100"/>
      <c r="S173" s="100"/>
      <c r="T173" s="100"/>
      <c r="U173" s="100"/>
      <c r="V173" s="100"/>
      <c r="W173" s="100"/>
      <c r="X173" s="100"/>
      <c r="Y173" s="100"/>
      <c r="Z173" s="100"/>
    </row>
    <row r="174" ht="15.75" customHeight="1">
      <c r="A174" s="100"/>
      <c r="B174" s="100"/>
      <c r="C174" s="100"/>
      <c r="D174" s="100"/>
      <c r="E174" s="100"/>
      <c r="F174" s="100"/>
      <c r="G174" s="100"/>
      <c r="H174" s="100"/>
      <c r="I174" s="100"/>
      <c r="J174" s="100"/>
      <c r="K174" s="100"/>
      <c r="L174" s="100"/>
      <c r="M174" s="100"/>
      <c r="N174" s="100"/>
      <c r="O174" s="100"/>
      <c r="P174" s="100"/>
      <c r="Q174" s="100"/>
      <c r="R174" s="100"/>
      <c r="S174" s="100"/>
      <c r="T174" s="100"/>
      <c r="U174" s="100"/>
      <c r="V174" s="100"/>
      <c r="W174" s="100"/>
      <c r="X174" s="100"/>
      <c r="Y174" s="100"/>
      <c r="Z174" s="100"/>
    </row>
    <row r="175" ht="15.75" customHeight="1">
      <c r="A175" s="100"/>
      <c r="B175" s="100"/>
      <c r="C175" s="100"/>
      <c r="D175" s="100"/>
      <c r="E175" s="100"/>
      <c r="F175" s="100"/>
      <c r="G175" s="100"/>
      <c r="H175" s="100"/>
      <c r="I175" s="100"/>
      <c r="J175" s="100"/>
      <c r="K175" s="100"/>
      <c r="L175" s="100"/>
      <c r="M175" s="100"/>
      <c r="N175" s="100"/>
      <c r="O175" s="100"/>
      <c r="P175" s="100"/>
      <c r="Q175" s="100"/>
      <c r="R175" s="100"/>
      <c r="S175" s="100"/>
      <c r="T175" s="100"/>
      <c r="U175" s="100"/>
      <c r="V175" s="100"/>
      <c r="W175" s="100"/>
      <c r="X175" s="100"/>
      <c r="Y175" s="100"/>
      <c r="Z175" s="100"/>
    </row>
    <row r="176" ht="15.75" customHeight="1">
      <c r="A176" s="100"/>
      <c r="B176" s="100"/>
      <c r="C176" s="100"/>
      <c r="D176" s="100"/>
      <c r="E176" s="100"/>
      <c r="F176" s="100"/>
      <c r="G176" s="100"/>
      <c r="H176" s="100"/>
      <c r="I176" s="100"/>
      <c r="J176" s="100"/>
      <c r="K176" s="100"/>
      <c r="L176" s="100"/>
      <c r="M176" s="100"/>
      <c r="N176" s="100"/>
      <c r="O176" s="100"/>
      <c r="P176" s="100"/>
      <c r="Q176" s="100"/>
      <c r="R176" s="100"/>
      <c r="S176" s="100"/>
      <c r="T176" s="100"/>
      <c r="U176" s="100"/>
      <c r="V176" s="100"/>
      <c r="W176" s="100"/>
      <c r="X176" s="100"/>
      <c r="Y176" s="100"/>
      <c r="Z176" s="100"/>
    </row>
    <row r="177" ht="15.75" customHeight="1">
      <c r="A177" s="100"/>
      <c r="B177" s="100"/>
      <c r="C177" s="100"/>
      <c r="D177" s="100"/>
      <c r="E177" s="100"/>
      <c r="F177" s="100"/>
      <c r="G177" s="100"/>
      <c r="H177" s="100"/>
      <c r="I177" s="100"/>
      <c r="J177" s="100"/>
      <c r="K177" s="100"/>
      <c r="L177" s="100"/>
      <c r="M177" s="100"/>
      <c r="N177" s="100"/>
      <c r="O177" s="100"/>
      <c r="P177" s="100"/>
      <c r="Q177" s="100"/>
      <c r="R177" s="100"/>
      <c r="S177" s="100"/>
      <c r="T177" s="100"/>
      <c r="U177" s="100"/>
      <c r="V177" s="100"/>
      <c r="W177" s="100"/>
      <c r="X177" s="100"/>
      <c r="Y177" s="100"/>
      <c r="Z177" s="100"/>
    </row>
    <row r="178" ht="15.75" customHeight="1">
      <c r="A178" s="100"/>
      <c r="B178" s="100"/>
      <c r="C178" s="100"/>
      <c r="D178" s="100"/>
      <c r="E178" s="100"/>
      <c r="F178" s="100"/>
      <c r="G178" s="100"/>
      <c r="H178" s="100"/>
      <c r="I178" s="100"/>
      <c r="J178" s="100"/>
      <c r="K178" s="100"/>
      <c r="L178" s="100"/>
      <c r="M178" s="100"/>
      <c r="N178" s="100"/>
      <c r="O178" s="100"/>
      <c r="P178" s="100"/>
      <c r="Q178" s="100"/>
      <c r="R178" s="100"/>
      <c r="S178" s="100"/>
      <c r="T178" s="100"/>
      <c r="U178" s="100"/>
      <c r="V178" s="100"/>
      <c r="W178" s="100"/>
      <c r="X178" s="100"/>
      <c r="Y178" s="100"/>
      <c r="Z178" s="100"/>
    </row>
    <row r="179" ht="15.75" customHeight="1">
      <c r="A179" s="100"/>
      <c r="B179" s="100"/>
      <c r="C179" s="100"/>
      <c r="D179" s="100"/>
      <c r="E179" s="100"/>
      <c r="F179" s="100"/>
      <c r="G179" s="100"/>
      <c r="H179" s="100"/>
      <c r="I179" s="100"/>
      <c r="J179" s="100"/>
      <c r="K179" s="100"/>
      <c r="L179" s="100"/>
      <c r="M179" s="100"/>
      <c r="N179" s="100"/>
      <c r="O179" s="100"/>
      <c r="P179" s="100"/>
      <c r="Q179" s="100"/>
      <c r="R179" s="100"/>
      <c r="S179" s="100"/>
      <c r="T179" s="100"/>
      <c r="U179" s="100"/>
      <c r="V179" s="100"/>
      <c r="W179" s="100"/>
      <c r="X179" s="100"/>
      <c r="Y179" s="100"/>
      <c r="Z179" s="100"/>
    </row>
    <row r="180" ht="15.75" customHeight="1">
      <c r="A180" s="100"/>
      <c r="B180" s="100"/>
      <c r="C180" s="100"/>
      <c r="D180" s="100"/>
      <c r="E180" s="100"/>
      <c r="F180" s="100"/>
      <c r="G180" s="100"/>
      <c r="H180" s="100"/>
      <c r="I180" s="100"/>
      <c r="J180" s="100"/>
      <c r="K180" s="100"/>
      <c r="L180" s="100"/>
      <c r="M180" s="100"/>
      <c r="N180" s="100"/>
      <c r="O180" s="100"/>
      <c r="P180" s="100"/>
      <c r="Q180" s="100"/>
      <c r="R180" s="100"/>
      <c r="S180" s="100"/>
      <c r="T180" s="100"/>
      <c r="U180" s="100"/>
      <c r="V180" s="100"/>
      <c r="W180" s="100"/>
      <c r="X180" s="100"/>
      <c r="Y180" s="100"/>
      <c r="Z180" s="100"/>
    </row>
    <row r="181" ht="15.75" customHeight="1">
      <c r="A181" s="100"/>
      <c r="B181" s="100"/>
      <c r="C181" s="100"/>
      <c r="D181" s="100"/>
      <c r="E181" s="100"/>
      <c r="F181" s="100"/>
      <c r="G181" s="100"/>
      <c r="H181" s="100"/>
      <c r="I181" s="100"/>
      <c r="J181" s="100"/>
      <c r="K181" s="100"/>
      <c r="L181" s="100"/>
      <c r="M181" s="100"/>
      <c r="N181" s="100"/>
      <c r="O181" s="100"/>
      <c r="P181" s="100"/>
      <c r="Q181" s="100"/>
      <c r="R181" s="100"/>
      <c r="S181" s="100"/>
      <c r="T181" s="100"/>
      <c r="U181" s="100"/>
      <c r="V181" s="100"/>
      <c r="W181" s="100"/>
      <c r="X181" s="100"/>
      <c r="Y181" s="100"/>
      <c r="Z181" s="100"/>
    </row>
    <row r="182" ht="15.75" customHeight="1">
      <c r="A182" s="100"/>
      <c r="B182" s="100"/>
      <c r="C182" s="100"/>
      <c r="D182" s="100"/>
      <c r="E182" s="100"/>
      <c r="F182" s="100"/>
      <c r="G182" s="100"/>
      <c r="H182" s="100"/>
      <c r="I182" s="100"/>
      <c r="J182" s="100"/>
      <c r="K182" s="100"/>
      <c r="L182" s="100"/>
      <c r="M182" s="100"/>
      <c r="N182" s="100"/>
      <c r="O182" s="100"/>
      <c r="P182" s="100"/>
      <c r="Q182" s="100"/>
      <c r="R182" s="100"/>
      <c r="S182" s="100"/>
      <c r="T182" s="100"/>
      <c r="U182" s="100"/>
      <c r="V182" s="100"/>
      <c r="W182" s="100"/>
      <c r="X182" s="100"/>
      <c r="Y182" s="100"/>
      <c r="Z182" s="100"/>
    </row>
    <row r="183" ht="15.75" customHeight="1">
      <c r="A183" s="100"/>
      <c r="B183" s="100"/>
      <c r="C183" s="100"/>
      <c r="D183" s="100"/>
      <c r="E183" s="100"/>
      <c r="F183" s="100"/>
      <c r="G183" s="100"/>
      <c r="H183" s="100"/>
      <c r="I183" s="100"/>
      <c r="J183" s="100"/>
      <c r="K183" s="100"/>
      <c r="L183" s="100"/>
      <c r="M183" s="100"/>
      <c r="N183" s="100"/>
      <c r="O183" s="100"/>
      <c r="P183" s="100"/>
      <c r="Q183" s="100"/>
      <c r="R183" s="100"/>
      <c r="S183" s="100"/>
      <c r="T183" s="100"/>
      <c r="U183" s="100"/>
      <c r="V183" s="100"/>
      <c r="W183" s="100"/>
      <c r="X183" s="100"/>
      <c r="Y183" s="100"/>
      <c r="Z183" s="100"/>
    </row>
    <row r="184" ht="15.75" customHeight="1">
      <c r="A184" s="100"/>
      <c r="B184" s="100"/>
      <c r="C184" s="100"/>
      <c r="D184" s="100"/>
      <c r="E184" s="100"/>
      <c r="F184" s="100"/>
      <c r="G184" s="100"/>
      <c r="H184" s="100"/>
      <c r="I184" s="100"/>
      <c r="J184" s="100"/>
      <c r="K184" s="100"/>
      <c r="L184" s="100"/>
      <c r="M184" s="100"/>
      <c r="N184" s="100"/>
      <c r="O184" s="100"/>
      <c r="P184" s="100"/>
      <c r="Q184" s="100"/>
      <c r="R184" s="100"/>
      <c r="S184" s="100"/>
      <c r="T184" s="100"/>
      <c r="U184" s="100"/>
      <c r="V184" s="100"/>
      <c r="W184" s="100"/>
      <c r="X184" s="100"/>
      <c r="Y184" s="100"/>
      <c r="Z184" s="100"/>
    </row>
    <row r="185" ht="15.75" customHeight="1">
      <c r="A185" s="100"/>
      <c r="B185" s="100"/>
      <c r="C185" s="100"/>
      <c r="D185" s="100"/>
      <c r="E185" s="100"/>
      <c r="F185" s="100"/>
      <c r="G185" s="100"/>
      <c r="H185" s="100"/>
      <c r="I185" s="100"/>
      <c r="J185" s="100"/>
      <c r="K185" s="100"/>
      <c r="L185" s="100"/>
      <c r="M185" s="100"/>
      <c r="N185" s="100"/>
      <c r="O185" s="100"/>
      <c r="P185" s="100"/>
      <c r="Q185" s="100"/>
      <c r="R185" s="100"/>
      <c r="S185" s="100"/>
      <c r="T185" s="100"/>
      <c r="U185" s="100"/>
      <c r="V185" s="100"/>
      <c r="W185" s="100"/>
      <c r="X185" s="100"/>
      <c r="Y185" s="100"/>
      <c r="Z185" s="100"/>
    </row>
    <row r="186" ht="15.75" customHeight="1">
      <c r="A186" s="100"/>
      <c r="B186" s="100"/>
      <c r="C186" s="100"/>
      <c r="D186" s="100"/>
      <c r="E186" s="100"/>
      <c r="F186" s="100"/>
      <c r="G186" s="100"/>
      <c r="H186" s="100"/>
      <c r="I186" s="100"/>
      <c r="J186" s="100"/>
      <c r="K186" s="100"/>
      <c r="L186" s="100"/>
      <c r="M186" s="100"/>
      <c r="N186" s="100"/>
      <c r="O186" s="100"/>
      <c r="P186" s="100"/>
      <c r="Q186" s="100"/>
      <c r="R186" s="100"/>
      <c r="S186" s="100"/>
      <c r="T186" s="100"/>
      <c r="U186" s="100"/>
      <c r="V186" s="100"/>
      <c r="W186" s="100"/>
      <c r="X186" s="100"/>
      <c r="Y186" s="100"/>
      <c r="Z186" s="100"/>
    </row>
    <row r="187" ht="15.75" customHeight="1">
      <c r="A187" s="100"/>
      <c r="B187" s="100"/>
      <c r="C187" s="100"/>
      <c r="D187" s="100"/>
      <c r="E187" s="100"/>
      <c r="F187" s="100"/>
      <c r="G187" s="100"/>
      <c r="H187" s="100"/>
      <c r="I187" s="100"/>
      <c r="J187" s="100"/>
      <c r="K187" s="100"/>
      <c r="L187" s="100"/>
      <c r="M187" s="100"/>
      <c r="N187" s="100"/>
      <c r="O187" s="100"/>
      <c r="P187" s="100"/>
      <c r="Q187" s="100"/>
      <c r="R187" s="100"/>
      <c r="S187" s="100"/>
      <c r="T187" s="100"/>
      <c r="U187" s="100"/>
      <c r="V187" s="100"/>
      <c r="W187" s="100"/>
      <c r="X187" s="100"/>
      <c r="Y187" s="100"/>
      <c r="Z187" s="100"/>
    </row>
    <row r="188" ht="15.75" customHeight="1">
      <c r="A188" s="100"/>
      <c r="B188" s="100"/>
      <c r="C188" s="100"/>
      <c r="D188" s="100"/>
      <c r="E188" s="100"/>
      <c r="F188" s="100"/>
      <c r="G188" s="100"/>
      <c r="H188" s="100"/>
      <c r="I188" s="100"/>
      <c r="J188" s="100"/>
      <c r="K188" s="100"/>
      <c r="L188" s="100"/>
      <c r="M188" s="100"/>
      <c r="N188" s="100"/>
      <c r="O188" s="100"/>
      <c r="P188" s="100"/>
      <c r="Q188" s="100"/>
      <c r="R188" s="100"/>
      <c r="S188" s="100"/>
      <c r="T188" s="100"/>
      <c r="U188" s="100"/>
      <c r="V188" s="100"/>
      <c r="W188" s="100"/>
      <c r="X188" s="100"/>
      <c r="Y188" s="100"/>
      <c r="Z188" s="100"/>
    </row>
    <row r="189" ht="15.75" customHeight="1">
      <c r="A189" s="100"/>
      <c r="B189" s="100"/>
      <c r="C189" s="100"/>
      <c r="D189" s="100"/>
      <c r="E189" s="100"/>
      <c r="F189" s="100"/>
      <c r="G189" s="100"/>
      <c r="H189" s="100"/>
      <c r="I189" s="100"/>
      <c r="J189" s="100"/>
      <c r="K189" s="100"/>
      <c r="L189" s="100"/>
      <c r="M189" s="100"/>
      <c r="N189" s="100"/>
      <c r="O189" s="100"/>
      <c r="P189" s="100"/>
      <c r="Q189" s="100"/>
      <c r="R189" s="100"/>
      <c r="S189" s="100"/>
      <c r="T189" s="100"/>
      <c r="U189" s="100"/>
      <c r="V189" s="100"/>
      <c r="W189" s="100"/>
      <c r="X189" s="100"/>
      <c r="Y189" s="100"/>
      <c r="Z189" s="100"/>
    </row>
    <row r="190" ht="15.75" customHeight="1">
      <c r="A190" s="100"/>
      <c r="B190" s="100"/>
      <c r="C190" s="100"/>
      <c r="D190" s="100"/>
      <c r="E190" s="100"/>
      <c r="F190" s="100"/>
      <c r="G190" s="100"/>
      <c r="H190" s="100"/>
      <c r="I190" s="100"/>
      <c r="J190" s="100"/>
      <c r="K190" s="100"/>
      <c r="L190" s="100"/>
      <c r="M190" s="100"/>
      <c r="N190" s="100"/>
      <c r="O190" s="100"/>
      <c r="P190" s="100"/>
      <c r="Q190" s="100"/>
      <c r="R190" s="100"/>
      <c r="S190" s="100"/>
      <c r="T190" s="100"/>
      <c r="U190" s="100"/>
      <c r="V190" s="100"/>
      <c r="W190" s="100"/>
      <c r="X190" s="100"/>
      <c r="Y190" s="100"/>
      <c r="Z190" s="100"/>
    </row>
    <row r="191" ht="15.75" customHeight="1">
      <c r="A191" s="100"/>
      <c r="B191" s="100"/>
      <c r="C191" s="100"/>
      <c r="D191" s="100"/>
      <c r="E191" s="100"/>
      <c r="F191" s="100"/>
      <c r="G191" s="100"/>
      <c r="H191" s="100"/>
      <c r="I191" s="100"/>
      <c r="J191" s="100"/>
      <c r="K191" s="100"/>
      <c r="L191" s="100"/>
      <c r="M191" s="100"/>
      <c r="N191" s="100"/>
      <c r="O191" s="100"/>
      <c r="P191" s="100"/>
      <c r="Q191" s="100"/>
      <c r="R191" s="100"/>
      <c r="S191" s="100"/>
      <c r="T191" s="100"/>
      <c r="U191" s="100"/>
      <c r="V191" s="100"/>
      <c r="W191" s="100"/>
      <c r="X191" s="100"/>
      <c r="Y191" s="100"/>
      <c r="Z191" s="100"/>
    </row>
    <row r="192" ht="15.75" customHeight="1">
      <c r="A192" s="100"/>
      <c r="B192" s="100"/>
      <c r="C192" s="100"/>
      <c r="D192" s="100"/>
      <c r="E192" s="100"/>
      <c r="F192" s="100"/>
      <c r="G192" s="100"/>
      <c r="H192" s="100"/>
      <c r="I192" s="100"/>
      <c r="J192" s="100"/>
      <c r="K192" s="100"/>
      <c r="L192" s="100"/>
      <c r="M192" s="100"/>
      <c r="N192" s="100"/>
      <c r="O192" s="100"/>
      <c r="P192" s="100"/>
      <c r="Q192" s="100"/>
      <c r="R192" s="100"/>
      <c r="S192" s="100"/>
      <c r="T192" s="100"/>
      <c r="U192" s="100"/>
      <c r="V192" s="100"/>
      <c r="W192" s="100"/>
      <c r="X192" s="100"/>
      <c r="Y192" s="100"/>
      <c r="Z192" s="100"/>
    </row>
    <row r="193" ht="15.75" customHeight="1">
      <c r="A193" s="100"/>
      <c r="B193" s="100"/>
      <c r="C193" s="100"/>
      <c r="D193" s="100"/>
      <c r="E193" s="100"/>
      <c r="F193" s="100"/>
      <c r="G193" s="100"/>
      <c r="H193" s="100"/>
      <c r="I193" s="100"/>
      <c r="J193" s="100"/>
      <c r="K193" s="100"/>
      <c r="L193" s="100"/>
      <c r="M193" s="100"/>
      <c r="N193" s="100"/>
      <c r="O193" s="100"/>
      <c r="P193" s="100"/>
      <c r="Q193" s="100"/>
      <c r="R193" s="100"/>
      <c r="S193" s="100"/>
      <c r="T193" s="100"/>
      <c r="U193" s="100"/>
      <c r="V193" s="100"/>
      <c r="W193" s="100"/>
      <c r="X193" s="100"/>
      <c r="Y193" s="100"/>
      <c r="Z193" s="100"/>
    </row>
    <row r="194" ht="15.75" customHeight="1">
      <c r="A194" s="100"/>
      <c r="B194" s="100"/>
      <c r="C194" s="100"/>
      <c r="D194" s="100"/>
      <c r="E194" s="100"/>
      <c r="F194" s="100"/>
      <c r="G194" s="100"/>
      <c r="H194" s="100"/>
      <c r="I194" s="100"/>
      <c r="J194" s="100"/>
      <c r="K194" s="100"/>
      <c r="L194" s="100"/>
      <c r="M194" s="100"/>
      <c r="N194" s="100"/>
      <c r="O194" s="100"/>
      <c r="P194" s="100"/>
      <c r="Q194" s="100"/>
      <c r="R194" s="100"/>
      <c r="S194" s="100"/>
      <c r="T194" s="100"/>
      <c r="U194" s="100"/>
      <c r="V194" s="100"/>
      <c r="W194" s="100"/>
      <c r="X194" s="100"/>
      <c r="Y194" s="100"/>
      <c r="Z194" s="100"/>
    </row>
    <row r="195" ht="15.75" customHeight="1">
      <c r="A195" s="100"/>
      <c r="B195" s="100"/>
      <c r="C195" s="100"/>
      <c r="D195" s="100"/>
      <c r="E195" s="100"/>
      <c r="F195" s="100"/>
      <c r="G195" s="100"/>
      <c r="H195" s="100"/>
      <c r="I195" s="100"/>
      <c r="J195" s="100"/>
      <c r="K195" s="100"/>
      <c r="L195" s="100"/>
      <c r="M195" s="100"/>
      <c r="N195" s="100"/>
      <c r="O195" s="100"/>
      <c r="P195" s="100"/>
      <c r="Q195" s="100"/>
      <c r="R195" s="100"/>
      <c r="S195" s="100"/>
      <c r="T195" s="100"/>
      <c r="U195" s="100"/>
      <c r="V195" s="100"/>
      <c r="W195" s="100"/>
      <c r="X195" s="100"/>
      <c r="Y195" s="100"/>
      <c r="Z195" s="100"/>
    </row>
    <row r="196" ht="15.75" customHeight="1">
      <c r="A196" s="100"/>
      <c r="B196" s="100"/>
      <c r="C196" s="100"/>
      <c r="D196" s="100"/>
      <c r="E196" s="100"/>
      <c r="F196" s="100"/>
      <c r="G196" s="100"/>
      <c r="H196" s="100"/>
      <c r="I196" s="100"/>
      <c r="J196" s="100"/>
      <c r="K196" s="100"/>
      <c r="L196" s="100"/>
      <c r="M196" s="100"/>
      <c r="N196" s="100"/>
      <c r="O196" s="100"/>
      <c r="P196" s="100"/>
      <c r="Q196" s="100"/>
      <c r="R196" s="100"/>
      <c r="S196" s="100"/>
      <c r="T196" s="100"/>
      <c r="U196" s="100"/>
      <c r="V196" s="100"/>
      <c r="W196" s="100"/>
      <c r="X196" s="100"/>
      <c r="Y196" s="100"/>
      <c r="Z196" s="100"/>
    </row>
    <row r="197" ht="15.75" customHeight="1">
      <c r="A197" s="100"/>
      <c r="B197" s="100"/>
      <c r="C197" s="100"/>
      <c r="D197" s="100"/>
      <c r="E197" s="100"/>
      <c r="F197" s="100"/>
      <c r="G197" s="100"/>
      <c r="H197" s="100"/>
      <c r="I197" s="100"/>
      <c r="J197" s="100"/>
      <c r="K197" s="100"/>
      <c r="L197" s="100"/>
      <c r="M197" s="100"/>
      <c r="N197" s="100"/>
      <c r="O197" s="100"/>
      <c r="P197" s="100"/>
      <c r="Q197" s="100"/>
      <c r="R197" s="100"/>
      <c r="S197" s="100"/>
      <c r="T197" s="100"/>
      <c r="U197" s="100"/>
      <c r="V197" s="100"/>
      <c r="W197" s="100"/>
      <c r="X197" s="100"/>
      <c r="Y197" s="100"/>
      <c r="Z197" s="100"/>
    </row>
    <row r="198" ht="15.75" customHeight="1">
      <c r="A198" s="100"/>
      <c r="B198" s="100"/>
      <c r="C198" s="100"/>
      <c r="D198" s="100"/>
      <c r="E198" s="100"/>
      <c r="F198" s="100"/>
      <c r="G198" s="100"/>
      <c r="H198" s="100"/>
      <c r="I198" s="100"/>
      <c r="J198" s="100"/>
      <c r="K198" s="100"/>
      <c r="L198" s="100"/>
      <c r="M198" s="100"/>
      <c r="N198" s="100"/>
      <c r="O198" s="100"/>
      <c r="P198" s="100"/>
      <c r="Q198" s="100"/>
      <c r="R198" s="100"/>
      <c r="S198" s="100"/>
      <c r="T198" s="100"/>
      <c r="U198" s="100"/>
      <c r="V198" s="100"/>
      <c r="W198" s="100"/>
      <c r="X198" s="100"/>
      <c r="Y198" s="100"/>
      <c r="Z198" s="100"/>
    </row>
    <row r="199" ht="15.75" customHeight="1">
      <c r="A199" s="100"/>
      <c r="B199" s="100"/>
      <c r="C199" s="100"/>
      <c r="D199" s="100"/>
      <c r="E199" s="100"/>
      <c r="F199" s="100"/>
      <c r="G199" s="100"/>
      <c r="H199" s="100"/>
      <c r="I199" s="100"/>
      <c r="J199" s="100"/>
      <c r="K199" s="100"/>
      <c r="L199" s="100"/>
      <c r="M199" s="100"/>
      <c r="N199" s="100"/>
      <c r="O199" s="100"/>
      <c r="P199" s="100"/>
      <c r="Q199" s="100"/>
      <c r="R199" s="100"/>
      <c r="S199" s="100"/>
      <c r="T199" s="100"/>
      <c r="U199" s="100"/>
      <c r="V199" s="100"/>
      <c r="W199" s="100"/>
      <c r="X199" s="100"/>
      <c r="Y199" s="100"/>
      <c r="Z199" s="100"/>
    </row>
    <row r="200" ht="15.75" customHeight="1">
      <c r="A200" s="100"/>
      <c r="B200" s="100"/>
      <c r="C200" s="100"/>
      <c r="D200" s="100"/>
      <c r="E200" s="100"/>
      <c r="F200" s="100"/>
      <c r="G200" s="100"/>
      <c r="H200" s="100"/>
      <c r="I200" s="100"/>
      <c r="J200" s="100"/>
      <c r="K200" s="100"/>
      <c r="L200" s="100"/>
      <c r="M200" s="100"/>
      <c r="N200" s="100"/>
      <c r="O200" s="100"/>
      <c r="P200" s="100"/>
      <c r="Q200" s="100"/>
      <c r="R200" s="100"/>
      <c r="S200" s="100"/>
      <c r="T200" s="100"/>
      <c r="U200" s="100"/>
      <c r="V200" s="100"/>
      <c r="W200" s="100"/>
      <c r="X200" s="100"/>
      <c r="Y200" s="100"/>
      <c r="Z200" s="100"/>
    </row>
    <row r="201" ht="15.75" customHeight="1">
      <c r="A201" s="100"/>
      <c r="B201" s="100"/>
      <c r="C201" s="100"/>
      <c r="D201" s="100"/>
      <c r="E201" s="100"/>
      <c r="F201" s="100"/>
      <c r="G201" s="100"/>
      <c r="H201" s="100"/>
      <c r="I201" s="100"/>
      <c r="J201" s="100"/>
      <c r="K201" s="100"/>
      <c r="L201" s="100"/>
      <c r="M201" s="100"/>
      <c r="N201" s="100"/>
      <c r="O201" s="100"/>
      <c r="P201" s="100"/>
      <c r="Q201" s="100"/>
      <c r="R201" s="100"/>
      <c r="S201" s="100"/>
      <c r="T201" s="100"/>
      <c r="U201" s="100"/>
      <c r="V201" s="100"/>
      <c r="W201" s="100"/>
      <c r="X201" s="100"/>
      <c r="Y201" s="100"/>
      <c r="Z201" s="100"/>
    </row>
    <row r="202" ht="15.75" customHeight="1">
      <c r="A202" s="100"/>
      <c r="B202" s="100"/>
      <c r="C202" s="100"/>
      <c r="D202" s="100"/>
      <c r="E202" s="100"/>
      <c r="F202" s="100"/>
      <c r="G202" s="100"/>
      <c r="H202" s="100"/>
      <c r="I202" s="100"/>
      <c r="J202" s="100"/>
      <c r="K202" s="100"/>
      <c r="L202" s="100"/>
      <c r="M202" s="100"/>
      <c r="N202" s="100"/>
      <c r="O202" s="100"/>
      <c r="P202" s="100"/>
      <c r="Q202" s="100"/>
      <c r="R202" s="100"/>
      <c r="S202" s="100"/>
      <c r="T202" s="100"/>
      <c r="U202" s="100"/>
      <c r="V202" s="100"/>
      <c r="W202" s="100"/>
      <c r="X202" s="100"/>
      <c r="Y202" s="100"/>
      <c r="Z202" s="100"/>
    </row>
    <row r="203" ht="15.75" customHeight="1">
      <c r="A203" s="100"/>
      <c r="B203" s="100"/>
      <c r="C203" s="100"/>
      <c r="D203" s="100"/>
      <c r="E203" s="100"/>
      <c r="F203" s="100"/>
      <c r="G203" s="100"/>
      <c r="H203" s="100"/>
      <c r="I203" s="100"/>
      <c r="J203" s="100"/>
      <c r="K203" s="100"/>
      <c r="L203" s="100"/>
      <c r="M203" s="100"/>
      <c r="N203" s="100"/>
      <c r="O203" s="100"/>
      <c r="P203" s="100"/>
      <c r="Q203" s="100"/>
      <c r="R203" s="100"/>
      <c r="S203" s="100"/>
      <c r="T203" s="100"/>
      <c r="U203" s="100"/>
      <c r="V203" s="100"/>
      <c r="W203" s="100"/>
      <c r="X203" s="100"/>
      <c r="Y203" s="100"/>
      <c r="Z203" s="100"/>
    </row>
    <row r="204" ht="15.75" customHeight="1">
      <c r="A204" s="100"/>
      <c r="B204" s="100"/>
      <c r="C204" s="100"/>
      <c r="D204" s="100"/>
      <c r="E204" s="100"/>
      <c r="F204" s="100"/>
      <c r="G204" s="100"/>
      <c r="H204" s="100"/>
      <c r="I204" s="100"/>
      <c r="J204" s="100"/>
      <c r="K204" s="100"/>
      <c r="L204" s="100"/>
      <c r="M204" s="100"/>
      <c r="N204" s="100"/>
      <c r="O204" s="100"/>
      <c r="P204" s="100"/>
      <c r="Q204" s="100"/>
      <c r="R204" s="100"/>
      <c r="S204" s="100"/>
      <c r="T204" s="100"/>
      <c r="U204" s="100"/>
      <c r="V204" s="100"/>
      <c r="W204" s="100"/>
      <c r="X204" s="100"/>
      <c r="Y204" s="100"/>
      <c r="Z204" s="100"/>
    </row>
    <row r="205" ht="15.75" customHeight="1">
      <c r="A205" s="100"/>
      <c r="B205" s="100"/>
      <c r="C205" s="100"/>
      <c r="D205" s="100"/>
      <c r="E205" s="100"/>
      <c r="F205" s="100"/>
      <c r="G205" s="100"/>
      <c r="H205" s="100"/>
      <c r="I205" s="100"/>
      <c r="J205" s="100"/>
      <c r="K205" s="100"/>
      <c r="L205" s="100"/>
      <c r="M205" s="100"/>
      <c r="N205" s="100"/>
      <c r="O205" s="100"/>
      <c r="P205" s="100"/>
      <c r="Q205" s="100"/>
      <c r="R205" s="100"/>
      <c r="S205" s="100"/>
      <c r="T205" s="100"/>
      <c r="U205" s="100"/>
      <c r="V205" s="100"/>
      <c r="W205" s="100"/>
      <c r="X205" s="100"/>
      <c r="Y205" s="100"/>
      <c r="Z205" s="100"/>
    </row>
    <row r="206" ht="15.75" customHeight="1">
      <c r="A206" s="100"/>
      <c r="B206" s="100"/>
      <c r="C206" s="100"/>
      <c r="D206" s="100"/>
      <c r="E206" s="100"/>
      <c r="F206" s="100"/>
      <c r="G206" s="100"/>
      <c r="H206" s="100"/>
      <c r="I206" s="100"/>
      <c r="J206" s="100"/>
      <c r="K206" s="100"/>
      <c r="L206" s="100"/>
      <c r="M206" s="100"/>
      <c r="N206" s="100"/>
      <c r="O206" s="100"/>
      <c r="P206" s="100"/>
      <c r="Q206" s="100"/>
      <c r="R206" s="100"/>
      <c r="S206" s="100"/>
      <c r="T206" s="100"/>
      <c r="U206" s="100"/>
      <c r="V206" s="100"/>
      <c r="W206" s="100"/>
      <c r="X206" s="100"/>
      <c r="Y206" s="100"/>
      <c r="Z206" s="100"/>
    </row>
    <row r="207" ht="15.75" customHeight="1">
      <c r="A207" s="100"/>
      <c r="B207" s="100"/>
      <c r="C207" s="100"/>
      <c r="D207" s="100"/>
      <c r="E207" s="100"/>
      <c r="F207" s="100"/>
      <c r="G207" s="100"/>
      <c r="H207" s="100"/>
      <c r="I207" s="100"/>
      <c r="J207" s="100"/>
      <c r="K207" s="100"/>
      <c r="L207" s="100"/>
      <c r="M207" s="100"/>
      <c r="N207" s="100"/>
      <c r="O207" s="100"/>
      <c r="P207" s="100"/>
      <c r="Q207" s="100"/>
      <c r="R207" s="100"/>
      <c r="S207" s="100"/>
      <c r="T207" s="100"/>
      <c r="U207" s="100"/>
      <c r="V207" s="100"/>
      <c r="W207" s="100"/>
      <c r="X207" s="100"/>
      <c r="Y207" s="100"/>
      <c r="Z207" s="100"/>
    </row>
    <row r="208" ht="15.75" customHeight="1">
      <c r="A208" s="100"/>
      <c r="B208" s="100"/>
      <c r="C208" s="100"/>
      <c r="D208" s="100"/>
      <c r="E208" s="100"/>
      <c r="F208" s="100"/>
      <c r="G208" s="100"/>
      <c r="H208" s="100"/>
      <c r="I208" s="100"/>
      <c r="J208" s="100"/>
      <c r="K208" s="100"/>
      <c r="L208" s="100"/>
      <c r="M208" s="100"/>
      <c r="N208" s="100"/>
      <c r="O208" s="100"/>
      <c r="P208" s="100"/>
      <c r="Q208" s="100"/>
      <c r="R208" s="100"/>
      <c r="S208" s="100"/>
      <c r="T208" s="100"/>
      <c r="U208" s="100"/>
      <c r="V208" s="100"/>
      <c r="W208" s="100"/>
      <c r="X208" s="100"/>
      <c r="Y208" s="100"/>
      <c r="Z208" s="100"/>
    </row>
    <row r="209" ht="15.75" customHeight="1">
      <c r="A209" s="100"/>
      <c r="B209" s="100"/>
      <c r="C209" s="100"/>
      <c r="D209" s="100"/>
      <c r="E209" s="100"/>
      <c r="F209" s="100"/>
      <c r="G209" s="100"/>
      <c r="H209" s="100"/>
      <c r="I209" s="100"/>
      <c r="J209" s="100"/>
      <c r="K209" s="100"/>
      <c r="L209" s="100"/>
      <c r="M209" s="100"/>
      <c r="N209" s="100"/>
      <c r="O209" s="100"/>
      <c r="P209" s="100"/>
      <c r="Q209" s="100"/>
      <c r="R209" s="100"/>
      <c r="S209" s="100"/>
      <c r="T209" s="100"/>
      <c r="U209" s="100"/>
      <c r="V209" s="100"/>
      <c r="W209" s="100"/>
      <c r="X209" s="100"/>
      <c r="Y209" s="100"/>
      <c r="Z209" s="100"/>
    </row>
    <row r="210" ht="15.75" customHeight="1">
      <c r="A210" s="100"/>
      <c r="B210" s="100"/>
      <c r="C210" s="100"/>
      <c r="D210" s="100"/>
      <c r="E210" s="100"/>
      <c r="F210" s="100"/>
      <c r="G210" s="100"/>
      <c r="H210" s="100"/>
      <c r="I210" s="100"/>
      <c r="J210" s="100"/>
      <c r="K210" s="100"/>
      <c r="L210" s="100"/>
      <c r="M210" s="100"/>
      <c r="N210" s="100"/>
      <c r="O210" s="100"/>
      <c r="P210" s="100"/>
      <c r="Q210" s="100"/>
      <c r="R210" s="100"/>
      <c r="S210" s="100"/>
      <c r="T210" s="100"/>
      <c r="U210" s="100"/>
      <c r="V210" s="100"/>
      <c r="W210" s="100"/>
      <c r="X210" s="100"/>
      <c r="Y210" s="100"/>
      <c r="Z210" s="100"/>
    </row>
    <row r="211" ht="15.75" customHeight="1">
      <c r="A211" s="100"/>
      <c r="B211" s="100"/>
      <c r="C211" s="100"/>
      <c r="D211" s="100"/>
      <c r="E211" s="100"/>
      <c r="F211" s="100"/>
      <c r="G211" s="100"/>
      <c r="H211" s="100"/>
      <c r="I211" s="100"/>
      <c r="J211" s="100"/>
      <c r="K211" s="100"/>
      <c r="L211" s="100"/>
      <c r="M211" s="100"/>
      <c r="N211" s="100"/>
      <c r="O211" s="100"/>
      <c r="P211" s="100"/>
      <c r="Q211" s="100"/>
      <c r="R211" s="100"/>
      <c r="S211" s="100"/>
      <c r="T211" s="100"/>
      <c r="U211" s="100"/>
      <c r="V211" s="100"/>
      <c r="W211" s="100"/>
      <c r="X211" s="100"/>
      <c r="Y211" s="100"/>
      <c r="Z211" s="100"/>
    </row>
    <row r="212" ht="15.75" customHeight="1">
      <c r="A212" s="100"/>
      <c r="B212" s="100"/>
      <c r="C212" s="100"/>
      <c r="D212" s="100"/>
      <c r="E212" s="100"/>
      <c r="F212" s="100"/>
      <c r="G212" s="100"/>
      <c r="H212" s="100"/>
      <c r="I212" s="100"/>
      <c r="J212" s="100"/>
      <c r="K212" s="100"/>
      <c r="L212" s="100"/>
      <c r="M212" s="100"/>
      <c r="N212" s="100"/>
      <c r="O212" s="100"/>
      <c r="P212" s="100"/>
      <c r="Q212" s="100"/>
      <c r="R212" s="100"/>
      <c r="S212" s="100"/>
      <c r="T212" s="100"/>
      <c r="U212" s="100"/>
      <c r="V212" s="100"/>
      <c r="W212" s="100"/>
      <c r="X212" s="100"/>
      <c r="Y212" s="100"/>
      <c r="Z212" s="100"/>
    </row>
    <row r="213" ht="15.75" customHeight="1">
      <c r="A213" s="100"/>
      <c r="B213" s="100"/>
      <c r="C213" s="100"/>
      <c r="D213" s="100"/>
      <c r="E213" s="100"/>
      <c r="F213" s="100"/>
      <c r="G213" s="100"/>
      <c r="H213" s="100"/>
      <c r="I213" s="100"/>
      <c r="J213" s="100"/>
      <c r="K213" s="100"/>
      <c r="L213" s="100"/>
      <c r="M213" s="100"/>
      <c r="N213" s="100"/>
      <c r="O213" s="100"/>
      <c r="P213" s="100"/>
      <c r="Q213" s="100"/>
      <c r="R213" s="100"/>
      <c r="S213" s="100"/>
      <c r="T213" s="100"/>
      <c r="U213" s="100"/>
      <c r="V213" s="100"/>
      <c r="W213" s="100"/>
      <c r="X213" s="100"/>
      <c r="Y213" s="100"/>
      <c r="Z213" s="100"/>
    </row>
    <row r="214" ht="15.75" customHeight="1">
      <c r="A214" s="100"/>
      <c r="B214" s="100"/>
      <c r="C214" s="100"/>
      <c r="D214" s="100"/>
      <c r="E214" s="100"/>
      <c r="F214" s="100"/>
      <c r="G214" s="100"/>
      <c r="H214" s="100"/>
      <c r="I214" s="100"/>
      <c r="J214" s="100"/>
      <c r="K214" s="100"/>
      <c r="L214" s="100"/>
      <c r="M214" s="100"/>
      <c r="N214" s="100"/>
      <c r="O214" s="100"/>
      <c r="P214" s="100"/>
      <c r="Q214" s="100"/>
      <c r="R214" s="100"/>
      <c r="S214" s="100"/>
      <c r="T214" s="100"/>
      <c r="U214" s="100"/>
      <c r="V214" s="100"/>
      <c r="W214" s="100"/>
      <c r="X214" s="100"/>
      <c r="Y214" s="100"/>
      <c r="Z214" s="100"/>
    </row>
    <row r="215" ht="15.75" customHeight="1">
      <c r="A215" s="100"/>
      <c r="B215" s="100"/>
      <c r="C215" s="100"/>
      <c r="D215" s="100"/>
      <c r="E215" s="100"/>
      <c r="F215" s="100"/>
      <c r="G215" s="100"/>
      <c r="H215" s="100"/>
      <c r="I215" s="100"/>
      <c r="J215" s="100"/>
      <c r="K215" s="100"/>
      <c r="L215" s="100"/>
      <c r="M215" s="100"/>
      <c r="N215" s="100"/>
      <c r="O215" s="100"/>
      <c r="P215" s="100"/>
      <c r="Q215" s="100"/>
      <c r="R215" s="100"/>
      <c r="S215" s="100"/>
      <c r="T215" s="100"/>
      <c r="U215" s="100"/>
      <c r="V215" s="100"/>
      <c r="W215" s="100"/>
      <c r="X215" s="100"/>
      <c r="Y215" s="100"/>
      <c r="Z215" s="100"/>
    </row>
    <row r="216" ht="15.75" customHeight="1">
      <c r="A216" s="100"/>
      <c r="B216" s="100"/>
      <c r="C216" s="100"/>
      <c r="D216" s="100"/>
      <c r="E216" s="100"/>
      <c r="F216" s="100"/>
      <c r="G216" s="100"/>
      <c r="H216" s="100"/>
      <c r="I216" s="100"/>
      <c r="J216" s="100"/>
      <c r="K216" s="100"/>
      <c r="L216" s="100"/>
      <c r="M216" s="100"/>
      <c r="N216" s="100"/>
      <c r="O216" s="100"/>
      <c r="P216" s="100"/>
      <c r="Q216" s="100"/>
      <c r="R216" s="100"/>
      <c r="S216" s="100"/>
      <c r="T216" s="100"/>
      <c r="U216" s="100"/>
      <c r="V216" s="100"/>
      <c r="W216" s="100"/>
      <c r="X216" s="100"/>
      <c r="Y216" s="100"/>
      <c r="Z216" s="100"/>
    </row>
    <row r="217" ht="15.75" customHeight="1">
      <c r="A217" s="100"/>
      <c r="B217" s="100"/>
      <c r="C217" s="100"/>
      <c r="D217" s="100"/>
      <c r="E217" s="100"/>
      <c r="F217" s="100"/>
      <c r="G217" s="100"/>
      <c r="H217" s="100"/>
      <c r="I217" s="100"/>
      <c r="J217" s="100"/>
      <c r="K217" s="100"/>
      <c r="L217" s="100"/>
      <c r="M217" s="100"/>
      <c r="N217" s="100"/>
      <c r="O217" s="100"/>
      <c r="P217" s="100"/>
      <c r="Q217" s="100"/>
      <c r="R217" s="100"/>
      <c r="S217" s="100"/>
      <c r="T217" s="100"/>
      <c r="U217" s="100"/>
      <c r="V217" s="100"/>
      <c r="W217" s="100"/>
      <c r="X217" s="100"/>
      <c r="Y217" s="100"/>
      <c r="Z217" s="100"/>
    </row>
    <row r="218" ht="15.75" customHeight="1">
      <c r="A218" s="100"/>
      <c r="B218" s="100"/>
      <c r="C218" s="100"/>
      <c r="D218" s="100"/>
      <c r="E218" s="100"/>
      <c r="F218" s="100"/>
      <c r="G218" s="100"/>
      <c r="H218" s="100"/>
      <c r="I218" s="100"/>
      <c r="J218" s="100"/>
      <c r="K218" s="100"/>
      <c r="L218" s="100"/>
      <c r="M218" s="100"/>
      <c r="N218" s="100"/>
      <c r="O218" s="100"/>
      <c r="P218" s="100"/>
      <c r="Q218" s="100"/>
      <c r="R218" s="100"/>
      <c r="S218" s="100"/>
      <c r="T218" s="100"/>
      <c r="U218" s="100"/>
      <c r="V218" s="100"/>
      <c r="W218" s="100"/>
      <c r="X218" s="100"/>
      <c r="Y218" s="100"/>
      <c r="Z218" s="100"/>
    </row>
    <row r="219" ht="15.75" customHeight="1">
      <c r="A219" s="100"/>
      <c r="B219" s="100"/>
      <c r="C219" s="100"/>
      <c r="D219" s="100"/>
      <c r="E219" s="100"/>
      <c r="F219" s="100"/>
      <c r="G219" s="100"/>
      <c r="H219" s="100"/>
      <c r="I219" s="100"/>
      <c r="J219" s="100"/>
      <c r="K219" s="100"/>
      <c r="L219" s="100"/>
      <c r="M219" s="100"/>
      <c r="N219" s="100"/>
      <c r="O219" s="100"/>
      <c r="P219" s="100"/>
      <c r="Q219" s="100"/>
      <c r="R219" s="100"/>
      <c r="S219" s="100"/>
      <c r="T219" s="100"/>
      <c r="U219" s="100"/>
      <c r="V219" s="100"/>
      <c r="W219" s="100"/>
      <c r="X219" s="100"/>
      <c r="Y219" s="100"/>
      <c r="Z219" s="100"/>
    </row>
    <row r="220" ht="15.75" customHeight="1">
      <c r="A220" s="100"/>
      <c r="B220" s="100"/>
      <c r="C220" s="100"/>
      <c r="D220" s="100"/>
      <c r="E220" s="100"/>
      <c r="F220" s="100"/>
      <c r="G220" s="100"/>
      <c r="H220" s="100"/>
      <c r="I220" s="100"/>
      <c r="J220" s="100"/>
      <c r="K220" s="100"/>
      <c r="L220" s="100"/>
      <c r="M220" s="100"/>
      <c r="N220" s="100"/>
      <c r="O220" s="100"/>
      <c r="P220" s="100"/>
      <c r="Q220" s="100"/>
      <c r="R220" s="100"/>
      <c r="S220" s="100"/>
      <c r="T220" s="100"/>
      <c r="U220" s="100"/>
      <c r="V220" s="100"/>
      <c r="W220" s="100"/>
      <c r="X220" s="100"/>
      <c r="Y220" s="100"/>
      <c r="Z220" s="100"/>
    </row>
    <row r="221" ht="15.75" customHeight="1">
      <c r="A221" s="103"/>
      <c r="B221" s="103"/>
      <c r="C221" s="103"/>
      <c r="D221" s="103"/>
      <c r="E221" s="103"/>
      <c r="F221" s="103"/>
      <c r="G221" s="103"/>
      <c r="H221" s="103"/>
      <c r="I221" s="103"/>
      <c r="J221" s="103"/>
      <c r="K221" s="103"/>
      <c r="L221" s="103"/>
      <c r="M221" s="103"/>
      <c r="N221" s="103"/>
      <c r="O221" s="103"/>
      <c r="P221" s="103"/>
      <c r="Q221" s="103"/>
      <c r="R221" s="103"/>
      <c r="S221" s="103"/>
      <c r="T221" s="103"/>
      <c r="U221" s="103"/>
      <c r="V221" s="103"/>
      <c r="W221" s="103"/>
      <c r="X221" s="103"/>
      <c r="Y221" s="103"/>
      <c r="Z221" s="103"/>
    </row>
    <row r="222" ht="15.75" customHeight="1">
      <c r="A222" s="103"/>
      <c r="B222" s="103"/>
      <c r="C222" s="103"/>
      <c r="D222" s="103"/>
      <c r="E222" s="103"/>
      <c r="F222" s="103"/>
      <c r="G222" s="103"/>
      <c r="H222" s="103"/>
      <c r="I222" s="103"/>
      <c r="J222" s="103"/>
      <c r="K222" s="103"/>
      <c r="L222" s="103"/>
      <c r="M222" s="103"/>
      <c r="N222" s="103"/>
      <c r="O222" s="103"/>
      <c r="P222" s="103"/>
      <c r="Q222" s="103"/>
      <c r="R222" s="103"/>
      <c r="S222" s="103"/>
      <c r="T222" s="103"/>
      <c r="U222" s="103"/>
      <c r="V222" s="103"/>
      <c r="W222" s="103"/>
      <c r="X222" s="103"/>
      <c r="Y222" s="103"/>
      <c r="Z222" s="103"/>
    </row>
    <row r="223" ht="15.75" customHeight="1">
      <c r="A223" s="103"/>
      <c r="B223" s="103"/>
      <c r="C223" s="103"/>
      <c r="D223" s="103"/>
      <c r="E223" s="103"/>
      <c r="F223" s="103"/>
      <c r="G223" s="103"/>
      <c r="H223" s="103"/>
      <c r="I223" s="103"/>
      <c r="J223" s="103"/>
      <c r="K223" s="103"/>
      <c r="L223" s="103"/>
      <c r="M223" s="103"/>
      <c r="N223" s="103"/>
      <c r="O223" s="103"/>
      <c r="P223" s="103"/>
      <c r="Q223" s="103"/>
      <c r="R223" s="103"/>
      <c r="S223" s="103"/>
      <c r="T223" s="103"/>
      <c r="U223" s="103"/>
      <c r="V223" s="103"/>
      <c r="W223" s="103"/>
      <c r="X223" s="103"/>
      <c r="Y223" s="103"/>
      <c r="Z223" s="103"/>
    </row>
    <row r="224" ht="15.75" customHeight="1">
      <c r="A224" s="103"/>
      <c r="B224" s="103"/>
      <c r="C224" s="103"/>
      <c r="D224" s="103"/>
      <c r="E224" s="103"/>
      <c r="F224" s="103"/>
      <c r="G224" s="103"/>
      <c r="H224" s="103"/>
      <c r="I224" s="103"/>
      <c r="J224" s="103"/>
      <c r="K224" s="103"/>
      <c r="L224" s="103"/>
      <c r="M224" s="103"/>
      <c r="N224" s="103"/>
      <c r="O224" s="103"/>
      <c r="P224" s="103"/>
      <c r="Q224" s="103"/>
      <c r="R224" s="103"/>
      <c r="S224" s="103"/>
      <c r="T224" s="103"/>
      <c r="U224" s="103"/>
      <c r="V224" s="103"/>
      <c r="W224" s="103"/>
      <c r="X224" s="103"/>
      <c r="Y224" s="103"/>
      <c r="Z224" s="103"/>
    </row>
    <row r="225" ht="15.75" customHeight="1">
      <c r="A225" s="103"/>
      <c r="B225" s="103"/>
      <c r="C225" s="103"/>
      <c r="D225" s="103"/>
      <c r="E225" s="103"/>
      <c r="F225" s="103"/>
      <c r="G225" s="103"/>
      <c r="H225" s="103"/>
      <c r="I225" s="103"/>
      <c r="J225" s="103"/>
      <c r="K225" s="103"/>
      <c r="L225" s="103"/>
      <c r="M225" s="103"/>
      <c r="N225" s="103"/>
      <c r="O225" s="103"/>
      <c r="P225" s="103"/>
      <c r="Q225" s="103"/>
      <c r="R225" s="103"/>
      <c r="S225" s="103"/>
      <c r="T225" s="103"/>
      <c r="U225" s="103"/>
      <c r="V225" s="103"/>
      <c r="W225" s="103"/>
      <c r="X225" s="103"/>
      <c r="Y225" s="103"/>
      <c r="Z225" s="103"/>
    </row>
    <row r="226" ht="15.75" customHeight="1">
      <c r="A226" s="103"/>
      <c r="B226" s="103"/>
      <c r="C226" s="103"/>
      <c r="D226" s="103"/>
      <c r="E226" s="103"/>
      <c r="F226" s="103"/>
      <c r="G226" s="103"/>
      <c r="H226" s="103"/>
      <c r="I226" s="103"/>
      <c r="J226" s="103"/>
      <c r="K226" s="103"/>
      <c r="L226" s="103"/>
      <c r="M226" s="103"/>
      <c r="N226" s="103"/>
      <c r="O226" s="103"/>
      <c r="P226" s="103"/>
      <c r="Q226" s="103"/>
      <c r="R226" s="103"/>
      <c r="S226" s="103"/>
      <c r="T226" s="103"/>
      <c r="U226" s="103"/>
      <c r="V226" s="103"/>
      <c r="W226" s="103"/>
      <c r="X226" s="103"/>
      <c r="Y226" s="103"/>
      <c r="Z226" s="103"/>
    </row>
    <row r="227" ht="15.75" customHeight="1">
      <c r="A227" s="103"/>
      <c r="B227" s="103"/>
      <c r="C227" s="103"/>
      <c r="D227" s="103"/>
      <c r="E227" s="103"/>
      <c r="F227" s="103"/>
      <c r="G227" s="103"/>
      <c r="H227" s="103"/>
      <c r="I227" s="103"/>
      <c r="J227" s="103"/>
      <c r="K227" s="103"/>
      <c r="L227" s="103"/>
      <c r="M227" s="103"/>
      <c r="N227" s="103"/>
      <c r="O227" s="103"/>
      <c r="P227" s="103"/>
      <c r="Q227" s="103"/>
      <c r="R227" s="103"/>
      <c r="S227" s="103"/>
      <c r="T227" s="103"/>
      <c r="U227" s="103"/>
      <c r="V227" s="103"/>
      <c r="W227" s="103"/>
      <c r="X227" s="103"/>
      <c r="Y227" s="103"/>
      <c r="Z227" s="103"/>
    </row>
    <row r="228" ht="15.75" customHeight="1">
      <c r="A228" s="103"/>
      <c r="B228" s="103"/>
      <c r="C228" s="103"/>
      <c r="D228" s="103"/>
      <c r="E228" s="103"/>
      <c r="F228" s="103"/>
      <c r="G228" s="103"/>
      <c r="H228" s="103"/>
      <c r="I228" s="103"/>
      <c r="J228" s="103"/>
      <c r="K228" s="103"/>
      <c r="L228" s="103"/>
      <c r="M228" s="103"/>
      <c r="N228" s="103"/>
      <c r="O228" s="103"/>
      <c r="P228" s="103"/>
      <c r="Q228" s="103"/>
      <c r="R228" s="103"/>
      <c r="S228" s="103"/>
      <c r="T228" s="103"/>
      <c r="U228" s="103"/>
      <c r="V228" s="103"/>
      <c r="W228" s="103"/>
      <c r="X228" s="103"/>
      <c r="Y228" s="103"/>
      <c r="Z228" s="103"/>
    </row>
    <row r="229" ht="15.75" customHeight="1">
      <c r="A229" s="103"/>
      <c r="B229" s="103"/>
      <c r="C229" s="103"/>
      <c r="D229" s="103"/>
      <c r="E229" s="103"/>
      <c r="F229" s="103"/>
      <c r="G229" s="103"/>
      <c r="H229" s="103"/>
      <c r="I229" s="103"/>
      <c r="J229" s="103"/>
      <c r="K229" s="103"/>
      <c r="L229" s="103"/>
      <c r="M229" s="103"/>
      <c r="N229" s="103"/>
      <c r="O229" s="103"/>
      <c r="P229" s="103"/>
      <c r="Q229" s="103"/>
      <c r="R229" s="103"/>
      <c r="S229" s="103"/>
      <c r="T229" s="103"/>
      <c r="U229" s="103"/>
      <c r="V229" s="103"/>
      <c r="W229" s="103"/>
      <c r="X229" s="103"/>
      <c r="Y229" s="103"/>
      <c r="Z229" s="103"/>
    </row>
    <row r="230" ht="15.75" customHeight="1">
      <c r="A230" s="103"/>
      <c r="B230" s="103"/>
      <c r="C230" s="103"/>
      <c r="D230" s="103"/>
      <c r="E230" s="103"/>
      <c r="F230" s="103"/>
      <c r="G230" s="103"/>
      <c r="H230" s="103"/>
      <c r="I230" s="103"/>
      <c r="J230" s="103"/>
      <c r="K230" s="103"/>
      <c r="L230" s="103"/>
      <c r="M230" s="103"/>
      <c r="N230" s="103"/>
      <c r="O230" s="103"/>
      <c r="P230" s="103"/>
      <c r="Q230" s="103"/>
      <c r="R230" s="103"/>
      <c r="S230" s="103"/>
      <c r="T230" s="103"/>
      <c r="U230" s="103"/>
      <c r="V230" s="103"/>
      <c r="W230" s="103"/>
      <c r="X230" s="103"/>
      <c r="Y230" s="103"/>
      <c r="Z230" s="103"/>
    </row>
    <row r="231" ht="15.75" customHeight="1">
      <c r="A231" s="103"/>
      <c r="B231" s="103"/>
      <c r="C231" s="103"/>
      <c r="D231" s="103"/>
      <c r="E231" s="103"/>
      <c r="F231" s="103"/>
      <c r="G231" s="103"/>
      <c r="H231" s="103"/>
      <c r="I231" s="103"/>
      <c r="J231" s="103"/>
      <c r="K231" s="103"/>
      <c r="L231" s="103"/>
      <c r="M231" s="103"/>
      <c r="N231" s="103"/>
      <c r="O231" s="103"/>
      <c r="P231" s="103"/>
      <c r="Q231" s="103"/>
      <c r="R231" s="103"/>
      <c r="S231" s="103"/>
      <c r="T231" s="103"/>
      <c r="U231" s="103"/>
      <c r="V231" s="103"/>
      <c r="W231" s="103"/>
      <c r="X231" s="103"/>
      <c r="Y231" s="103"/>
      <c r="Z231" s="103"/>
    </row>
    <row r="232" ht="15.75" customHeight="1">
      <c r="A232" s="103"/>
      <c r="B232" s="103"/>
      <c r="C232" s="103"/>
      <c r="D232" s="103"/>
      <c r="E232" s="103"/>
      <c r="F232" s="103"/>
      <c r="G232" s="103"/>
      <c r="H232" s="103"/>
      <c r="I232" s="103"/>
      <c r="J232" s="103"/>
      <c r="K232" s="103"/>
      <c r="L232" s="103"/>
      <c r="M232" s="103"/>
      <c r="N232" s="103"/>
      <c r="O232" s="103"/>
      <c r="P232" s="103"/>
      <c r="Q232" s="103"/>
      <c r="R232" s="103"/>
      <c r="S232" s="103"/>
      <c r="T232" s="103"/>
      <c r="U232" s="103"/>
      <c r="V232" s="103"/>
      <c r="W232" s="103"/>
      <c r="X232" s="103"/>
      <c r="Y232" s="103"/>
      <c r="Z232" s="103"/>
    </row>
    <row r="233" ht="15.75" customHeight="1">
      <c r="A233" s="103"/>
      <c r="B233" s="103"/>
      <c r="C233" s="103"/>
      <c r="D233" s="103"/>
      <c r="E233" s="103"/>
      <c r="F233" s="103"/>
      <c r="G233" s="103"/>
      <c r="H233" s="103"/>
      <c r="I233" s="103"/>
      <c r="J233" s="103"/>
      <c r="K233" s="103"/>
      <c r="L233" s="103"/>
      <c r="M233" s="103"/>
      <c r="N233" s="103"/>
      <c r="O233" s="103"/>
      <c r="P233" s="103"/>
      <c r="Q233" s="103"/>
      <c r="R233" s="103"/>
      <c r="S233" s="103"/>
      <c r="T233" s="103"/>
      <c r="U233" s="103"/>
      <c r="V233" s="103"/>
      <c r="W233" s="103"/>
      <c r="X233" s="103"/>
      <c r="Y233" s="103"/>
      <c r="Z233" s="103"/>
    </row>
    <row r="234" ht="15.75" customHeight="1">
      <c r="A234" s="103"/>
      <c r="B234" s="103"/>
      <c r="C234" s="103"/>
      <c r="D234" s="103"/>
      <c r="E234" s="103"/>
      <c r="F234" s="103"/>
      <c r="G234" s="103"/>
      <c r="H234" s="103"/>
      <c r="I234" s="103"/>
      <c r="J234" s="103"/>
      <c r="K234" s="103"/>
      <c r="L234" s="103"/>
      <c r="M234" s="103"/>
      <c r="N234" s="103"/>
      <c r="O234" s="103"/>
      <c r="P234" s="103"/>
      <c r="Q234" s="103"/>
      <c r="R234" s="103"/>
      <c r="S234" s="103"/>
      <c r="T234" s="103"/>
      <c r="U234" s="103"/>
      <c r="V234" s="103"/>
      <c r="W234" s="103"/>
      <c r="X234" s="103"/>
      <c r="Y234" s="103"/>
      <c r="Z234" s="103"/>
    </row>
    <row r="235" ht="15.75" customHeight="1">
      <c r="A235" s="103"/>
      <c r="B235" s="103"/>
      <c r="C235" s="103"/>
      <c r="D235" s="103"/>
      <c r="E235" s="103"/>
      <c r="F235" s="103"/>
      <c r="G235" s="103"/>
      <c r="H235" s="103"/>
      <c r="I235" s="103"/>
      <c r="J235" s="103"/>
      <c r="K235" s="103"/>
      <c r="L235" s="103"/>
      <c r="M235" s="103"/>
      <c r="N235" s="103"/>
      <c r="O235" s="103"/>
      <c r="P235" s="103"/>
      <c r="Q235" s="103"/>
      <c r="R235" s="103"/>
      <c r="S235" s="103"/>
      <c r="T235" s="103"/>
      <c r="U235" s="103"/>
      <c r="V235" s="103"/>
      <c r="W235" s="103"/>
      <c r="X235" s="103"/>
      <c r="Y235" s="103"/>
      <c r="Z235" s="103"/>
    </row>
    <row r="236" ht="15.75" customHeight="1">
      <c r="A236" s="103"/>
      <c r="B236" s="103"/>
      <c r="C236" s="103"/>
      <c r="D236" s="103"/>
      <c r="E236" s="103"/>
      <c r="F236" s="103"/>
      <c r="G236" s="103"/>
      <c r="H236" s="103"/>
      <c r="I236" s="103"/>
      <c r="J236" s="103"/>
      <c r="K236" s="103"/>
      <c r="L236" s="103"/>
      <c r="M236" s="103"/>
      <c r="N236" s="103"/>
      <c r="O236" s="103"/>
      <c r="P236" s="103"/>
      <c r="Q236" s="103"/>
      <c r="R236" s="103"/>
      <c r="S236" s="103"/>
      <c r="T236" s="103"/>
      <c r="U236" s="103"/>
      <c r="V236" s="103"/>
      <c r="W236" s="103"/>
      <c r="X236" s="103"/>
      <c r="Y236" s="103"/>
      <c r="Z236" s="103"/>
    </row>
    <row r="237" ht="15.75" customHeight="1">
      <c r="A237" s="103"/>
      <c r="B237" s="103"/>
      <c r="C237" s="103"/>
      <c r="D237" s="103"/>
      <c r="E237" s="103"/>
      <c r="F237" s="103"/>
      <c r="G237" s="103"/>
      <c r="H237" s="103"/>
      <c r="I237" s="103"/>
      <c r="J237" s="103"/>
      <c r="K237" s="103"/>
      <c r="L237" s="103"/>
      <c r="M237" s="103"/>
      <c r="N237" s="103"/>
      <c r="O237" s="103"/>
      <c r="P237" s="103"/>
      <c r="Q237" s="103"/>
      <c r="R237" s="103"/>
      <c r="S237" s="103"/>
      <c r="T237" s="103"/>
      <c r="U237" s="103"/>
      <c r="V237" s="103"/>
      <c r="W237" s="103"/>
      <c r="X237" s="103"/>
      <c r="Y237" s="103"/>
      <c r="Z237" s="103"/>
    </row>
    <row r="238" ht="15.75" customHeight="1">
      <c r="A238" s="103"/>
      <c r="B238" s="103"/>
      <c r="C238" s="103"/>
      <c r="D238" s="103"/>
      <c r="E238" s="103"/>
      <c r="F238" s="103"/>
      <c r="G238" s="103"/>
      <c r="H238" s="103"/>
      <c r="I238" s="103"/>
      <c r="J238" s="103"/>
      <c r="K238" s="103"/>
      <c r="L238" s="103"/>
      <c r="M238" s="103"/>
      <c r="N238" s="103"/>
      <c r="O238" s="103"/>
      <c r="P238" s="103"/>
      <c r="Q238" s="103"/>
      <c r="R238" s="103"/>
      <c r="S238" s="103"/>
      <c r="T238" s="103"/>
      <c r="U238" s="103"/>
      <c r="V238" s="103"/>
      <c r="W238" s="103"/>
      <c r="X238" s="103"/>
      <c r="Y238" s="103"/>
      <c r="Z238" s="103"/>
    </row>
    <row r="239" ht="15.75" customHeight="1">
      <c r="A239" s="103"/>
      <c r="B239" s="103"/>
      <c r="C239" s="103"/>
      <c r="D239" s="103"/>
      <c r="E239" s="103"/>
      <c r="F239" s="103"/>
      <c r="G239" s="103"/>
      <c r="H239" s="103"/>
      <c r="I239" s="103"/>
      <c r="J239" s="103"/>
      <c r="K239" s="103"/>
      <c r="L239" s="103"/>
      <c r="M239" s="103"/>
      <c r="N239" s="103"/>
      <c r="O239" s="103"/>
      <c r="P239" s="103"/>
      <c r="Q239" s="103"/>
      <c r="R239" s="103"/>
      <c r="S239" s="103"/>
      <c r="T239" s="103"/>
      <c r="U239" s="103"/>
      <c r="V239" s="103"/>
      <c r="W239" s="103"/>
      <c r="X239" s="103"/>
      <c r="Y239" s="103"/>
      <c r="Z239" s="103"/>
    </row>
    <row r="240" ht="15.75" customHeight="1">
      <c r="A240" s="103"/>
      <c r="B240" s="103"/>
      <c r="C240" s="103"/>
      <c r="D240" s="103"/>
      <c r="E240" s="103"/>
      <c r="F240" s="103"/>
      <c r="G240" s="103"/>
      <c r="H240" s="103"/>
      <c r="I240" s="103"/>
      <c r="J240" s="103"/>
      <c r="K240" s="103"/>
      <c r="L240" s="103"/>
      <c r="M240" s="103"/>
      <c r="N240" s="103"/>
      <c r="O240" s="103"/>
      <c r="P240" s="103"/>
      <c r="Q240" s="103"/>
      <c r="R240" s="103"/>
      <c r="S240" s="103"/>
      <c r="T240" s="103"/>
      <c r="U240" s="103"/>
      <c r="V240" s="103"/>
      <c r="W240" s="103"/>
      <c r="X240" s="103"/>
      <c r="Y240" s="103"/>
      <c r="Z240" s="103"/>
    </row>
    <row r="241" ht="15.75" customHeight="1">
      <c r="A241" s="103"/>
      <c r="B241" s="103"/>
      <c r="C241" s="103"/>
      <c r="D241" s="103"/>
      <c r="E241" s="103"/>
      <c r="F241" s="103"/>
      <c r="G241" s="103"/>
      <c r="H241" s="103"/>
      <c r="I241" s="103"/>
      <c r="J241" s="103"/>
      <c r="K241" s="103"/>
      <c r="L241" s="103"/>
      <c r="M241" s="103"/>
      <c r="N241" s="103"/>
      <c r="O241" s="103"/>
      <c r="P241" s="103"/>
      <c r="Q241" s="103"/>
      <c r="R241" s="103"/>
      <c r="S241" s="103"/>
      <c r="T241" s="103"/>
      <c r="U241" s="103"/>
      <c r="V241" s="103"/>
      <c r="W241" s="103"/>
      <c r="X241" s="103"/>
      <c r="Y241" s="103"/>
      <c r="Z241" s="103"/>
    </row>
    <row r="242" ht="15.75" customHeight="1">
      <c r="A242" s="103"/>
      <c r="B242" s="103"/>
      <c r="C242" s="103"/>
      <c r="D242" s="103"/>
      <c r="E242" s="103"/>
      <c r="F242" s="103"/>
      <c r="G242" s="103"/>
      <c r="H242" s="103"/>
      <c r="I242" s="103"/>
      <c r="J242" s="103"/>
      <c r="K242" s="103"/>
      <c r="L242" s="103"/>
      <c r="M242" s="103"/>
      <c r="N242" s="103"/>
      <c r="O242" s="103"/>
      <c r="P242" s="103"/>
      <c r="Q242" s="103"/>
      <c r="R242" s="103"/>
      <c r="S242" s="103"/>
      <c r="T242" s="103"/>
      <c r="U242" s="103"/>
      <c r="V242" s="103"/>
      <c r="W242" s="103"/>
      <c r="X242" s="103"/>
      <c r="Y242" s="103"/>
      <c r="Z242" s="103"/>
    </row>
    <row r="243" ht="15.75" customHeight="1">
      <c r="A243" s="103"/>
      <c r="B243" s="103"/>
      <c r="C243" s="103"/>
      <c r="D243" s="103"/>
      <c r="E243" s="103"/>
      <c r="F243" s="103"/>
      <c r="G243" s="103"/>
      <c r="H243" s="103"/>
      <c r="I243" s="103"/>
      <c r="J243" s="103"/>
      <c r="K243" s="103"/>
      <c r="L243" s="103"/>
      <c r="M243" s="103"/>
      <c r="N243" s="103"/>
      <c r="O243" s="103"/>
      <c r="P243" s="103"/>
      <c r="Q243" s="103"/>
      <c r="R243" s="103"/>
      <c r="S243" s="103"/>
      <c r="T243" s="103"/>
      <c r="U243" s="103"/>
      <c r="V243" s="103"/>
      <c r="W243" s="103"/>
      <c r="X243" s="103"/>
      <c r="Y243" s="103"/>
      <c r="Z243" s="103"/>
    </row>
    <row r="244" ht="15.75" customHeight="1">
      <c r="A244" s="103"/>
      <c r="B244" s="103"/>
      <c r="C244" s="103"/>
      <c r="D244" s="103"/>
      <c r="E244" s="103"/>
      <c r="F244" s="103"/>
      <c r="G244" s="103"/>
      <c r="H244" s="103"/>
      <c r="I244" s="103"/>
      <c r="J244" s="103"/>
      <c r="K244" s="103"/>
      <c r="L244" s="103"/>
      <c r="M244" s="103"/>
      <c r="N244" s="103"/>
      <c r="O244" s="103"/>
      <c r="P244" s="103"/>
      <c r="Q244" s="103"/>
      <c r="R244" s="103"/>
      <c r="S244" s="103"/>
      <c r="T244" s="103"/>
      <c r="U244" s="103"/>
      <c r="V244" s="103"/>
      <c r="W244" s="103"/>
      <c r="X244" s="103"/>
      <c r="Y244" s="103"/>
      <c r="Z244" s="103"/>
    </row>
    <row r="245" ht="15.75" customHeight="1">
      <c r="A245" s="103"/>
      <c r="B245" s="103"/>
      <c r="C245" s="103"/>
      <c r="D245" s="103"/>
      <c r="E245" s="103"/>
      <c r="F245" s="103"/>
      <c r="G245" s="103"/>
      <c r="H245" s="103"/>
      <c r="I245" s="103"/>
      <c r="J245" s="103"/>
      <c r="K245" s="103"/>
      <c r="L245" s="103"/>
      <c r="M245" s="103"/>
      <c r="N245" s="103"/>
      <c r="O245" s="103"/>
      <c r="P245" s="103"/>
      <c r="Q245" s="103"/>
      <c r="R245" s="103"/>
      <c r="S245" s="103"/>
      <c r="T245" s="103"/>
      <c r="U245" s="103"/>
      <c r="V245" s="103"/>
      <c r="W245" s="103"/>
      <c r="X245" s="103"/>
      <c r="Y245" s="103"/>
      <c r="Z245" s="103"/>
    </row>
    <row r="246" ht="15.75" customHeight="1">
      <c r="A246" s="103"/>
      <c r="B246" s="103"/>
      <c r="C246" s="103"/>
      <c r="D246" s="103"/>
      <c r="E246" s="103"/>
      <c r="F246" s="103"/>
      <c r="G246" s="103"/>
      <c r="H246" s="103"/>
      <c r="I246" s="103"/>
      <c r="J246" s="103"/>
      <c r="K246" s="103"/>
      <c r="L246" s="103"/>
      <c r="M246" s="103"/>
      <c r="N246" s="103"/>
      <c r="O246" s="103"/>
      <c r="P246" s="103"/>
      <c r="Q246" s="103"/>
      <c r="R246" s="103"/>
      <c r="S246" s="103"/>
      <c r="T246" s="103"/>
      <c r="U246" s="103"/>
      <c r="V246" s="103"/>
      <c r="W246" s="103"/>
      <c r="X246" s="103"/>
      <c r="Y246" s="103"/>
      <c r="Z246" s="103"/>
    </row>
    <row r="247" ht="15.75" customHeight="1">
      <c r="A247" s="103"/>
      <c r="B247" s="103"/>
      <c r="C247" s="103"/>
      <c r="D247" s="103"/>
      <c r="E247" s="103"/>
      <c r="F247" s="103"/>
      <c r="G247" s="103"/>
      <c r="H247" s="103"/>
      <c r="I247" s="103"/>
      <c r="J247" s="103"/>
      <c r="K247" s="103"/>
      <c r="L247" s="103"/>
      <c r="M247" s="103"/>
      <c r="N247" s="103"/>
      <c r="O247" s="103"/>
      <c r="P247" s="103"/>
      <c r="Q247" s="103"/>
      <c r="R247" s="103"/>
      <c r="S247" s="103"/>
      <c r="T247" s="103"/>
      <c r="U247" s="103"/>
      <c r="V247" s="103"/>
      <c r="W247" s="103"/>
      <c r="X247" s="103"/>
      <c r="Y247" s="103"/>
      <c r="Z247" s="103"/>
    </row>
    <row r="248" ht="15.75" customHeight="1">
      <c r="A248" s="103"/>
      <c r="B248" s="103"/>
      <c r="C248" s="103"/>
      <c r="D248" s="103"/>
      <c r="E248" s="103"/>
      <c r="F248" s="103"/>
      <c r="G248" s="103"/>
      <c r="H248" s="103"/>
      <c r="I248" s="103"/>
      <c r="J248" s="103"/>
      <c r="K248" s="103"/>
      <c r="L248" s="103"/>
      <c r="M248" s="103"/>
      <c r="N248" s="103"/>
      <c r="O248" s="103"/>
      <c r="P248" s="103"/>
      <c r="Q248" s="103"/>
      <c r="R248" s="103"/>
      <c r="S248" s="103"/>
      <c r="T248" s="103"/>
      <c r="U248" s="103"/>
      <c r="V248" s="103"/>
      <c r="W248" s="103"/>
      <c r="X248" s="103"/>
      <c r="Y248" s="103"/>
      <c r="Z248" s="103"/>
    </row>
    <row r="249" ht="15.75" customHeight="1">
      <c r="A249" s="103"/>
      <c r="B249" s="103"/>
      <c r="C249" s="103"/>
      <c r="D249" s="103"/>
      <c r="E249" s="103"/>
      <c r="F249" s="103"/>
      <c r="G249" s="103"/>
      <c r="H249" s="103"/>
      <c r="I249" s="103"/>
      <c r="J249" s="103"/>
      <c r="K249" s="103"/>
      <c r="L249" s="103"/>
      <c r="M249" s="103"/>
      <c r="N249" s="103"/>
      <c r="O249" s="103"/>
      <c r="P249" s="103"/>
      <c r="Q249" s="103"/>
      <c r="R249" s="103"/>
      <c r="S249" s="103"/>
      <c r="T249" s="103"/>
      <c r="U249" s="103"/>
      <c r="V249" s="103"/>
      <c r="W249" s="103"/>
      <c r="X249" s="103"/>
      <c r="Y249" s="103"/>
      <c r="Z249" s="103"/>
    </row>
    <row r="250" ht="15.75" customHeight="1">
      <c r="A250" s="103"/>
      <c r="B250" s="103"/>
      <c r="C250" s="103"/>
      <c r="D250" s="103"/>
      <c r="E250" s="103"/>
      <c r="F250" s="103"/>
      <c r="G250" s="103"/>
      <c r="H250" s="103"/>
      <c r="I250" s="103"/>
      <c r="J250" s="103"/>
      <c r="K250" s="103"/>
      <c r="L250" s="103"/>
      <c r="M250" s="103"/>
      <c r="N250" s="103"/>
      <c r="O250" s="103"/>
      <c r="P250" s="103"/>
      <c r="Q250" s="103"/>
      <c r="R250" s="103"/>
      <c r="S250" s="103"/>
      <c r="T250" s="103"/>
      <c r="U250" s="103"/>
      <c r="V250" s="103"/>
      <c r="W250" s="103"/>
      <c r="X250" s="103"/>
      <c r="Y250" s="103"/>
      <c r="Z250" s="103"/>
    </row>
    <row r="251" ht="15.75" customHeight="1">
      <c r="A251" s="103"/>
      <c r="B251" s="103"/>
      <c r="C251" s="103"/>
      <c r="D251" s="103"/>
      <c r="E251" s="103"/>
      <c r="F251" s="103"/>
      <c r="G251" s="103"/>
      <c r="H251" s="103"/>
      <c r="I251" s="103"/>
      <c r="J251" s="103"/>
      <c r="K251" s="103"/>
      <c r="L251" s="103"/>
      <c r="M251" s="103"/>
      <c r="N251" s="103"/>
      <c r="O251" s="103"/>
      <c r="P251" s="103"/>
      <c r="Q251" s="103"/>
      <c r="R251" s="103"/>
      <c r="S251" s="103"/>
      <c r="T251" s="103"/>
      <c r="U251" s="103"/>
      <c r="V251" s="103"/>
      <c r="W251" s="103"/>
      <c r="X251" s="103"/>
      <c r="Y251" s="103"/>
      <c r="Z251" s="103"/>
    </row>
    <row r="252" ht="15.75" customHeight="1">
      <c r="A252" s="103"/>
      <c r="B252" s="103"/>
      <c r="C252" s="103"/>
      <c r="D252" s="103"/>
      <c r="E252" s="103"/>
      <c r="F252" s="103"/>
      <c r="G252" s="103"/>
      <c r="H252" s="103"/>
      <c r="I252" s="103"/>
      <c r="J252" s="103"/>
      <c r="K252" s="103"/>
      <c r="L252" s="103"/>
      <c r="M252" s="103"/>
      <c r="N252" s="103"/>
      <c r="O252" s="103"/>
      <c r="P252" s="103"/>
      <c r="Q252" s="103"/>
      <c r="R252" s="103"/>
      <c r="S252" s="103"/>
      <c r="T252" s="103"/>
      <c r="U252" s="103"/>
      <c r="V252" s="103"/>
      <c r="W252" s="103"/>
      <c r="X252" s="103"/>
      <c r="Y252" s="103"/>
      <c r="Z252" s="103"/>
    </row>
    <row r="253" ht="15.75" customHeight="1">
      <c r="A253" s="103"/>
      <c r="B253" s="103"/>
      <c r="C253" s="103"/>
      <c r="D253" s="103"/>
      <c r="E253" s="103"/>
      <c r="F253" s="103"/>
      <c r="G253" s="103"/>
      <c r="H253" s="103"/>
      <c r="I253" s="103"/>
      <c r="J253" s="103"/>
      <c r="K253" s="103"/>
      <c r="L253" s="103"/>
      <c r="M253" s="103"/>
      <c r="N253" s="103"/>
      <c r="O253" s="103"/>
      <c r="P253" s="103"/>
      <c r="Q253" s="103"/>
      <c r="R253" s="103"/>
      <c r="S253" s="103"/>
      <c r="T253" s="103"/>
      <c r="U253" s="103"/>
      <c r="V253" s="103"/>
      <c r="W253" s="103"/>
      <c r="X253" s="103"/>
      <c r="Y253" s="103"/>
      <c r="Z253" s="103"/>
    </row>
    <row r="254" ht="15.75" customHeight="1">
      <c r="A254" s="103"/>
      <c r="B254" s="103"/>
      <c r="C254" s="103"/>
      <c r="D254" s="103"/>
      <c r="E254" s="103"/>
      <c r="F254" s="103"/>
      <c r="G254" s="103"/>
      <c r="H254" s="103"/>
      <c r="I254" s="103"/>
      <c r="J254" s="103"/>
      <c r="K254" s="103"/>
      <c r="L254" s="103"/>
      <c r="M254" s="103"/>
      <c r="N254" s="103"/>
      <c r="O254" s="103"/>
      <c r="P254" s="103"/>
      <c r="Q254" s="103"/>
      <c r="R254" s="103"/>
      <c r="S254" s="103"/>
      <c r="T254" s="103"/>
      <c r="U254" s="103"/>
      <c r="V254" s="103"/>
      <c r="W254" s="103"/>
      <c r="X254" s="103"/>
      <c r="Y254" s="103"/>
      <c r="Z254" s="103"/>
    </row>
    <row r="255" ht="15.75" customHeight="1">
      <c r="A255" s="103"/>
      <c r="B255" s="103"/>
      <c r="C255" s="103"/>
      <c r="D255" s="103"/>
      <c r="E255" s="103"/>
      <c r="F255" s="103"/>
      <c r="G255" s="103"/>
      <c r="H255" s="103"/>
      <c r="I255" s="103"/>
      <c r="J255" s="103"/>
      <c r="K255" s="103"/>
      <c r="L255" s="103"/>
      <c r="M255" s="103"/>
      <c r="N255" s="103"/>
      <c r="O255" s="103"/>
      <c r="P255" s="103"/>
      <c r="Q255" s="103"/>
      <c r="R255" s="103"/>
      <c r="S255" s="103"/>
      <c r="T255" s="103"/>
      <c r="U255" s="103"/>
      <c r="V255" s="103"/>
      <c r="W255" s="103"/>
      <c r="X255" s="103"/>
      <c r="Y255" s="103"/>
      <c r="Z255" s="103"/>
    </row>
    <row r="256" ht="15.75" customHeight="1">
      <c r="A256" s="103"/>
      <c r="B256" s="103"/>
      <c r="C256" s="103"/>
      <c r="D256" s="103"/>
      <c r="E256" s="103"/>
      <c r="F256" s="103"/>
      <c r="G256" s="103"/>
      <c r="H256" s="103"/>
      <c r="I256" s="103"/>
      <c r="J256" s="103"/>
      <c r="K256" s="103"/>
      <c r="L256" s="103"/>
      <c r="M256" s="103"/>
      <c r="N256" s="103"/>
      <c r="O256" s="103"/>
      <c r="P256" s="103"/>
      <c r="Q256" s="103"/>
      <c r="R256" s="103"/>
      <c r="S256" s="103"/>
      <c r="T256" s="103"/>
      <c r="U256" s="103"/>
      <c r="V256" s="103"/>
      <c r="W256" s="103"/>
      <c r="X256" s="103"/>
      <c r="Y256" s="103"/>
      <c r="Z256" s="103"/>
    </row>
    <row r="257" ht="15.75" customHeight="1">
      <c r="A257" s="103"/>
      <c r="B257" s="103"/>
      <c r="C257" s="103"/>
      <c r="D257" s="103"/>
      <c r="E257" s="103"/>
      <c r="F257" s="103"/>
      <c r="G257" s="103"/>
      <c r="H257" s="103"/>
      <c r="I257" s="103"/>
      <c r="J257" s="103"/>
      <c r="K257" s="103"/>
      <c r="L257" s="103"/>
      <c r="M257" s="103"/>
      <c r="N257" s="103"/>
      <c r="O257" s="103"/>
      <c r="P257" s="103"/>
      <c r="Q257" s="103"/>
      <c r="R257" s="103"/>
      <c r="S257" s="103"/>
      <c r="T257" s="103"/>
      <c r="U257" s="103"/>
      <c r="V257" s="103"/>
      <c r="W257" s="103"/>
      <c r="X257" s="103"/>
      <c r="Y257" s="103"/>
      <c r="Z257" s="103"/>
    </row>
    <row r="258" ht="15.75" customHeight="1">
      <c r="A258" s="103"/>
      <c r="B258" s="103"/>
      <c r="C258" s="103"/>
      <c r="D258" s="103"/>
      <c r="E258" s="103"/>
      <c r="F258" s="103"/>
      <c r="G258" s="103"/>
      <c r="H258" s="103"/>
      <c r="I258" s="103"/>
      <c r="J258" s="103"/>
      <c r="K258" s="103"/>
      <c r="L258" s="103"/>
      <c r="M258" s="103"/>
      <c r="N258" s="103"/>
      <c r="O258" s="103"/>
      <c r="P258" s="103"/>
      <c r="Q258" s="103"/>
      <c r="R258" s="103"/>
      <c r="S258" s="103"/>
      <c r="T258" s="103"/>
      <c r="U258" s="103"/>
      <c r="V258" s="103"/>
      <c r="W258" s="103"/>
      <c r="X258" s="103"/>
      <c r="Y258" s="103"/>
      <c r="Z258" s="103"/>
    </row>
    <row r="259" ht="15.75" customHeight="1">
      <c r="A259" s="103"/>
      <c r="B259" s="103"/>
      <c r="C259" s="103"/>
      <c r="D259" s="103"/>
      <c r="E259" s="103"/>
      <c r="F259" s="103"/>
      <c r="G259" s="103"/>
      <c r="H259" s="103"/>
      <c r="I259" s="103"/>
      <c r="J259" s="103"/>
      <c r="K259" s="103"/>
      <c r="L259" s="103"/>
      <c r="M259" s="103"/>
      <c r="N259" s="103"/>
      <c r="O259" s="103"/>
      <c r="P259" s="103"/>
      <c r="Q259" s="103"/>
      <c r="R259" s="103"/>
      <c r="S259" s="103"/>
      <c r="T259" s="103"/>
      <c r="U259" s="103"/>
      <c r="V259" s="103"/>
      <c r="W259" s="103"/>
      <c r="X259" s="103"/>
      <c r="Y259" s="103"/>
      <c r="Z259" s="103"/>
    </row>
    <row r="260" ht="15.75" customHeight="1">
      <c r="A260" s="103"/>
      <c r="B260" s="103"/>
      <c r="C260" s="103"/>
      <c r="D260" s="103"/>
      <c r="E260" s="103"/>
      <c r="F260" s="103"/>
      <c r="G260" s="103"/>
      <c r="H260" s="103"/>
      <c r="I260" s="103"/>
      <c r="J260" s="103"/>
      <c r="K260" s="103"/>
      <c r="L260" s="103"/>
      <c r="M260" s="103"/>
      <c r="N260" s="103"/>
      <c r="O260" s="103"/>
      <c r="P260" s="103"/>
      <c r="Q260" s="103"/>
      <c r="R260" s="103"/>
      <c r="S260" s="103"/>
      <c r="T260" s="103"/>
      <c r="U260" s="103"/>
      <c r="V260" s="103"/>
      <c r="W260" s="103"/>
      <c r="X260" s="103"/>
      <c r="Y260" s="103"/>
      <c r="Z260" s="103"/>
    </row>
    <row r="261" ht="15.75" customHeight="1">
      <c r="A261" s="103"/>
      <c r="B261" s="103"/>
      <c r="C261" s="103"/>
      <c r="D261" s="103"/>
      <c r="E261" s="103"/>
      <c r="F261" s="103"/>
      <c r="G261" s="103"/>
      <c r="H261" s="103"/>
      <c r="I261" s="103"/>
      <c r="J261" s="103"/>
      <c r="K261" s="103"/>
      <c r="L261" s="103"/>
      <c r="M261" s="103"/>
      <c r="N261" s="103"/>
      <c r="O261" s="103"/>
      <c r="P261" s="103"/>
      <c r="Q261" s="103"/>
      <c r="R261" s="103"/>
      <c r="S261" s="103"/>
      <c r="T261" s="103"/>
      <c r="U261" s="103"/>
      <c r="V261" s="103"/>
      <c r="W261" s="103"/>
      <c r="X261" s="103"/>
      <c r="Y261" s="103"/>
      <c r="Z261" s="103"/>
    </row>
    <row r="262" ht="15.75" customHeight="1">
      <c r="A262" s="103"/>
      <c r="B262" s="103"/>
      <c r="C262" s="103"/>
      <c r="D262" s="103"/>
      <c r="E262" s="103"/>
      <c r="F262" s="103"/>
      <c r="G262" s="103"/>
      <c r="H262" s="103"/>
      <c r="I262" s="103"/>
      <c r="J262" s="103"/>
      <c r="K262" s="103"/>
      <c r="L262" s="103"/>
      <c r="M262" s="103"/>
      <c r="N262" s="103"/>
      <c r="O262" s="103"/>
      <c r="P262" s="103"/>
      <c r="Q262" s="103"/>
      <c r="R262" s="103"/>
      <c r="S262" s="103"/>
      <c r="T262" s="103"/>
      <c r="U262" s="103"/>
      <c r="V262" s="103"/>
      <c r="W262" s="103"/>
      <c r="X262" s="103"/>
      <c r="Y262" s="103"/>
      <c r="Z262" s="103"/>
    </row>
    <row r="263" ht="15.75" customHeight="1">
      <c r="A263" s="103"/>
      <c r="B263" s="103"/>
      <c r="C263" s="103"/>
      <c r="D263" s="103"/>
      <c r="E263" s="103"/>
      <c r="F263" s="103"/>
      <c r="G263" s="103"/>
      <c r="H263" s="103"/>
      <c r="I263" s="103"/>
      <c r="J263" s="103"/>
      <c r="K263" s="103"/>
      <c r="L263" s="103"/>
      <c r="M263" s="103"/>
      <c r="N263" s="103"/>
      <c r="O263" s="103"/>
      <c r="P263" s="103"/>
      <c r="Q263" s="103"/>
      <c r="R263" s="103"/>
      <c r="S263" s="103"/>
      <c r="T263" s="103"/>
      <c r="U263" s="103"/>
      <c r="V263" s="103"/>
      <c r="W263" s="103"/>
      <c r="X263" s="103"/>
      <c r="Y263" s="103"/>
      <c r="Z263" s="103"/>
    </row>
    <row r="264" ht="15.75" customHeight="1">
      <c r="A264" s="103"/>
      <c r="B264" s="103"/>
      <c r="C264" s="103"/>
      <c r="D264" s="103"/>
      <c r="E264" s="103"/>
      <c r="F264" s="103"/>
      <c r="G264" s="103"/>
      <c r="H264" s="103"/>
      <c r="I264" s="103"/>
      <c r="J264" s="103"/>
      <c r="K264" s="103"/>
      <c r="L264" s="103"/>
      <c r="M264" s="103"/>
      <c r="N264" s="103"/>
      <c r="O264" s="103"/>
      <c r="P264" s="103"/>
      <c r="Q264" s="103"/>
      <c r="R264" s="103"/>
      <c r="S264" s="103"/>
      <c r="T264" s="103"/>
      <c r="U264" s="103"/>
      <c r="V264" s="103"/>
      <c r="W264" s="103"/>
      <c r="X264" s="103"/>
      <c r="Y264" s="103"/>
      <c r="Z264" s="103"/>
    </row>
    <row r="265" ht="15.75" customHeight="1">
      <c r="A265" s="103"/>
      <c r="B265" s="103"/>
      <c r="C265" s="103"/>
      <c r="D265" s="103"/>
      <c r="E265" s="103"/>
      <c r="F265" s="103"/>
      <c r="G265" s="103"/>
      <c r="H265" s="103"/>
      <c r="I265" s="103"/>
      <c r="J265" s="103"/>
      <c r="K265" s="103"/>
      <c r="L265" s="103"/>
      <c r="M265" s="103"/>
      <c r="N265" s="103"/>
      <c r="O265" s="103"/>
      <c r="P265" s="103"/>
      <c r="Q265" s="103"/>
      <c r="R265" s="103"/>
      <c r="S265" s="103"/>
      <c r="T265" s="103"/>
      <c r="U265" s="103"/>
      <c r="V265" s="103"/>
      <c r="W265" s="103"/>
      <c r="X265" s="103"/>
      <c r="Y265" s="103"/>
      <c r="Z265" s="103"/>
    </row>
    <row r="266" ht="15.75" customHeight="1">
      <c r="A266" s="103"/>
      <c r="B266" s="103"/>
      <c r="C266" s="103"/>
      <c r="D266" s="103"/>
      <c r="E266" s="103"/>
      <c r="F266" s="103"/>
      <c r="G266" s="103"/>
      <c r="H266" s="103"/>
      <c r="I266" s="103"/>
      <c r="J266" s="103"/>
      <c r="K266" s="103"/>
      <c r="L266" s="103"/>
      <c r="M266" s="103"/>
      <c r="N266" s="103"/>
      <c r="O266" s="103"/>
      <c r="P266" s="103"/>
      <c r="Q266" s="103"/>
      <c r="R266" s="103"/>
      <c r="S266" s="103"/>
      <c r="T266" s="103"/>
      <c r="U266" s="103"/>
      <c r="V266" s="103"/>
      <c r="W266" s="103"/>
      <c r="X266" s="103"/>
      <c r="Y266" s="103"/>
      <c r="Z266" s="103"/>
    </row>
    <row r="267" ht="15.75" customHeight="1">
      <c r="A267" s="103"/>
      <c r="B267" s="103"/>
      <c r="C267" s="103"/>
      <c r="D267" s="103"/>
      <c r="E267" s="103"/>
      <c r="F267" s="103"/>
      <c r="G267" s="103"/>
      <c r="H267" s="103"/>
      <c r="I267" s="103"/>
      <c r="J267" s="103"/>
      <c r="K267" s="103"/>
      <c r="L267" s="103"/>
      <c r="M267" s="103"/>
      <c r="N267" s="103"/>
      <c r="O267" s="103"/>
      <c r="P267" s="103"/>
      <c r="Q267" s="103"/>
      <c r="R267" s="103"/>
      <c r="S267" s="103"/>
      <c r="T267" s="103"/>
      <c r="U267" s="103"/>
      <c r="V267" s="103"/>
      <c r="W267" s="103"/>
      <c r="X267" s="103"/>
      <c r="Y267" s="103"/>
      <c r="Z267" s="103"/>
    </row>
    <row r="268" ht="15.75" customHeight="1">
      <c r="A268" s="103"/>
      <c r="B268" s="103"/>
      <c r="C268" s="103"/>
      <c r="D268" s="103"/>
      <c r="E268" s="103"/>
      <c r="F268" s="103"/>
      <c r="G268" s="103"/>
      <c r="H268" s="103"/>
      <c r="I268" s="103"/>
      <c r="J268" s="103"/>
      <c r="K268" s="103"/>
      <c r="L268" s="103"/>
      <c r="M268" s="103"/>
      <c r="N268" s="103"/>
      <c r="O268" s="103"/>
      <c r="P268" s="103"/>
      <c r="Q268" s="103"/>
      <c r="R268" s="103"/>
      <c r="S268" s="103"/>
      <c r="T268" s="103"/>
      <c r="U268" s="103"/>
      <c r="V268" s="103"/>
      <c r="W268" s="103"/>
      <c r="X268" s="103"/>
      <c r="Y268" s="103"/>
      <c r="Z268" s="103"/>
    </row>
    <row r="269" ht="15.75" customHeight="1">
      <c r="A269" s="103"/>
      <c r="B269" s="103"/>
      <c r="C269" s="103"/>
      <c r="D269" s="103"/>
      <c r="E269" s="103"/>
      <c r="F269" s="103"/>
      <c r="G269" s="103"/>
      <c r="H269" s="103"/>
      <c r="I269" s="103"/>
      <c r="J269" s="103"/>
      <c r="K269" s="103"/>
      <c r="L269" s="103"/>
      <c r="M269" s="103"/>
      <c r="N269" s="103"/>
      <c r="O269" s="103"/>
      <c r="P269" s="103"/>
      <c r="Q269" s="103"/>
      <c r="R269" s="103"/>
      <c r="S269" s="103"/>
      <c r="T269" s="103"/>
      <c r="U269" s="103"/>
      <c r="V269" s="103"/>
      <c r="W269" s="103"/>
      <c r="X269" s="103"/>
      <c r="Y269" s="103"/>
      <c r="Z269" s="103"/>
    </row>
    <row r="270" ht="15.75" customHeight="1">
      <c r="A270" s="103"/>
      <c r="B270" s="103"/>
      <c r="C270" s="103"/>
      <c r="D270" s="103"/>
      <c r="E270" s="103"/>
      <c r="F270" s="103"/>
      <c r="G270" s="103"/>
      <c r="H270" s="103"/>
      <c r="I270" s="103"/>
      <c r="J270" s="103"/>
      <c r="K270" s="103"/>
      <c r="L270" s="103"/>
      <c r="M270" s="103"/>
      <c r="N270" s="103"/>
      <c r="O270" s="103"/>
      <c r="P270" s="103"/>
      <c r="Q270" s="103"/>
      <c r="R270" s="103"/>
      <c r="S270" s="103"/>
      <c r="T270" s="103"/>
      <c r="U270" s="103"/>
      <c r="V270" s="103"/>
      <c r="W270" s="103"/>
      <c r="X270" s="103"/>
      <c r="Y270" s="103"/>
      <c r="Z270" s="103"/>
    </row>
    <row r="271" ht="15.75" customHeight="1">
      <c r="A271" s="103"/>
      <c r="B271" s="103"/>
      <c r="C271" s="103"/>
      <c r="D271" s="103"/>
      <c r="E271" s="103"/>
      <c r="F271" s="103"/>
      <c r="G271" s="103"/>
      <c r="H271" s="103"/>
      <c r="I271" s="103"/>
      <c r="J271" s="103"/>
      <c r="K271" s="103"/>
      <c r="L271" s="103"/>
      <c r="M271" s="103"/>
      <c r="N271" s="103"/>
      <c r="O271" s="103"/>
      <c r="P271" s="103"/>
      <c r="Q271" s="103"/>
      <c r="R271" s="103"/>
      <c r="S271" s="103"/>
      <c r="T271" s="103"/>
      <c r="U271" s="103"/>
      <c r="V271" s="103"/>
      <c r="W271" s="103"/>
      <c r="X271" s="103"/>
      <c r="Y271" s="103"/>
      <c r="Z271" s="103"/>
    </row>
    <row r="272" ht="15.75" customHeight="1">
      <c r="A272" s="103"/>
      <c r="B272" s="103"/>
      <c r="C272" s="103"/>
      <c r="D272" s="103"/>
      <c r="E272" s="103"/>
      <c r="F272" s="103"/>
      <c r="G272" s="103"/>
      <c r="H272" s="103"/>
      <c r="I272" s="103"/>
      <c r="J272" s="103"/>
      <c r="K272" s="103"/>
      <c r="L272" s="103"/>
      <c r="M272" s="103"/>
      <c r="N272" s="103"/>
      <c r="O272" s="103"/>
      <c r="P272" s="103"/>
      <c r="Q272" s="103"/>
      <c r="R272" s="103"/>
      <c r="S272" s="103"/>
      <c r="T272" s="103"/>
      <c r="U272" s="103"/>
      <c r="V272" s="103"/>
      <c r="W272" s="103"/>
      <c r="X272" s="103"/>
      <c r="Y272" s="103"/>
      <c r="Z272" s="103"/>
    </row>
    <row r="273" ht="15.75" customHeight="1">
      <c r="A273" s="103"/>
      <c r="B273" s="103"/>
      <c r="C273" s="103"/>
      <c r="D273" s="103"/>
      <c r="E273" s="103"/>
      <c r="F273" s="103"/>
      <c r="G273" s="103"/>
      <c r="H273" s="103"/>
      <c r="I273" s="103"/>
      <c r="J273" s="103"/>
      <c r="K273" s="103"/>
      <c r="L273" s="103"/>
      <c r="M273" s="103"/>
      <c r="N273" s="103"/>
      <c r="O273" s="103"/>
      <c r="P273" s="103"/>
      <c r="Q273" s="103"/>
      <c r="R273" s="103"/>
      <c r="S273" s="103"/>
      <c r="T273" s="103"/>
      <c r="U273" s="103"/>
      <c r="V273" s="103"/>
      <c r="W273" s="103"/>
      <c r="X273" s="103"/>
      <c r="Y273" s="103"/>
      <c r="Z273" s="103"/>
    </row>
    <row r="274" ht="15.75" customHeight="1">
      <c r="A274" s="103"/>
      <c r="B274" s="103"/>
      <c r="C274" s="103"/>
      <c r="D274" s="103"/>
      <c r="E274" s="103"/>
      <c r="F274" s="103"/>
      <c r="G274" s="103"/>
      <c r="H274" s="103"/>
      <c r="I274" s="103"/>
      <c r="J274" s="103"/>
      <c r="K274" s="103"/>
      <c r="L274" s="103"/>
      <c r="M274" s="103"/>
      <c r="N274" s="103"/>
      <c r="O274" s="103"/>
      <c r="P274" s="103"/>
      <c r="Q274" s="103"/>
      <c r="R274" s="103"/>
      <c r="S274" s="103"/>
      <c r="T274" s="103"/>
      <c r="U274" s="103"/>
      <c r="V274" s="103"/>
      <c r="W274" s="103"/>
      <c r="X274" s="103"/>
      <c r="Y274" s="103"/>
      <c r="Z274" s="103"/>
    </row>
    <row r="275" ht="15.75" customHeight="1">
      <c r="A275" s="103"/>
      <c r="B275" s="103"/>
      <c r="C275" s="103"/>
      <c r="D275" s="103"/>
      <c r="E275" s="103"/>
      <c r="F275" s="103"/>
      <c r="G275" s="103"/>
      <c r="H275" s="103"/>
      <c r="I275" s="103"/>
      <c r="J275" s="103"/>
      <c r="K275" s="103"/>
      <c r="L275" s="103"/>
      <c r="M275" s="103"/>
      <c r="N275" s="103"/>
      <c r="O275" s="103"/>
      <c r="P275" s="103"/>
      <c r="Q275" s="103"/>
      <c r="R275" s="103"/>
      <c r="S275" s="103"/>
      <c r="T275" s="103"/>
      <c r="U275" s="103"/>
      <c r="V275" s="103"/>
      <c r="W275" s="103"/>
      <c r="X275" s="103"/>
      <c r="Y275" s="103"/>
      <c r="Z275" s="103"/>
    </row>
    <row r="276" ht="15.75" customHeight="1">
      <c r="A276" s="103"/>
      <c r="B276" s="103"/>
      <c r="C276" s="103"/>
      <c r="D276" s="103"/>
      <c r="E276" s="103"/>
      <c r="F276" s="103"/>
      <c r="G276" s="103"/>
      <c r="H276" s="103"/>
      <c r="I276" s="103"/>
      <c r="J276" s="103"/>
      <c r="K276" s="103"/>
      <c r="L276" s="103"/>
      <c r="M276" s="103"/>
      <c r="N276" s="103"/>
      <c r="O276" s="103"/>
      <c r="P276" s="103"/>
      <c r="Q276" s="103"/>
      <c r="R276" s="103"/>
      <c r="S276" s="103"/>
      <c r="T276" s="103"/>
      <c r="U276" s="103"/>
      <c r="V276" s="103"/>
      <c r="W276" s="103"/>
      <c r="X276" s="103"/>
      <c r="Y276" s="103"/>
      <c r="Z276" s="103"/>
    </row>
    <row r="277" ht="15.75" customHeight="1">
      <c r="A277" s="103"/>
      <c r="B277" s="103"/>
      <c r="C277" s="103"/>
      <c r="D277" s="103"/>
      <c r="E277" s="103"/>
      <c r="F277" s="103"/>
      <c r="G277" s="103"/>
      <c r="H277" s="103"/>
      <c r="I277" s="103"/>
      <c r="J277" s="103"/>
      <c r="K277" s="103"/>
      <c r="L277" s="103"/>
      <c r="M277" s="103"/>
      <c r="N277" s="103"/>
      <c r="O277" s="103"/>
      <c r="P277" s="103"/>
      <c r="Q277" s="103"/>
      <c r="R277" s="103"/>
      <c r="S277" s="103"/>
      <c r="T277" s="103"/>
      <c r="U277" s="103"/>
      <c r="V277" s="103"/>
      <c r="W277" s="103"/>
      <c r="X277" s="103"/>
      <c r="Y277" s="103"/>
      <c r="Z277" s="103"/>
    </row>
    <row r="278" ht="15.75" customHeight="1">
      <c r="A278" s="103"/>
      <c r="B278" s="103"/>
      <c r="C278" s="103"/>
      <c r="D278" s="103"/>
      <c r="E278" s="103"/>
      <c r="F278" s="103"/>
      <c r="G278" s="103"/>
      <c r="H278" s="103"/>
      <c r="I278" s="103"/>
      <c r="J278" s="103"/>
      <c r="K278" s="103"/>
      <c r="L278" s="103"/>
      <c r="M278" s="103"/>
      <c r="N278" s="103"/>
      <c r="O278" s="103"/>
      <c r="P278" s="103"/>
      <c r="Q278" s="103"/>
      <c r="R278" s="103"/>
      <c r="S278" s="103"/>
      <c r="T278" s="103"/>
      <c r="U278" s="103"/>
      <c r="V278" s="103"/>
      <c r="W278" s="103"/>
      <c r="X278" s="103"/>
      <c r="Y278" s="103"/>
      <c r="Z278" s="103"/>
    </row>
    <row r="279" ht="15.75" customHeight="1">
      <c r="A279" s="103"/>
      <c r="B279" s="103"/>
      <c r="C279" s="103"/>
      <c r="D279" s="103"/>
      <c r="E279" s="103"/>
      <c r="F279" s="103"/>
      <c r="G279" s="103"/>
      <c r="H279" s="103"/>
      <c r="I279" s="103"/>
      <c r="J279" s="103"/>
      <c r="K279" s="103"/>
      <c r="L279" s="103"/>
      <c r="M279" s="103"/>
      <c r="N279" s="103"/>
      <c r="O279" s="103"/>
      <c r="P279" s="103"/>
      <c r="Q279" s="103"/>
      <c r="R279" s="103"/>
      <c r="S279" s="103"/>
      <c r="T279" s="103"/>
      <c r="U279" s="103"/>
      <c r="V279" s="103"/>
      <c r="W279" s="103"/>
      <c r="X279" s="103"/>
      <c r="Y279" s="103"/>
      <c r="Z279" s="103"/>
    </row>
    <row r="280" ht="15.75" customHeight="1">
      <c r="A280" s="103"/>
      <c r="B280" s="103"/>
      <c r="C280" s="103"/>
      <c r="D280" s="103"/>
      <c r="E280" s="103"/>
      <c r="F280" s="103"/>
      <c r="G280" s="103"/>
      <c r="H280" s="103"/>
      <c r="I280" s="103"/>
      <c r="J280" s="103"/>
      <c r="K280" s="103"/>
      <c r="L280" s="103"/>
      <c r="M280" s="103"/>
      <c r="N280" s="103"/>
      <c r="O280" s="103"/>
      <c r="P280" s="103"/>
      <c r="Q280" s="103"/>
      <c r="R280" s="103"/>
      <c r="S280" s="103"/>
      <c r="T280" s="103"/>
      <c r="U280" s="103"/>
      <c r="V280" s="103"/>
      <c r="W280" s="103"/>
      <c r="X280" s="103"/>
      <c r="Y280" s="103"/>
      <c r="Z280" s="103"/>
    </row>
    <row r="281" ht="15.75" customHeight="1">
      <c r="A281" s="103"/>
      <c r="B281" s="103"/>
      <c r="C281" s="103"/>
      <c r="D281" s="103"/>
      <c r="E281" s="103"/>
      <c r="F281" s="103"/>
      <c r="G281" s="103"/>
      <c r="H281" s="103"/>
      <c r="I281" s="103"/>
      <c r="J281" s="103"/>
      <c r="K281" s="103"/>
      <c r="L281" s="103"/>
      <c r="M281" s="103"/>
      <c r="N281" s="103"/>
      <c r="O281" s="103"/>
      <c r="P281" s="103"/>
      <c r="Q281" s="103"/>
      <c r="R281" s="103"/>
      <c r="S281" s="103"/>
      <c r="T281" s="103"/>
      <c r="U281" s="103"/>
      <c r="V281" s="103"/>
      <c r="W281" s="103"/>
      <c r="X281" s="103"/>
      <c r="Y281" s="103"/>
      <c r="Z281" s="103"/>
    </row>
    <row r="282" ht="15.75" customHeight="1">
      <c r="A282" s="103"/>
      <c r="B282" s="103"/>
      <c r="C282" s="103"/>
      <c r="D282" s="103"/>
      <c r="E282" s="103"/>
      <c r="F282" s="103"/>
      <c r="G282" s="103"/>
      <c r="H282" s="103"/>
      <c r="I282" s="103"/>
      <c r="J282" s="103"/>
      <c r="K282" s="103"/>
      <c r="L282" s="103"/>
      <c r="M282" s="103"/>
      <c r="N282" s="103"/>
      <c r="O282" s="103"/>
      <c r="P282" s="103"/>
      <c r="Q282" s="103"/>
      <c r="R282" s="103"/>
      <c r="S282" s="103"/>
      <c r="T282" s="103"/>
      <c r="U282" s="103"/>
      <c r="V282" s="103"/>
      <c r="W282" s="103"/>
      <c r="X282" s="103"/>
      <c r="Y282" s="103"/>
      <c r="Z282" s="103"/>
    </row>
    <row r="283" ht="15.75" customHeight="1">
      <c r="A283" s="103"/>
      <c r="B283" s="103"/>
      <c r="C283" s="103"/>
      <c r="D283" s="103"/>
      <c r="E283" s="103"/>
      <c r="F283" s="103"/>
      <c r="G283" s="103"/>
      <c r="H283" s="103"/>
      <c r="I283" s="103"/>
      <c r="J283" s="103"/>
      <c r="K283" s="103"/>
      <c r="L283" s="103"/>
      <c r="M283" s="103"/>
      <c r="N283" s="103"/>
      <c r="O283" s="103"/>
      <c r="P283" s="103"/>
      <c r="Q283" s="103"/>
      <c r="R283" s="103"/>
      <c r="S283" s="103"/>
      <c r="T283" s="103"/>
      <c r="U283" s="103"/>
      <c r="V283" s="103"/>
      <c r="W283" s="103"/>
      <c r="X283" s="103"/>
      <c r="Y283" s="103"/>
      <c r="Z283" s="103"/>
    </row>
    <row r="284" ht="15.75" customHeight="1">
      <c r="A284" s="103"/>
      <c r="B284" s="103"/>
      <c r="C284" s="103"/>
      <c r="D284" s="103"/>
      <c r="E284" s="103"/>
      <c r="F284" s="103"/>
      <c r="G284" s="103"/>
      <c r="H284" s="103"/>
      <c r="I284" s="103"/>
      <c r="J284" s="103"/>
      <c r="K284" s="103"/>
      <c r="L284" s="103"/>
      <c r="M284" s="103"/>
      <c r="N284" s="103"/>
      <c r="O284" s="103"/>
      <c r="P284" s="103"/>
      <c r="Q284" s="103"/>
      <c r="R284" s="103"/>
      <c r="S284" s="103"/>
      <c r="T284" s="103"/>
      <c r="U284" s="103"/>
      <c r="V284" s="103"/>
      <c r="W284" s="103"/>
      <c r="X284" s="103"/>
      <c r="Y284" s="103"/>
      <c r="Z284" s="103"/>
    </row>
    <row r="285" ht="15.75" customHeight="1">
      <c r="A285" s="103"/>
      <c r="B285" s="103"/>
      <c r="C285" s="103"/>
      <c r="D285" s="103"/>
      <c r="E285" s="103"/>
      <c r="F285" s="103"/>
      <c r="G285" s="103"/>
      <c r="H285" s="103"/>
      <c r="I285" s="103"/>
      <c r="J285" s="103"/>
      <c r="K285" s="103"/>
      <c r="L285" s="103"/>
      <c r="M285" s="103"/>
      <c r="N285" s="103"/>
      <c r="O285" s="103"/>
      <c r="P285" s="103"/>
      <c r="Q285" s="103"/>
      <c r="R285" s="103"/>
      <c r="S285" s="103"/>
      <c r="T285" s="103"/>
      <c r="U285" s="103"/>
      <c r="V285" s="103"/>
      <c r="W285" s="103"/>
      <c r="X285" s="103"/>
      <c r="Y285" s="103"/>
      <c r="Z285" s="103"/>
    </row>
    <row r="286" ht="15.75" customHeight="1">
      <c r="A286" s="103"/>
      <c r="B286" s="103"/>
      <c r="C286" s="103"/>
      <c r="D286" s="103"/>
      <c r="E286" s="103"/>
      <c r="F286" s="103"/>
      <c r="G286" s="103"/>
      <c r="H286" s="103"/>
      <c r="I286" s="103"/>
      <c r="J286" s="103"/>
      <c r="K286" s="103"/>
      <c r="L286" s="103"/>
      <c r="M286" s="103"/>
      <c r="N286" s="103"/>
      <c r="O286" s="103"/>
      <c r="P286" s="103"/>
      <c r="Q286" s="103"/>
      <c r="R286" s="103"/>
      <c r="S286" s="103"/>
      <c r="T286" s="103"/>
      <c r="U286" s="103"/>
      <c r="V286" s="103"/>
      <c r="W286" s="103"/>
      <c r="X286" s="103"/>
      <c r="Y286" s="103"/>
      <c r="Z286" s="103"/>
    </row>
    <row r="287" ht="15.75" customHeight="1">
      <c r="A287" s="103"/>
      <c r="B287" s="103"/>
      <c r="C287" s="103"/>
      <c r="D287" s="103"/>
      <c r="E287" s="103"/>
      <c r="F287" s="103"/>
      <c r="G287" s="103"/>
      <c r="H287" s="103"/>
      <c r="I287" s="103"/>
      <c r="J287" s="103"/>
      <c r="K287" s="103"/>
      <c r="L287" s="103"/>
      <c r="M287" s="103"/>
      <c r="N287" s="103"/>
      <c r="O287" s="103"/>
      <c r="P287" s="103"/>
      <c r="Q287" s="103"/>
      <c r="R287" s="103"/>
      <c r="S287" s="103"/>
      <c r="T287" s="103"/>
      <c r="U287" s="103"/>
      <c r="V287" s="103"/>
      <c r="W287" s="103"/>
      <c r="X287" s="103"/>
      <c r="Y287" s="103"/>
      <c r="Z287" s="103"/>
    </row>
    <row r="288" ht="15.75" customHeight="1">
      <c r="A288" s="103"/>
      <c r="B288" s="103"/>
      <c r="C288" s="103"/>
      <c r="D288" s="103"/>
      <c r="E288" s="103"/>
      <c r="F288" s="103"/>
      <c r="G288" s="103"/>
      <c r="H288" s="103"/>
      <c r="I288" s="103"/>
      <c r="J288" s="103"/>
      <c r="K288" s="103"/>
      <c r="L288" s="103"/>
      <c r="M288" s="103"/>
      <c r="N288" s="103"/>
      <c r="O288" s="103"/>
      <c r="P288" s="103"/>
      <c r="Q288" s="103"/>
      <c r="R288" s="103"/>
      <c r="S288" s="103"/>
      <c r="T288" s="103"/>
      <c r="U288" s="103"/>
      <c r="V288" s="103"/>
      <c r="W288" s="103"/>
      <c r="X288" s="103"/>
      <c r="Y288" s="103"/>
      <c r="Z288" s="103"/>
    </row>
    <row r="289" ht="15.75" customHeight="1">
      <c r="A289" s="103"/>
      <c r="B289" s="103"/>
      <c r="C289" s="103"/>
      <c r="D289" s="103"/>
      <c r="E289" s="103"/>
      <c r="F289" s="103"/>
      <c r="G289" s="103"/>
      <c r="H289" s="103"/>
      <c r="I289" s="103"/>
      <c r="J289" s="103"/>
      <c r="K289" s="103"/>
      <c r="L289" s="103"/>
      <c r="M289" s="103"/>
      <c r="N289" s="103"/>
      <c r="O289" s="103"/>
      <c r="P289" s="103"/>
      <c r="Q289" s="103"/>
      <c r="R289" s="103"/>
      <c r="S289" s="103"/>
      <c r="T289" s="103"/>
      <c r="U289" s="103"/>
      <c r="V289" s="103"/>
      <c r="W289" s="103"/>
      <c r="X289" s="103"/>
      <c r="Y289" s="103"/>
      <c r="Z289" s="103"/>
    </row>
    <row r="290" ht="15.75" customHeight="1">
      <c r="A290" s="103"/>
      <c r="B290" s="103"/>
      <c r="C290" s="103"/>
      <c r="D290" s="103"/>
      <c r="E290" s="103"/>
      <c r="F290" s="103"/>
      <c r="G290" s="103"/>
      <c r="H290" s="103"/>
      <c r="I290" s="103"/>
      <c r="J290" s="103"/>
      <c r="K290" s="103"/>
      <c r="L290" s="103"/>
      <c r="M290" s="103"/>
      <c r="N290" s="103"/>
      <c r="O290" s="103"/>
      <c r="P290" s="103"/>
      <c r="Q290" s="103"/>
      <c r="R290" s="103"/>
      <c r="S290" s="103"/>
      <c r="T290" s="103"/>
      <c r="U290" s="103"/>
      <c r="V290" s="103"/>
      <c r="W290" s="103"/>
      <c r="X290" s="103"/>
      <c r="Y290" s="103"/>
      <c r="Z290" s="103"/>
    </row>
    <row r="291" ht="15.75" customHeight="1">
      <c r="A291" s="103"/>
      <c r="B291" s="103"/>
      <c r="C291" s="103"/>
      <c r="D291" s="103"/>
      <c r="E291" s="103"/>
      <c r="F291" s="103"/>
      <c r="G291" s="103"/>
      <c r="H291" s="103"/>
      <c r="I291" s="103"/>
      <c r="J291" s="103"/>
      <c r="K291" s="103"/>
      <c r="L291" s="103"/>
      <c r="M291" s="103"/>
      <c r="N291" s="103"/>
      <c r="O291" s="103"/>
      <c r="P291" s="103"/>
      <c r="Q291" s="103"/>
      <c r="R291" s="103"/>
      <c r="S291" s="103"/>
      <c r="T291" s="103"/>
      <c r="U291" s="103"/>
      <c r="V291" s="103"/>
      <c r="W291" s="103"/>
      <c r="X291" s="103"/>
      <c r="Y291" s="103"/>
      <c r="Z291" s="103"/>
    </row>
    <row r="292" ht="15.75" customHeight="1">
      <c r="A292" s="103"/>
      <c r="B292" s="103"/>
      <c r="C292" s="103"/>
      <c r="D292" s="103"/>
      <c r="E292" s="103"/>
      <c r="F292" s="103"/>
      <c r="G292" s="103"/>
      <c r="H292" s="103"/>
      <c r="I292" s="103"/>
      <c r="J292" s="103"/>
      <c r="K292" s="103"/>
      <c r="L292" s="103"/>
      <c r="M292" s="103"/>
      <c r="N292" s="103"/>
      <c r="O292" s="103"/>
      <c r="P292" s="103"/>
      <c r="Q292" s="103"/>
      <c r="R292" s="103"/>
      <c r="S292" s="103"/>
      <c r="T292" s="103"/>
      <c r="U292" s="103"/>
      <c r="V292" s="103"/>
      <c r="W292" s="103"/>
      <c r="X292" s="103"/>
      <c r="Y292" s="103"/>
      <c r="Z292" s="103"/>
    </row>
    <row r="293" ht="15.75" customHeight="1">
      <c r="A293" s="103"/>
      <c r="B293" s="103"/>
      <c r="C293" s="103"/>
      <c r="D293" s="103"/>
      <c r="E293" s="103"/>
      <c r="F293" s="103"/>
      <c r="G293" s="103"/>
      <c r="H293" s="103"/>
      <c r="I293" s="103"/>
      <c r="J293" s="103"/>
      <c r="K293" s="103"/>
      <c r="L293" s="103"/>
      <c r="M293" s="103"/>
      <c r="N293" s="103"/>
      <c r="O293" s="103"/>
      <c r="P293" s="103"/>
      <c r="Q293" s="103"/>
      <c r="R293" s="103"/>
      <c r="S293" s="103"/>
      <c r="T293" s="103"/>
      <c r="U293" s="103"/>
      <c r="V293" s="103"/>
      <c r="W293" s="103"/>
      <c r="X293" s="103"/>
      <c r="Y293" s="103"/>
      <c r="Z293" s="103"/>
    </row>
    <row r="294" ht="15.75" customHeight="1">
      <c r="A294" s="103"/>
      <c r="B294" s="103"/>
      <c r="C294" s="103"/>
      <c r="D294" s="103"/>
      <c r="E294" s="103"/>
      <c r="F294" s="103"/>
      <c r="G294" s="103"/>
      <c r="H294" s="103"/>
      <c r="I294" s="103"/>
      <c r="J294" s="103"/>
      <c r="K294" s="103"/>
      <c r="L294" s="103"/>
      <c r="M294" s="103"/>
      <c r="N294" s="103"/>
      <c r="O294" s="103"/>
      <c r="P294" s="103"/>
      <c r="Q294" s="103"/>
      <c r="R294" s="103"/>
      <c r="S294" s="103"/>
      <c r="T294" s="103"/>
      <c r="U294" s="103"/>
      <c r="V294" s="103"/>
      <c r="W294" s="103"/>
      <c r="X294" s="103"/>
      <c r="Y294" s="103"/>
      <c r="Z294" s="103"/>
    </row>
    <row r="295" ht="15.75" customHeight="1">
      <c r="A295" s="103"/>
      <c r="B295" s="103"/>
      <c r="C295" s="103"/>
      <c r="D295" s="103"/>
      <c r="E295" s="103"/>
      <c r="F295" s="103"/>
      <c r="G295" s="103"/>
      <c r="H295" s="103"/>
      <c r="I295" s="103"/>
      <c r="J295" s="103"/>
      <c r="K295" s="103"/>
      <c r="L295" s="103"/>
      <c r="M295" s="103"/>
      <c r="N295" s="103"/>
      <c r="O295" s="103"/>
      <c r="P295" s="103"/>
      <c r="Q295" s="103"/>
      <c r="R295" s="103"/>
      <c r="S295" s="103"/>
      <c r="T295" s="103"/>
      <c r="U295" s="103"/>
      <c r="V295" s="103"/>
      <c r="W295" s="103"/>
      <c r="X295" s="103"/>
      <c r="Y295" s="103"/>
      <c r="Z295" s="103"/>
    </row>
    <row r="296" ht="15.75" customHeight="1">
      <c r="A296" s="103"/>
      <c r="B296" s="103"/>
      <c r="C296" s="103"/>
      <c r="D296" s="103"/>
      <c r="E296" s="103"/>
      <c r="F296" s="103"/>
      <c r="G296" s="103"/>
      <c r="H296" s="103"/>
      <c r="I296" s="103"/>
      <c r="J296" s="103"/>
      <c r="K296" s="103"/>
      <c r="L296" s="103"/>
      <c r="M296" s="103"/>
      <c r="N296" s="103"/>
      <c r="O296" s="103"/>
      <c r="P296" s="103"/>
      <c r="Q296" s="103"/>
      <c r="R296" s="103"/>
      <c r="S296" s="103"/>
      <c r="T296" s="103"/>
      <c r="U296" s="103"/>
      <c r="V296" s="103"/>
      <c r="W296" s="103"/>
      <c r="X296" s="103"/>
      <c r="Y296" s="103"/>
      <c r="Z296" s="103"/>
    </row>
    <row r="297" ht="15.75" customHeight="1">
      <c r="A297" s="103"/>
      <c r="B297" s="103"/>
      <c r="C297" s="103"/>
      <c r="D297" s="103"/>
      <c r="E297" s="103"/>
      <c r="F297" s="103"/>
      <c r="G297" s="103"/>
      <c r="H297" s="103"/>
      <c r="I297" s="103"/>
      <c r="J297" s="103"/>
      <c r="K297" s="103"/>
      <c r="L297" s="103"/>
      <c r="M297" s="103"/>
      <c r="N297" s="103"/>
      <c r="O297" s="103"/>
      <c r="P297" s="103"/>
      <c r="Q297" s="103"/>
      <c r="R297" s="103"/>
      <c r="S297" s="103"/>
      <c r="T297" s="103"/>
      <c r="U297" s="103"/>
      <c r="V297" s="103"/>
      <c r="W297" s="103"/>
      <c r="X297" s="103"/>
      <c r="Y297" s="103"/>
      <c r="Z297" s="103"/>
    </row>
    <row r="298" ht="15.75" customHeight="1">
      <c r="A298" s="103"/>
      <c r="B298" s="103"/>
      <c r="C298" s="103"/>
      <c r="D298" s="103"/>
      <c r="E298" s="103"/>
      <c r="F298" s="103"/>
      <c r="G298" s="103"/>
      <c r="H298" s="103"/>
      <c r="I298" s="103"/>
      <c r="J298" s="103"/>
      <c r="K298" s="103"/>
      <c r="L298" s="103"/>
      <c r="M298" s="103"/>
      <c r="N298" s="103"/>
      <c r="O298" s="103"/>
      <c r="P298" s="103"/>
      <c r="Q298" s="103"/>
      <c r="R298" s="103"/>
      <c r="S298" s="103"/>
      <c r="T298" s="103"/>
      <c r="U298" s="103"/>
      <c r="V298" s="103"/>
      <c r="W298" s="103"/>
      <c r="X298" s="103"/>
      <c r="Y298" s="103"/>
      <c r="Z298" s="103"/>
    </row>
    <row r="299" ht="15.75" customHeight="1">
      <c r="A299" s="103"/>
      <c r="B299" s="103"/>
      <c r="C299" s="103"/>
      <c r="D299" s="103"/>
      <c r="E299" s="103"/>
      <c r="F299" s="103"/>
      <c r="G299" s="103"/>
      <c r="H299" s="103"/>
      <c r="I299" s="103"/>
      <c r="J299" s="103"/>
      <c r="K299" s="103"/>
      <c r="L299" s="103"/>
      <c r="M299" s="103"/>
      <c r="N299" s="103"/>
      <c r="O299" s="103"/>
      <c r="P299" s="103"/>
      <c r="Q299" s="103"/>
      <c r="R299" s="103"/>
      <c r="S299" s="103"/>
      <c r="T299" s="103"/>
      <c r="U299" s="103"/>
      <c r="V299" s="103"/>
      <c r="W299" s="103"/>
      <c r="X299" s="103"/>
      <c r="Y299" s="103"/>
      <c r="Z299" s="103"/>
    </row>
    <row r="300" ht="15.75" customHeight="1">
      <c r="A300" s="103"/>
      <c r="B300" s="103"/>
      <c r="C300" s="103"/>
      <c r="D300" s="103"/>
      <c r="E300" s="103"/>
      <c r="F300" s="103"/>
      <c r="G300" s="103"/>
      <c r="H300" s="103"/>
      <c r="I300" s="103"/>
      <c r="J300" s="103"/>
      <c r="K300" s="103"/>
      <c r="L300" s="103"/>
      <c r="M300" s="103"/>
      <c r="N300" s="103"/>
      <c r="O300" s="103"/>
      <c r="P300" s="103"/>
      <c r="Q300" s="103"/>
      <c r="R300" s="103"/>
      <c r="S300" s="103"/>
      <c r="T300" s="103"/>
      <c r="U300" s="103"/>
      <c r="V300" s="103"/>
      <c r="W300" s="103"/>
      <c r="X300" s="103"/>
      <c r="Y300" s="103"/>
      <c r="Z300" s="103"/>
    </row>
    <row r="301" ht="15.75" customHeight="1">
      <c r="A301" s="103"/>
      <c r="B301" s="103"/>
      <c r="C301" s="103"/>
      <c r="D301" s="103"/>
      <c r="E301" s="103"/>
      <c r="F301" s="103"/>
      <c r="G301" s="103"/>
      <c r="H301" s="103"/>
      <c r="I301" s="103"/>
      <c r="J301" s="103"/>
      <c r="K301" s="103"/>
      <c r="L301" s="103"/>
      <c r="M301" s="103"/>
      <c r="N301" s="103"/>
      <c r="O301" s="103"/>
      <c r="P301" s="103"/>
      <c r="Q301" s="103"/>
      <c r="R301" s="103"/>
      <c r="S301" s="103"/>
      <c r="T301" s="103"/>
      <c r="U301" s="103"/>
      <c r="V301" s="103"/>
      <c r="W301" s="103"/>
      <c r="X301" s="103"/>
      <c r="Y301" s="103"/>
      <c r="Z301" s="103"/>
    </row>
    <row r="302" ht="15.75" customHeight="1">
      <c r="A302" s="103"/>
      <c r="B302" s="103"/>
      <c r="C302" s="103"/>
      <c r="D302" s="103"/>
      <c r="E302" s="103"/>
      <c r="F302" s="103"/>
      <c r="G302" s="103"/>
      <c r="H302" s="103"/>
      <c r="I302" s="103"/>
      <c r="J302" s="103"/>
      <c r="K302" s="103"/>
      <c r="L302" s="103"/>
      <c r="M302" s="103"/>
      <c r="N302" s="103"/>
      <c r="O302" s="103"/>
      <c r="P302" s="103"/>
      <c r="Q302" s="103"/>
      <c r="R302" s="103"/>
      <c r="S302" s="103"/>
      <c r="T302" s="103"/>
      <c r="U302" s="103"/>
      <c r="V302" s="103"/>
      <c r="W302" s="103"/>
      <c r="X302" s="103"/>
      <c r="Y302" s="103"/>
      <c r="Z302" s="103"/>
    </row>
    <row r="303" ht="15.75" customHeight="1">
      <c r="A303" s="103"/>
      <c r="B303" s="103"/>
      <c r="C303" s="103"/>
      <c r="D303" s="103"/>
      <c r="E303" s="103"/>
      <c r="F303" s="103"/>
      <c r="G303" s="103"/>
      <c r="H303" s="103"/>
      <c r="I303" s="103"/>
      <c r="J303" s="103"/>
      <c r="K303" s="103"/>
      <c r="L303" s="103"/>
      <c r="M303" s="103"/>
      <c r="N303" s="103"/>
      <c r="O303" s="103"/>
      <c r="P303" s="103"/>
      <c r="Q303" s="103"/>
      <c r="R303" s="103"/>
      <c r="S303" s="103"/>
      <c r="T303" s="103"/>
      <c r="U303" s="103"/>
      <c r="V303" s="103"/>
      <c r="W303" s="103"/>
      <c r="X303" s="103"/>
      <c r="Y303" s="103"/>
      <c r="Z303" s="103"/>
    </row>
    <row r="304" ht="15.75" customHeight="1">
      <c r="A304" s="103"/>
      <c r="B304" s="103"/>
      <c r="C304" s="103"/>
      <c r="D304" s="103"/>
      <c r="E304" s="103"/>
      <c r="F304" s="103"/>
      <c r="G304" s="103"/>
      <c r="H304" s="103"/>
      <c r="I304" s="103"/>
      <c r="J304" s="103"/>
      <c r="K304" s="103"/>
      <c r="L304" s="103"/>
      <c r="M304" s="103"/>
      <c r="N304" s="103"/>
      <c r="O304" s="103"/>
      <c r="P304" s="103"/>
      <c r="Q304" s="103"/>
      <c r="R304" s="103"/>
      <c r="S304" s="103"/>
      <c r="T304" s="103"/>
      <c r="U304" s="103"/>
      <c r="V304" s="103"/>
      <c r="W304" s="103"/>
      <c r="X304" s="103"/>
      <c r="Y304" s="103"/>
      <c r="Z304" s="103"/>
    </row>
    <row r="305" ht="15.75" customHeight="1">
      <c r="A305" s="103"/>
      <c r="B305" s="103"/>
      <c r="C305" s="103"/>
      <c r="D305" s="103"/>
      <c r="E305" s="103"/>
      <c r="F305" s="103"/>
      <c r="G305" s="103"/>
      <c r="H305" s="103"/>
      <c r="I305" s="103"/>
      <c r="J305" s="103"/>
      <c r="K305" s="103"/>
      <c r="L305" s="103"/>
      <c r="M305" s="103"/>
      <c r="N305" s="103"/>
      <c r="O305" s="103"/>
      <c r="P305" s="103"/>
      <c r="Q305" s="103"/>
      <c r="R305" s="103"/>
      <c r="S305" s="103"/>
      <c r="T305" s="103"/>
      <c r="U305" s="103"/>
      <c r="V305" s="103"/>
      <c r="W305" s="103"/>
      <c r="X305" s="103"/>
      <c r="Y305" s="103"/>
      <c r="Z305" s="103"/>
    </row>
    <row r="306" ht="15.75" customHeight="1">
      <c r="A306" s="103"/>
      <c r="B306" s="103"/>
      <c r="C306" s="103"/>
      <c r="D306" s="103"/>
      <c r="E306" s="103"/>
      <c r="F306" s="103"/>
      <c r="G306" s="103"/>
      <c r="H306" s="103"/>
      <c r="I306" s="103"/>
      <c r="J306" s="103"/>
      <c r="K306" s="103"/>
      <c r="L306" s="103"/>
      <c r="M306" s="103"/>
      <c r="N306" s="103"/>
      <c r="O306" s="103"/>
      <c r="P306" s="103"/>
      <c r="Q306" s="103"/>
      <c r="R306" s="103"/>
      <c r="S306" s="103"/>
      <c r="T306" s="103"/>
      <c r="U306" s="103"/>
      <c r="V306" s="103"/>
      <c r="W306" s="103"/>
      <c r="X306" s="103"/>
      <c r="Y306" s="103"/>
      <c r="Z306" s="103"/>
    </row>
    <row r="307" ht="15.75" customHeight="1">
      <c r="A307" s="103"/>
      <c r="B307" s="103"/>
      <c r="C307" s="103"/>
      <c r="D307" s="103"/>
      <c r="E307" s="103"/>
      <c r="F307" s="103"/>
      <c r="G307" s="103"/>
      <c r="H307" s="103"/>
      <c r="I307" s="103"/>
      <c r="J307" s="103"/>
      <c r="K307" s="103"/>
      <c r="L307" s="103"/>
      <c r="M307" s="103"/>
      <c r="N307" s="103"/>
      <c r="O307" s="103"/>
      <c r="P307" s="103"/>
      <c r="Q307" s="103"/>
      <c r="R307" s="103"/>
      <c r="S307" s="103"/>
      <c r="T307" s="103"/>
      <c r="U307" s="103"/>
      <c r="V307" s="103"/>
      <c r="W307" s="103"/>
      <c r="X307" s="103"/>
      <c r="Y307" s="103"/>
      <c r="Z307" s="103"/>
    </row>
    <row r="308" ht="15.75" customHeight="1">
      <c r="A308" s="103"/>
      <c r="B308" s="103"/>
      <c r="C308" s="103"/>
      <c r="D308" s="103"/>
      <c r="E308" s="103"/>
      <c r="F308" s="103"/>
      <c r="G308" s="103"/>
      <c r="H308" s="103"/>
      <c r="I308" s="103"/>
      <c r="J308" s="103"/>
      <c r="K308" s="103"/>
      <c r="L308" s="103"/>
      <c r="M308" s="103"/>
      <c r="N308" s="103"/>
      <c r="O308" s="103"/>
      <c r="P308" s="103"/>
      <c r="Q308" s="103"/>
      <c r="R308" s="103"/>
      <c r="S308" s="103"/>
      <c r="T308" s="103"/>
      <c r="U308" s="103"/>
      <c r="V308" s="103"/>
      <c r="W308" s="103"/>
      <c r="X308" s="103"/>
      <c r="Y308" s="103"/>
      <c r="Z308" s="103"/>
    </row>
    <row r="309" ht="15.75" customHeight="1">
      <c r="A309" s="103"/>
      <c r="B309" s="103"/>
      <c r="C309" s="103"/>
      <c r="D309" s="103"/>
      <c r="E309" s="103"/>
      <c r="F309" s="103"/>
      <c r="G309" s="103"/>
      <c r="H309" s="103"/>
      <c r="I309" s="103"/>
      <c r="J309" s="103"/>
      <c r="K309" s="103"/>
      <c r="L309" s="103"/>
      <c r="M309" s="103"/>
      <c r="N309" s="103"/>
      <c r="O309" s="103"/>
      <c r="P309" s="103"/>
      <c r="Q309" s="103"/>
      <c r="R309" s="103"/>
      <c r="S309" s="103"/>
      <c r="T309" s="103"/>
      <c r="U309" s="103"/>
      <c r="V309" s="103"/>
      <c r="W309" s="103"/>
      <c r="X309" s="103"/>
      <c r="Y309" s="103"/>
      <c r="Z309" s="103"/>
    </row>
    <row r="310" ht="15.75" customHeight="1">
      <c r="A310" s="103"/>
      <c r="B310" s="103"/>
      <c r="C310" s="103"/>
      <c r="D310" s="103"/>
      <c r="E310" s="103"/>
      <c r="F310" s="103"/>
      <c r="G310" s="103"/>
      <c r="H310" s="103"/>
      <c r="I310" s="103"/>
      <c r="J310" s="103"/>
      <c r="K310" s="103"/>
      <c r="L310" s="103"/>
      <c r="M310" s="103"/>
      <c r="N310" s="103"/>
      <c r="O310" s="103"/>
      <c r="P310" s="103"/>
      <c r="Q310" s="103"/>
      <c r="R310" s="103"/>
      <c r="S310" s="103"/>
      <c r="T310" s="103"/>
      <c r="U310" s="103"/>
      <c r="V310" s="103"/>
      <c r="W310" s="103"/>
      <c r="X310" s="103"/>
      <c r="Y310" s="103"/>
      <c r="Z310" s="103"/>
    </row>
    <row r="311" ht="15.75" customHeight="1">
      <c r="A311" s="103"/>
      <c r="B311" s="103"/>
      <c r="C311" s="103"/>
      <c r="D311" s="103"/>
      <c r="E311" s="103"/>
      <c r="F311" s="103"/>
      <c r="G311" s="103"/>
      <c r="H311" s="103"/>
      <c r="I311" s="103"/>
      <c r="J311" s="103"/>
      <c r="K311" s="103"/>
      <c r="L311" s="103"/>
      <c r="M311" s="103"/>
      <c r="N311" s="103"/>
      <c r="O311" s="103"/>
      <c r="P311" s="103"/>
      <c r="Q311" s="103"/>
      <c r="R311" s="103"/>
      <c r="S311" s="103"/>
      <c r="T311" s="103"/>
      <c r="U311" s="103"/>
      <c r="V311" s="103"/>
      <c r="W311" s="103"/>
      <c r="X311" s="103"/>
      <c r="Y311" s="103"/>
      <c r="Z311" s="103"/>
    </row>
    <row r="312" ht="15.75" customHeight="1">
      <c r="A312" s="103"/>
      <c r="B312" s="103"/>
      <c r="C312" s="103"/>
      <c r="D312" s="103"/>
      <c r="E312" s="103"/>
      <c r="F312" s="103"/>
      <c r="G312" s="103"/>
      <c r="H312" s="103"/>
      <c r="I312" s="103"/>
      <c r="J312" s="103"/>
      <c r="K312" s="103"/>
      <c r="L312" s="103"/>
      <c r="M312" s="103"/>
      <c r="N312" s="103"/>
      <c r="O312" s="103"/>
      <c r="P312" s="103"/>
      <c r="Q312" s="103"/>
      <c r="R312" s="103"/>
      <c r="S312" s="103"/>
      <c r="T312" s="103"/>
      <c r="U312" s="103"/>
      <c r="V312" s="103"/>
      <c r="W312" s="103"/>
      <c r="X312" s="103"/>
      <c r="Y312" s="103"/>
      <c r="Z312" s="103"/>
    </row>
    <row r="313" ht="15.75" customHeight="1">
      <c r="A313" s="103"/>
      <c r="B313" s="103"/>
      <c r="C313" s="103"/>
      <c r="D313" s="103"/>
      <c r="E313" s="103"/>
      <c r="F313" s="103"/>
      <c r="G313" s="103"/>
      <c r="H313" s="103"/>
      <c r="I313" s="103"/>
      <c r="J313" s="103"/>
      <c r="K313" s="103"/>
      <c r="L313" s="103"/>
      <c r="M313" s="103"/>
      <c r="N313" s="103"/>
      <c r="O313" s="103"/>
      <c r="P313" s="103"/>
      <c r="Q313" s="103"/>
      <c r="R313" s="103"/>
      <c r="S313" s="103"/>
      <c r="T313" s="103"/>
      <c r="U313" s="103"/>
      <c r="V313" s="103"/>
      <c r="W313" s="103"/>
      <c r="X313" s="103"/>
      <c r="Y313" s="103"/>
      <c r="Z313" s="103"/>
    </row>
    <row r="314" ht="15.75" customHeight="1">
      <c r="A314" s="103"/>
      <c r="B314" s="103"/>
      <c r="C314" s="103"/>
      <c r="D314" s="103"/>
      <c r="E314" s="103"/>
      <c r="F314" s="103"/>
      <c r="G314" s="103"/>
      <c r="H314" s="103"/>
      <c r="I314" s="103"/>
      <c r="J314" s="103"/>
      <c r="K314" s="103"/>
      <c r="L314" s="103"/>
      <c r="M314" s="103"/>
      <c r="N314" s="103"/>
      <c r="O314" s="103"/>
      <c r="P314" s="103"/>
      <c r="Q314" s="103"/>
      <c r="R314" s="103"/>
      <c r="S314" s="103"/>
      <c r="T314" s="103"/>
      <c r="U314" s="103"/>
      <c r="V314" s="103"/>
      <c r="W314" s="103"/>
      <c r="X314" s="103"/>
      <c r="Y314" s="103"/>
      <c r="Z314" s="103"/>
    </row>
    <row r="315" ht="15.75" customHeight="1">
      <c r="A315" s="103"/>
      <c r="B315" s="103"/>
      <c r="C315" s="103"/>
      <c r="D315" s="103"/>
      <c r="E315" s="103"/>
      <c r="F315" s="103"/>
      <c r="G315" s="103"/>
      <c r="H315" s="103"/>
      <c r="I315" s="103"/>
      <c r="J315" s="103"/>
      <c r="K315" s="103"/>
      <c r="L315" s="103"/>
      <c r="M315" s="103"/>
      <c r="N315" s="103"/>
      <c r="O315" s="103"/>
      <c r="P315" s="103"/>
      <c r="Q315" s="103"/>
      <c r="R315" s="103"/>
      <c r="S315" s="103"/>
      <c r="T315" s="103"/>
      <c r="U315" s="103"/>
      <c r="V315" s="103"/>
      <c r="W315" s="103"/>
      <c r="X315" s="103"/>
      <c r="Y315" s="103"/>
      <c r="Z315" s="103"/>
    </row>
    <row r="316" ht="15.75" customHeight="1">
      <c r="A316" s="103"/>
      <c r="B316" s="103"/>
      <c r="C316" s="103"/>
      <c r="D316" s="103"/>
      <c r="E316" s="103"/>
      <c r="F316" s="103"/>
      <c r="G316" s="103"/>
      <c r="H316" s="103"/>
      <c r="I316" s="103"/>
      <c r="J316" s="103"/>
      <c r="K316" s="103"/>
      <c r="L316" s="103"/>
      <c r="M316" s="103"/>
      <c r="N316" s="103"/>
      <c r="O316" s="103"/>
      <c r="P316" s="103"/>
      <c r="Q316" s="103"/>
      <c r="R316" s="103"/>
      <c r="S316" s="103"/>
      <c r="T316" s="103"/>
      <c r="U316" s="103"/>
      <c r="V316" s="103"/>
      <c r="W316" s="103"/>
      <c r="X316" s="103"/>
      <c r="Y316" s="103"/>
      <c r="Z316" s="103"/>
    </row>
    <row r="317" ht="15.75" customHeight="1">
      <c r="A317" s="103"/>
      <c r="B317" s="103"/>
      <c r="C317" s="103"/>
      <c r="D317" s="103"/>
      <c r="E317" s="103"/>
      <c r="F317" s="103"/>
      <c r="G317" s="103"/>
      <c r="H317" s="103"/>
      <c r="I317" s="103"/>
      <c r="J317" s="103"/>
      <c r="K317" s="103"/>
      <c r="L317" s="103"/>
      <c r="M317" s="103"/>
      <c r="N317" s="103"/>
      <c r="O317" s="103"/>
      <c r="P317" s="103"/>
      <c r="Q317" s="103"/>
      <c r="R317" s="103"/>
      <c r="S317" s="103"/>
      <c r="T317" s="103"/>
      <c r="U317" s="103"/>
      <c r="V317" s="103"/>
      <c r="W317" s="103"/>
      <c r="X317" s="103"/>
      <c r="Y317" s="103"/>
      <c r="Z317" s="103"/>
    </row>
    <row r="318" ht="15.75" customHeight="1">
      <c r="A318" s="103"/>
      <c r="B318" s="103"/>
      <c r="C318" s="103"/>
      <c r="D318" s="103"/>
      <c r="E318" s="103"/>
      <c r="F318" s="103"/>
      <c r="G318" s="103"/>
      <c r="H318" s="103"/>
      <c r="I318" s="103"/>
      <c r="J318" s="103"/>
      <c r="K318" s="103"/>
      <c r="L318" s="103"/>
      <c r="M318" s="103"/>
      <c r="N318" s="103"/>
      <c r="O318" s="103"/>
      <c r="P318" s="103"/>
      <c r="Q318" s="103"/>
      <c r="R318" s="103"/>
      <c r="S318" s="103"/>
      <c r="T318" s="103"/>
      <c r="U318" s="103"/>
      <c r="V318" s="103"/>
      <c r="W318" s="103"/>
      <c r="X318" s="103"/>
      <c r="Y318" s="103"/>
      <c r="Z318" s="103"/>
    </row>
    <row r="319" ht="15.75" customHeight="1">
      <c r="A319" s="103"/>
      <c r="B319" s="103"/>
      <c r="C319" s="103"/>
      <c r="D319" s="103"/>
      <c r="E319" s="103"/>
      <c r="F319" s="103"/>
      <c r="G319" s="103"/>
      <c r="H319" s="103"/>
      <c r="I319" s="103"/>
      <c r="J319" s="103"/>
      <c r="K319" s="103"/>
      <c r="L319" s="103"/>
      <c r="M319" s="103"/>
      <c r="N319" s="103"/>
      <c r="O319" s="103"/>
      <c r="P319" s="103"/>
      <c r="Q319" s="103"/>
      <c r="R319" s="103"/>
      <c r="S319" s="103"/>
      <c r="T319" s="103"/>
      <c r="U319" s="103"/>
      <c r="V319" s="103"/>
      <c r="W319" s="103"/>
      <c r="X319" s="103"/>
      <c r="Y319" s="103"/>
      <c r="Z319" s="103"/>
    </row>
    <row r="320" ht="15.75" customHeight="1">
      <c r="A320" s="103"/>
      <c r="B320" s="103"/>
      <c r="C320" s="103"/>
      <c r="D320" s="103"/>
      <c r="E320" s="103"/>
      <c r="F320" s="103"/>
      <c r="G320" s="103"/>
      <c r="H320" s="103"/>
      <c r="I320" s="103"/>
      <c r="J320" s="103"/>
      <c r="K320" s="103"/>
      <c r="L320" s="103"/>
      <c r="M320" s="103"/>
      <c r="N320" s="103"/>
      <c r="O320" s="103"/>
      <c r="P320" s="103"/>
      <c r="Q320" s="103"/>
      <c r="R320" s="103"/>
      <c r="S320" s="103"/>
      <c r="T320" s="103"/>
      <c r="U320" s="103"/>
      <c r="V320" s="103"/>
      <c r="W320" s="103"/>
      <c r="X320" s="103"/>
      <c r="Y320" s="103"/>
      <c r="Z320" s="103"/>
    </row>
    <row r="321" ht="15.75" customHeight="1">
      <c r="A321" s="103"/>
      <c r="B321" s="103"/>
      <c r="C321" s="103"/>
      <c r="D321" s="103"/>
      <c r="E321" s="103"/>
      <c r="F321" s="103"/>
      <c r="G321" s="103"/>
      <c r="H321" s="103"/>
      <c r="I321" s="103"/>
      <c r="J321" s="103"/>
      <c r="K321" s="103"/>
      <c r="L321" s="103"/>
      <c r="M321" s="103"/>
      <c r="N321" s="103"/>
      <c r="O321" s="103"/>
      <c r="P321" s="103"/>
      <c r="Q321" s="103"/>
      <c r="R321" s="103"/>
      <c r="S321" s="103"/>
      <c r="T321" s="103"/>
      <c r="U321" s="103"/>
      <c r="V321" s="103"/>
      <c r="W321" s="103"/>
      <c r="X321" s="103"/>
      <c r="Y321" s="103"/>
      <c r="Z321" s="103"/>
    </row>
    <row r="322" ht="15.75" customHeight="1">
      <c r="A322" s="103"/>
      <c r="B322" s="103"/>
      <c r="C322" s="103"/>
      <c r="D322" s="103"/>
      <c r="E322" s="103"/>
      <c r="F322" s="103"/>
      <c r="G322" s="103"/>
      <c r="H322" s="103"/>
      <c r="I322" s="103"/>
      <c r="J322" s="103"/>
      <c r="K322" s="103"/>
      <c r="L322" s="103"/>
      <c r="M322" s="103"/>
      <c r="N322" s="103"/>
      <c r="O322" s="103"/>
      <c r="P322" s="103"/>
      <c r="Q322" s="103"/>
      <c r="R322" s="103"/>
      <c r="S322" s="103"/>
      <c r="T322" s="103"/>
      <c r="U322" s="103"/>
      <c r="V322" s="103"/>
      <c r="W322" s="103"/>
      <c r="X322" s="103"/>
      <c r="Y322" s="103"/>
      <c r="Z322" s="103"/>
    </row>
    <row r="323" ht="15.75" customHeight="1">
      <c r="A323" s="103"/>
      <c r="B323" s="103"/>
      <c r="C323" s="103"/>
      <c r="D323" s="103"/>
      <c r="E323" s="103"/>
      <c r="F323" s="103"/>
      <c r="G323" s="103"/>
      <c r="H323" s="103"/>
      <c r="I323" s="103"/>
      <c r="J323" s="103"/>
      <c r="K323" s="103"/>
      <c r="L323" s="103"/>
      <c r="M323" s="103"/>
      <c r="N323" s="103"/>
      <c r="O323" s="103"/>
      <c r="P323" s="103"/>
      <c r="Q323" s="103"/>
      <c r="R323" s="103"/>
      <c r="S323" s="103"/>
      <c r="T323" s="103"/>
      <c r="U323" s="103"/>
      <c r="V323" s="103"/>
      <c r="W323" s="103"/>
      <c r="X323" s="103"/>
      <c r="Y323" s="103"/>
      <c r="Z323" s="103"/>
    </row>
    <row r="324" ht="15.75" customHeight="1">
      <c r="A324" s="103"/>
      <c r="B324" s="103"/>
      <c r="C324" s="103"/>
      <c r="D324" s="103"/>
      <c r="E324" s="103"/>
      <c r="F324" s="103"/>
      <c r="G324" s="103"/>
      <c r="H324" s="103"/>
      <c r="I324" s="103"/>
      <c r="J324" s="103"/>
      <c r="K324" s="103"/>
      <c r="L324" s="103"/>
      <c r="M324" s="103"/>
      <c r="N324" s="103"/>
      <c r="O324" s="103"/>
      <c r="P324" s="103"/>
      <c r="Q324" s="103"/>
      <c r="R324" s="103"/>
      <c r="S324" s="103"/>
      <c r="T324" s="103"/>
      <c r="U324" s="103"/>
      <c r="V324" s="103"/>
      <c r="W324" s="103"/>
      <c r="X324" s="103"/>
      <c r="Y324" s="103"/>
      <c r="Z324" s="103"/>
    </row>
    <row r="325" ht="15.75" customHeight="1">
      <c r="A325" s="103"/>
      <c r="B325" s="103"/>
      <c r="C325" s="103"/>
      <c r="D325" s="103"/>
      <c r="E325" s="103"/>
      <c r="F325" s="103"/>
      <c r="G325" s="103"/>
      <c r="H325" s="103"/>
      <c r="I325" s="103"/>
      <c r="J325" s="103"/>
      <c r="K325" s="103"/>
      <c r="L325" s="103"/>
      <c r="M325" s="103"/>
      <c r="N325" s="103"/>
      <c r="O325" s="103"/>
      <c r="P325" s="103"/>
      <c r="Q325" s="103"/>
      <c r="R325" s="103"/>
      <c r="S325" s="103"/>
      <c r="T325" s="103"/>
      <c r="U325" s="103"/>
      <c r="V325" s="103"/>
      <c r="W325" s="103"/>
      <c r="X325" s="103"/>
      <c r="Y325" s="103"/>
      <c r="Z325" s="103"/>
    </row>
    <row r="326" ht="15.75" customHeight="1">
      <c r="A326" s="103"/>
      <c r="B326" s="103"/>
      <c r="C326" s="103"/>
      <c r="D326" s="103"/>
      <c r="E326" s="103"/>
      <c r="F326" s="103"/>
      <c r="G326" s="103"/>
      <c r="H326" s="103"/>
      <c r="I326" s="103"/>
      <c r="J326" s="103"/>
      <c r="K326" s="103"/>
      <c r="L326" s="103"/>
      <c r="M326" s="103"/>
      <c r="N326" s="103"/>
      <c r="O326" s="103"/>
      <c r="P326" s="103"/>
      <c r="Q326" s="103"/>
      <c r="R326" s="103"/>
      <c r="S326" s="103"/>
      <c r="T326" s="103"/>
      <c r="U326" s="103"/>
      <c r="V326" s="103"/>
      <c r="W326" s="103"/>
      <c r="X326" s="103"/>
      <c r="Y326" s="103"/>
      <c r="Z326" s="103"/>
    </row>
    <row r="327" ht="15.75" customHeight="1">
      <c r="A327" s="103"/>
      <c r="B327" s="103"/>
      <c r="C327" s="103"/>
      <c r="D327" s="103"/>
      <c r="E327" s="103"/>
      <c r="F327" s="103"/>
      <c r="G327" s="103"/>
      <c r="H327" s="103"/>
      <c r="I327" s="103"/>
      <c r="J327" s="103"/>
      <c r="K327" s="103"/>
      <c r="L327" s="103"/>
      <c r="M327" s="103"/>
      <c r="N327" s="103"/>
      <c r="O327" s="103"/>
      <c r="P327" s="103"/>
      <c r="Q327" s="103"/>
      <c r="R327" s="103"/>
      <c r="S327" s="103"/>
      <c r="T327" s="103"/>
      <c r="U327" s="103"/>
      <c r="V327" s="103"/>
      <c r="W327" s="103"/>
      <c r="X327" s="103"/>
      <c r="Y327" s="103"/>
      <c r="Z327" s="103"/>
    </row>
    <row r="328" ht="15.75" customHeight="1">
      <c r="A328" s="103"/>
      <c r="B328" s="103"/>
      <c r="C328" s="103"/>
      <c r="D328" s="103"/>
      <c r="E328" s="103"/>
      <c r="F328" s="103"/>
      <c r="G328" s="103"/>
      <c r="H328" s="103"/>
      <c r="I328" s="103"/>
      <c r="J328" s="103"/>
      <c r="K328" s="103"/>
      <c r="L328" s="103"/>
      <c r="M328" s="103"/>
      <c r="N328" s="103"/>
      <c r="O328" s="103"/>
      <c r="P328" s="103"/>
      <c r="Q328" s="103"/>
      <c r="R328" s="103"/>
      <c r="S328" s="103"/>
      <c r="T328" s="103"/>
      <c r="U328" s="103"/>
      <c r="V328" s="103"/>
      <c r="W328" s="103"/>
      <c r="X328" s="103"/>
      <c r="Y328" s="103"/>
      <c r="Z328" s="103"/>
    </row>
    <row r="329" ht="15.75" customHeight="1">
      <c r="A329" s="103"/>
      <c r="B329" s="103"/>
      <c r="C329" s="103"/>
      <c r="D329" s="103"/>
      <c r="E329" s="103"/>
      <c r="F329" s="103"/>
      <c r="G329" s="103"/>
      <c r="H329" s="103"/>
      <c r="I329" s="103"/>
      <c r="J329" s="103"/>
      <c r="K329" s="103"/>
      <c r="L329" s="103"/>
      <c r="M329" s="103"/>
      <c r="N329" s="103"/>
      <c r="O329" s="103"/>
      <c r="P329" s="103"/>
      <c r="Q329" s="103"/>
      <c r="R329" s="103"/>
      <c r="S329" s="103"/>
      <c r="T329" s="103"/>
      <c r="U329" s="103"/>
      <c r="V329" s="103"/>
      <c r="W329" s="103"/>
      <c r="X329" s="103"/>
      <c r="Y329" s="103"/>
      <c r="Z329" s="103"/>
    </row>
    <row r="330" ht="15.75" customHeight="1">
      <c r="A330" s="103"/>
      <c r="B330" s="103"/>
      <c r="C330" s="103"/>
      <c r="D330" s="103"/>
      <c r="E330" s="103"/>
      <c r="F330" s="103"/>
      <c r="G330" s="103"/>
      <c r="H330" s="103"/>
      <c r="I330" s="103"/>
      <c r="J330" s="103"/>
      <c r="K330" s="103"/>
      <c r="L330" s="103"/>
      <c r="M330" s="103"/>
      <c r="N330" s="103"/>
      <c r="O330" s="103"/>
      <c r="P330" s="103"/>
      <c r="Q330" s="103"/>
      <c r="R330" s="103"/>
      <c r="S330" s="103"/>
      <c r="T330" s="103"/>
      <c r="U330" s="103"/>
      <c r="V330" s="103"/>
      <c r="W330" s="103"/>
      <c r="X330" s="103"/>
      <c r="Y330" s="103"/>
      <c r="Z330" s="103"/>
    </row>
    <row r="331" ht="15.75" customHeight="1">
      <c r="A331" s="103"/>
      <c r="B331" s="103"/>
      <c r="C331" s="103"/>
      <c r="D331" s="103"/>
      <c r="E331" s="103"/>
      <c r="F331" s="103"/>
      <c r="G331" s="103"/>
      <c r="H331" s="103"/>
      <c r="I331" s="103"/>
      <c r="J331" s="103"/>
      <c r="K331" s="103"/>
      <c r="L331" s="103"/>
      <c r="M331" s="103"/>
      <c r="N331" s="103"/>
      <c r="O331" s="103"/>
      <c r="P331" s="103"/>
      <c r="Q331" s="103"/>
      <c r="R331" s="103"/>
      <c r="S331" s="103"/>
      <c r="T331" s="103"/>
      <c r="U331" s="103"/>
      <c r="V331" s="103"/>
      <c r="W331" s="103"/>
      <c r="X331" s="103"/>
      <c r="Y331" s="103"/>
      <c r="Z331" s="103"/>
    </row>
    <row r="332" ht="15.75" customHeight="1">
      <c r="A332" s="103"/>
      <c r="B332" s="103"/>
      <c r="C332" s="103"/>
      <c r="D332" s="103"/>
      <c r="E332" s="103"/>
      <c r="F332" s="103"/>
      <c r="G332" s="103"/>
      <c r="H332" s="103"/>
      <c r="I332" s="103"/>
      <c r="J332" s="103"/>
      <c r="K332" s="103"/>
      <c r="L332" s="103"/>
      <c r="M332" s="103"/>
      <c r="N332" s="103"/>
      <c r="O332" s="103"/>
      <c r="P332" s="103"/>
      <c r="Q332" s="103"/>
      <c r="R332" s="103"/>
      <c r="S332" s="103"/>
      <c r="T332" s="103"/>
      <c r="U332" s="103"/>
      <c r="V332" s="103"/>
      <c r="W332" s="103"/>
      <c r="X332" s="103"/>
      <c r="Y332" s="103"/>
      <c r="Z332" s="103"/>
    </row>
    <row r="333" ht="15.75" customHeight="1">
      <c r="A333" s="103"/>
      <c r="B333" s="103"/>
      <c r="C333" s="103"/>
      <c r="D333" s="103"/>
      <c r="E333" s="103"/>
      <c r="F333" s="103"/>
      <c r="G333" s="103"/>
      <c r="H333" s="103"/>
      <c r="I333" s="103"/>
      <c r="J333" s="103"/>
      <c r="K333" s="103"/>
      <c r="L333" s="103"/>
      <c r="M333" s="103"/>
      <c r="N333" s="103"/>
      <c r="O333" s="103"/>
      <c r="P333" s="103"/>
      <c r="Q333" s="103"/>
      <c r="R333" s="103"/>
      <c r="S333" s="103"/>
      <c r="T333" s="103"/>
      <c r="U333" s="103"/>
      <c r="V333" s="103"/>
      <c r="W333" s="103"/>
      <c r="X333" s="103"/>
      <c r="Y333" s="103"/>
      <c r="Z333" s="103"/>
    </row>
    <row r="334" ht="15.75" customHeight="1">
      <c r="A334" s="103"/>
      <c r="B334" s="103"/>
      <c r="C334" s="103"/>
      <c r="D334" s="103"/>
      <c r="E334" s="103"/>
      <c r="F334" s="103"/>
      <c r="G334" s="103"/>
      <c r="H334" s="103"/>
      <c r="I334" s="103"/>
      <c r="J334" s="103"/>
      <c r="K334" s="103"/>
      <c r="L334" s="103"/>
      <c r="M334" s="103"/>
      <c r="N334" s="103"/>
      <c r="O334" s="103"/>
      <c r="P334" s="103"/>
      <c r="Q334" s="103"/>
      <c r="R334" s="103"/>
      <c r="S334" s="103"/>
      <c r="T334" s="103"/>
      <c r="U334" s="103"/>
      <c r="V334" s="103"/>
      <c r="W334" s="103"/>
      <c r="X334" s="103"/>
      <c r="Y334" s="103"/>
      <c r="Z334" s="103"/>
    </row>
    <row r="335" ht="15.75" customHeight="1">
      <c r="A335" s="103"/>
      <c r="B335" s="103"/>
      <c r="C335" s="103"/>
      <c r="D335" s="103"/>
      <c r="E335" s="103"/>
      <c r="F335" s="103"/>
      <c r="G335" s="103"/>
      <c r="H335" s="103"/>
      <c r="I335" s="103"/>
      <c r="J335" s="103"/>
      <c r="K335" s="103"/>
      <c r="L335" s="103"/>
      <c r="M335" s="103"/>
      <c r="N335" s="103"/>
      <c r="O335" s="103"/>
      <c r="P335" s="103"/>
      <c r="Q335" s="103"/>
      <c r="R335" s="103"/>
      <c r="S335" s="103"/>
      <c r="T335" s="103"/>
      <c r="U335" s="103"/>
      <c r="V335" s="103"/>
      <c r="W335" s="103"/>
      <c r="X335" s="103"/>
      <c r="Y335" s="103"/>
      <c r="Z335" s="103"/>
    </row>
    <row r="336" ht="15.75" customHeight="1">
      <c r="A336" s="103"/>
      <c r="B336" s="103"/>
      <c r="C336" s="103"/>
      <c r="D336" s="103"/>
      <c r="E336" s="103"/>
      <c r="F336" s="103"/>
      <c r="G336" s="103"/>
      <c r="H336" s="103"/>
      <c r="I336" s="103"/>
      <c r="J336" s="103"/>
      <c r="K336" s="103"/>
      <c r="L336" s="103"/>
      <c r="M336" s="103"/>
      <c r="N336" s="103"/>
      <c r="O336" s="103"/>
      <c r="P336" s="103"/>
      <c r="Q336" s="103"/>
      <c r="R336" s="103"/>
      <c r="S336" s="103"/>
      <c r="T336" s="103"/>
      <c r="U336" s="103"/>
      <c r="V336" s="103"/>
      <c r="W336" s="103"/>
      <c r="X336" s="103"/>
      <c r="Y336" s="103"/>
      <c r="Z336" s="103"/>
    </row>
    <row r="337" ht="15.75" customHeight="1">
      <c r="A337" s="103"/>
      <c r="B337" s="103"/>
      <c r="C337" s="103"/>
      <c r="D337" s="103"/>
      <c r="E337" s="103"/>
      <c r="F337" s="103"/>
      <c r="G337" s="103"/>
      <c r="H337" s="103"/>
      <c r="I337" s="103"/>
      <c r="J337" s="103"/>
      <c r="K337" s="103"/>
      <c r="L337" s="103"/>
      <c r="M337" s="103"/>
      <c r="N337" s="103"/>
      <c r="O337" s="103"/>
      <c r="P337" s="103"/>
      <c r="Q337" s="103"/>
      <c r="R337" s="103"/>
      <c r="S337" s="103"/>
      <c r="T337" s="103"/>
      <c r="U337" s="103"/>
      <c r="V337" s="103"/>
      <c r="W337" s="103"/>
      <c r="X337" s="103"/>
      <c r="Y337" s="103"/>
      <c r="Z337" s="103"/>
    </row>
    <row r="338" ht="15.75" customHeight="1">
      <c r="A338" s="103"/>
      <c r="B338" s="103"/>
      <c r="C338" s="103"/>
      <c r="D338" s="103"/>
      <c r="E338" s="103"/>
      <c r="F338" s="103"/>
      <c r="G338" s="103"/>
      <c r="H338" s="103"/>
      <c r="I338" s="103"/>
      <c r="J338" s="103"/>
      <c r="K338" s="103"/>
      <c r="L338" s="103"/>
      <c r="M338" s="103"/>
      <c r="N338" s="103"/>
      <c r="O338" s="103"/>
      <c r="P338" s="103"/>
      <c r="Q338" s="103"/>
      <c r="R338" s="103"/>
      <c r="S338" s="103"/>
      <c r="T338" s="103"/>
      <c r="U338" s="103"/>
      <c r="V338" s="103"/>
      <c r="W338" s="103"/>
      <c r="X338" s="103"/>
      <c r="Y338" s="103"/>
      <c r="Z338" s="103"/>
    </row>
    <row r="339" ht="15.75" customHeight="1">
      <c r="A339" s="103"/>
      <c r="B339" s="103"/>
      <c r="C339" s="103"/>
      <c r="D339" s="103"/>
      <c r="E339" s="103"/>
      <c r="F339" s="103"/>
      <c r="G339" s="103"/>
      <c r="H339" s="103"/>
      <c r="I339" s="103"/>
      <c r="J339" s="103"/>
      <c r="K339" s="103"/>
      <c r="L339" s="103"/>
      <c r="M339" s="103"/>
      <c r="N339" s="103"/>
      <c r="O339" s="103"/>
      <c r="P339" s="103"/>
      <c r="Q339" s="103"/>
      <c r="R339" s="103"/>
      <c r="S339" s="103"/>
      <c r="T339" s="103"/>
      <c r="U339" s="103"/>
      <c r="V339" s="103"/>
      <c r="W339" s="103"/>
      <c r="X339" s="103"/>
      <c r="Y339" s="103"/>
      <c r="Z339" s="103"/>
    </row>
    <row r="340" ht="15.75" customHeight="1">
      <c r="A340" s="103"/>
      <c r="B340" s="103"/>
      <c r="C340" s="103"/>
      <c r="D340" s="103"/>
      <c r="E340" s="103"/>
      <c r="F340" s="103"/>
      <c r="G340" s="103"/>
      <c r="H340" s="103"/>
      <c r="I340" s="103"/>
      <c r="J340" s="103"/>
      <c r="K340" s="103"/>
      <c r="L340" s="103"/>
      <c r="M340" s="103"/>
      <c r="N340" s="103"/>
      <c r="O340" s="103"/>
      <c r="P340" s="103"/>
      <c r="Q340" s="103"/>
      <c r="R340" s="103"/>
      <c r="S340" s="103"/>
      <c r="T340" s="103"/>
      <c r="U340" s="103"/>
      <c r="V340" s="103"/>
      <c r="W340" s="103"/>
      <c r="X340" s="103"/>
      <c r="Y340" s="103"/>
      <c r="Z340" s="103"/>
    </row>
    <row r="341" ht="15.75" customHeight="1">
      <c r="A341" s="103"/>
      <c r="B341" s="103"/>
      <c r="C341" s="103"/>
      <c r="D341" s="103"/>
      <c r="E341" s="103"/>
      <c r="F341" s="103"/>
      <c r="G341" s="103"/>
      <c r="H341" s="103"/>
      <c r="I341" s="103"/>
      <c r="J341" s="103"/>
      <c r="K341" s="103"/>
      <c r="L341" s="103"/>
      <c r="M341" s="103"/>
      <c r="N341" s="103"/>
      <c r="O341" s="103"/>
      <c r="P341" s="103"/>
      <c r="Q341" s="103"/>
      <c r="R341" s="103"/>
      <c r="S341" s="103"/>
      <c r="T341" s="103"/>
      <c r="U341" s="103"/>
      <c r="V341" s="103"/>
      <c r="W341" s="103"/>
      <c r="X341" s="103"/>
      <c r="Y341" s="103"/>
      <c r="Z341" s="103"/>
    </row>
    <row r="342" ht="15.75" customHeight="1">
      <c r="A342" s="103"/>
      <c r="B342" s="103"/>
      <c r="C342" s="103"/>
      <c r="D342" s="103"/>
      <c r="E342" s="103"/>
      <c r="F342" s="103"/>
      <c r="G342" s="103"/>
      <c r="H342" s="103"/>
      <c r="I342" s="103"/>
      <c r="J342" s="103"/>
      <c r="K342" s="103"/>
      <c r="L342" s="103"/>
      <c r="M342" s="103"/>
      <c r="N342" s="103"/>
      <c r="O342" s="103"/>
      <c r="P342" s="103"/>
      <c r="Q342" s="103"/>
      <c r="R342" s="103"/>
      <c r="S342" s="103"/>
      <c r="T342" s="103"/>
      <c r="U342" s="103"/>
      <c r="V342" s="103"/>
      <c r="W342" s="103"/>
      <c r="X342" s="103"/>
      <c r="Y342" s="103"/>
      <c r="Z342" s="103"/>
    </row>
    <row r="343" ht="15.75" customHeight="1">
      <c r="A343" s="103"/>
      <c r="B343" s="103"/>
      <c r="C343" s="103"/>
      <c r="D343" s="103"/>
      <c r="E343" s="103"/>
      <c r="F343" s="103"/>
      <c r="G343" s="103"/>
      <c r="H343" s="103"/>
      <c r="I343" s="103"/>
      <c r="J343" s="103"/>
      <c r="K343" s="103"/>
      <c r="L343" s="103"/>
      <c r="M343" s="103"/>
      <c r="N343" s="103"/>
      <c r="O343" s="103"/>
      <c r="P343" s="103"/>
      <c r="Q343" s="103"/>
      <c r="R343" s="103"/>
      <c r="S343" s="103"/>
      <c r="T343" s="103"/>
      <c r="U343" s="103"/>
      <c r="V343" s="103"/>
      <c r="W343" s="103"/>
      <c r="X343" s="103"/>
      <c r="Y343" s="103"/>
      <c r="Z343" s="103"/>
    </row>
    <row r="344" ht="15.75" customHeight="1">
      <c r="A344" s="103"/>
      <c r="B344" s="103"/>
      <c r="C344" s="103"/>
      <c r="D344" s="103"/>
      <c r="E344" s="103"/>
      <c r="F344" s="103"/>
      <c r="G344" s="103"/>
      <c r="H344" s="103"/>
      <c r="I344" s="103"/>
      <c r="J344" s="103"/>
      <c r="K344" s="103"/>
      <c r="L344" s="103"/>
      <c r="M344" s="103"/>
      <c r="N344" s="103"/>
      <c r="O344" s="103"/>
      <c r="P344" s="103"/>
      <c r="Q344" s="103"/>
      <c r="R344" s="103"/>
      <c r="S344" s="103"/>
      <c r="T344" s="103"/>
      <c r="U344" s="103"/>
      <c r="V344" s="103"/>
      <c r="W344" s="103"/>
      <c r="X344" s="103"/>
      <c r="Y344" s="103"/>
      <c r="Z344" s="103"/>
    </row>
    <row r="345" ht="15.75" customHeight="1">
      <c r="A345" s="103"/>
      <c r="B345" s="103"/>
      <c r="C345" s="103"/>
      <c r="D345" s="103"/>
      <c r="E345" s="103"/>
      <c r="F345" s="103"/>
      <c r="G345" s="103"/>
      <c r="H345" s="103"/>
      <c r="I345" s="103"/>
      <c r="J345" s="103"/>
      <c r="K345" s="103"/>
      <c r="L345" s="103"/>
      <c r="M345" s="103"/>
      <c r="N345" s="103"/>
      <c r="O345" s="103"/>
      <c r="P345" s="103"/>
      <c r="Q345" s="103"/>
      <c r="R345" s="103"/>
      <c r="S345" s="103"/>
      <c r="T345" s="103"/>
      <c r="U345" s="103"/>
      <c r="V345" s="103"/>
      <c r="W345" s="103"/>
      <c r="X345" s="103"/>
      <c r="Y345" s="103"/>
      <c r="Z345" s="103"/>
    </row>
    <row r="346" ht="15.75" customHeight="1">
      <c r="A346" s="103"/>
      <c r="B346" s="103"/>
      <c r="C346" s="103"/>
      <c r="D346" s="103"/>
      <c r="E346" s="103"/>
      <c r="F346" s="103"/>
      <c r="G346" s="103"/>
      <c r="H346" s="103"/>
      <c r="I346" s="103"/>
      <c r="J346" s="103"/>
      <c r="K346" s="103"/>
      <c r="L346" s="103"/>
      <c r="M346" s="103"/>
      <c r="N346" s="103"/>
      <c r="O346" s="103"/>
      <c r="P346" s="103"/>
      <c r="Q346" s="103"/>
      <c r="R346" s="103"/>
      <c r="S346" s="103"/>
      <c r="T346" s="103"/>
      <c r="U346" s="103"/>
      <c r="V346" s="103"/>
      <c r="W346" s="103"/>
      <c r="X346" s="103"/>
      <c r="Y346" s="103"/>
      <c r="Z346" s="103"/>
    </row>
    <row r="347" ht="15.75" customHeight="1">
      <c r="A347" s="103"/>
      <c r="B347" s="103"/>
      <c r="C347" s="103"/>
      <c r="D347" s="103"/>
      <c r="E347" s="103"/>
      <c r="F347" s="103"/>
      <c r="G347" s="103"/>
      <c r="H347" s="103"/>
      <c r="I347" s="103"/>
      <c r="J347" s="103"/>
      <c r="K347" s="103"/>
      <c r="L347" s="103"/>
      <c r="M347" s="103"/>
      <c r="N347" s="103"/>
      <c r="O347" s="103"/>
      <c r="P347" s="103"/>
      <c r="Q347" s="103"/>
      <c r="R347" s="103"/>
      <c r="S347" s="103"/>
      <c r="T347" s="103"/>
      <c r="U347" s="103"/>
      <c r="V347" s="103"/>
      <c r="W347" s="103"/>
      <c r="X347" s="103"/>
      <c r="Y347" s="103"/>
      <c r="Z347" s="103"/>
    </row>
    <row r="348" ht="15.75" customHeight="1">
      <c r="A348" s="103"/>
      <c r="B348" s="103"/>
      <c r="C348" s="103"/>
      <c r="D348" s="103"/>
      <c r="E348" s="103"/>
      <c r="F348" s="103"/>
      <c r="G348" s="103"/>
      <c r="H348" s="103"/>
      <c r="I348" s="103"/>
      <c r="J348" s="103"/>
      <c r="K348" s="103"/>
      <c r="L348" s="103"/>
      <c r="M348" s="103"/>
      <c r="N348" s="103"/>
      <c r="O348" s="103"/>
      <c r="P348" s="103"/>
      <c r="Q348" s="103"/>
      <c r="R348" s="103"/>
      <c r="S348" s="103"/>
      <c r="T348" s="103"/>
      <c r="U348" s="103"/>
      <c r="V348" s="103"/>
      <c r="W348" s="103"/>
      <c r="X348" s="103"/>
      <c r="Y348" s="103"/>
      <c r="Z348" s="103"/>
    </row>
    <row r="349" ht="15.75" customHeight="1">
      <c r="A349" s="103"/>
      <c r="B349" s="103"/>
      <c r="C349" s="103"/>
      <c r="D349" s="103"/>
      <c r="E349" s="103"/>
      <c r="F349" s="103"/>
      <c r="G349" s="103"/>
      <c r="H349" s="103"/>
      <c r="I349" s="103"/>
      <c r="J349" s="103"/>
      <c r="K349" s="103"/>
      <c r="L349" s="103"/>
      <c r="M349" s="103"/>
      <c r="N349" s="103"/>
      <c r="O349" s="103"/>
      <c r="P349" s="103"/>
      <c r="Q349" s="103"/>
      <c r="R349" s="103"/>
      <c r="S349" s="103"/>
      <c r="T349" s="103"/>
      <c r="U349" s="103"/>
      <c r="V349" s="103"/>
      <c r="W349" s="103"/>
      <c r="X349" s="103"/>
      <c r="Y349" s="103"/>
      <c r="Z349" s="103"/>
    </row>
    <row r="350" ht="15.75" customHeight="1">
      <c r="A350" s="103"/>
      <c r="B350" s="103"/>
      <c r="C350" s="103"/>
      <c r="D350" s="103"/>
      <c r="E350" s="103"/>
      <c r="F350" s="103"/>
      <c r="G350" s="103"/>
      <c r="H350" s="103"/>
      <c r="I350" s="103"/>
      <c r="J350" s="103"/>
      <c r="K350" s="103"/>
      <c r="L350" s="103"/>
      <c r="M350" s="103"/>
      <c r="N350" s="103"/>
      <c r="O350" s="103"/>
      <c r="P350" s="103"/>
      <c r="Q350" s="103"/>
      <c r="R350" s="103"/>
      <c r="S350" s="103"/>
      <c r="T350" s="103"/>
      <c r="U350" s="103"/>
      <c r="V350" s="103"/>
      <c r="W350" s="103"/>
      <c r="X350" s="103"/>
      <c r="Y350" s="103"/>
      <c r="Z350" s="103"/>
    </row>
    <row r="351" ht="15.75" customHeight="1">
      <c r="A351" s="103"/>
      <c r="B351" s="103"/>
      <c r="C351" s="103"/>
      <c r="D351" s="103"/>
      <c r="E351" s="103"/>
      <c r="F351" s="103"/>
      <c r="G351" s="103"/>
      <c r="H351" s="103"/>
      <c r="I351" s="103"/>
      <c r="J351" s="103"/>
      <c r="K351" s="103"/>
      <c r="L351" s="103"/>
      <c r="M351" s="103"/>
      <c r="N351" s="103"/>
      <c r="O351" s="103"/>
      <c r="P351" s="103"/>
      <c r="Q351" s="103"/>
      <c r="R351" s="103"/>
      <c r="S351" s="103"/>
      <c r="T351" s="103"/>
      <c r="U351" s="103"/>
      <c r="V351" s="103"/>
      <c r="W351" s="103"/>
      <c r="X351" s="103"/>
      <c r="Y351" s="103"/>
      <c r="Z351" s="103"/>
    </row>
    <row r="352" ht="15.75" customHeight="1">
      <c r="A352" s="103"/>
      <c r="B352" s="103"/>
      <c r="C352" s="103"/>
      <c r="D352" s="103"/>
      <c r="E352" s="103"/>
      <c r="F352" s="103"/>
      <c r="G352" s="103"/>
      <c r="H352" s="103"/>
      <c r="I352" s="103"/>
      <c r="J352" s="103"/>
      <c r="K352" s="103"/>
      <c r="L352" s="103"/>
      <c r="M352" s="103"/>
      <c r="N352" s="103"/>
      <c r="O352" s="103"/>
      <c r="P352" s="103"/>
      <c r="Q352" s="103"/>
      <c r="R352" s="103"/>
      <c r="S352" s="103"/>
      <c r="T352" s="103"/>
      <c r="U352" s="103"/>
      <c r="V352" s="103"/>
      <c r="W352" s="103"/>
      <c r="X352" s="103"/>
      <c r="Y352" s="103"/>
      <c r="Z352" s="103"/>
    </row>
    <row r="353" ht="15.75" customHeight="1">
      <c r="A353" s="103"/>
      <c r="B353" s="103"/>
      <c r="C353" s="103"/>
      <c r="D353" s="103"/>
      <c r="E353" s="103"/>
      <c r="F353" s="103"/>
      <c r="G353" s="103"/>
      <c r="H353" s="103"/>
      <c r="I353" s="103"/>
      <c r="J353" s="103"/>
      <c r="K353" s="103"/>
      <c r="L353" s="103"/>
      <c r="M353" s="103"/>
      <c r="N353" s="103"/>
      <c r="O353" s="103"/>
      <c r="P353" s="103"/>
      <c r="Q353" s="103"/>
      <c r="R353" s="103"/>
      <c r="S353" s="103"/>
      <c r="T353" s="103"/>
      <c r="U353" s="103"/>
      <c r="V353" s="103"/>
      <c r="W353" s="103"/>
      <c r="X353" s="103"/>
      <c r="Y353" s="103"/>
      <c r="Z353" s="103"/>
    </row>
    <row r="354" ht="15.75" customHeight="1">
      <c r="A354" s="103"/>
      <c r="B354" s="103"/>
      <c r="C354" s="103"/>
      <c r="D354" s="103"/>
      <c r="E354" s="103"/>
      <c r="F354" s="103"/>
      <c r="G354" s="103"/>
      <c r="H354" s="103"/>
      <c r="I354" s="103"/>
      <c r="J354" s="103"/>
      <c r="K354" s="103"/>
      <c r="L354" s="103"/>
      <c r="M354" s="103"/>
      <c r="N354" s="103"/>
      <c r="O354" s="103"/>
      <c r="P354" s="103"/>
      <c r="Q354" s="103"/>
      <c r="R354" s="103"/>
      <c r="S354" s="103"/>
      <c r="T354" s="103"/>
      <c r="U354" s="103"/>
      <c r="V354" s="103"/>
      <c r="W354" s="103"/>
      <c r="X354" s="103"/>
      <c r="Y354" s="103"/>
      <c r="Z354" s="103"/>
    </row>
    <row r="355" ht="15.75" customHeight="1">
      <c r="A355" s="103"/>
      <c r="B355" s="103"/>
      <c r="C355" s="103"/>
      <c r="D355" s="103"/>
      <c r="E355" s="103"/>
      <c r="F355" s="103"/>
      <c r="G355" s="103"/>
      <c r="H355" s="103"/>
      <c r="I355" s="103"/>
      <c r="J355" s="103"/>
      <c r="K355" s="103"/>
      <c r="L355" s="103"/>
      <c r="M355" s="103"/>
      <c r="N355" s="103"/>
      <c r="O355" s="103"/>
      <c r="P355" s="103"/>
      <c r="Q355" s="103"/>
      <c r="R355" s="103"/>
      <c r="S355" s="103"/>
      <c r="T355" s="103"/>
      <c r="U355" s="103"/>
      <c r="V355" s="103"/>
      <c r="W355" s="103"/>
      <c r="X355" s="103"/>
      <c r="Y355" s="103"/>
      <c r="Z355" s="103"/>
    </row>
    <row r="356" ht="15.75" customHeight="1">
      <c r="A356" s="103"/>
      <c r="B356" s="103"/>
      <c r="C356" s="103"/>
      <c r="D356" s="103"/>
      <c r="E356" s="103"/>
      <c r="F356" s="103"/>
      <c r="G356" s="103"/>
      <c r="H356" s="103"/>
      <c r="I356" s="103"/>
      <c r="J356" s="103"/>
      <c r="K356" s="103"/>
      <c r="L356" s="103"/>
      <c r="M356" s="103"/>
      <c r="N356" s="103"/>
      <c r="O356" s="103"/>
      <c r="P356" s="103"/>
      <c r="Q356" s="103"/>
      <c r="R356" s="103"/>
      <c r="S356" s="103"/>
      <c r="T356" s="103"/>
      <c r="U356" s="103"/>
      <c r="V356" s="103"/>
      <c r="W356" s="103"/>
      <c r="X356" s="103"/>
      <c r="Y356" s="103"/>
      <c r="Z356" s="103"/>
    </row>
    <row r="357" ht="15.75" customHeight="1">
      <c r="A357" s="103"/>
      <c r="B357" s="103"/>
      <c r="C357" s="103"/>
      <c r="D357" s="103"/>
      <c r="E357" s="103"/>
      <c r="F357" s="103"/>
      <c r="G357" s="103"/>
      <c r="H357" s="103"/>
      <c r="I357" s="103"/>
      <c r="J357" s="103"/>
      <c r="K357" s="103"/>
      <c r="L357" s="103"/>
      <c r="M357" s="103"/>
      <c r="N357" s="103"/>
      <c r="O357" s="103"/>
      <c r="P357" s="103"/>
      <c r="Q357" s="103"/>
      <c r="R357" s="103"/>
      <c r="S357" s="103"/>
      <c r="T357" s="103"/>
      <c r="U357" s="103"/>
      <c r="V357" s="103"/>
      <c r="W357" s="103"/>
      <c r="X357" s="103"/>
      <c r="Y357" s="103"/>
      <c r="Z357" s="103"/>
    </row>
    <row r="358" ht="15.75" customHeight="1">
      <c r="A358" s="103"/>
      <c r="B358" s="103"/>
      <c r="C358" s="103"/>
      <c r="D358" s="103"/>
      <c r="E358" s="103"/>
      <c r="F358" s="103"/>
      <c r="G358" s="103"/>
      <c r="H358" s="103"/>
      <c r="I358" s="103"/>
      <c r="J358" s="103"/>
      <c r="K358" s="103"/>
      <c r="L358" s="103"/>
      <c r="M358" s="103"/>
      <c r="N358" s="103"/>
      <c r="O358" s="103"/>
      <c r="P358" s="103"/>
      <c r="Q358" s="103"/>
      <c r="R358" s="103"/>
      <c r="S358" s="103"/>
      <c r="T358" s="103"/>
      <c r="U358" s="103"/>
      <c r="V358" s="103"/>
      <c r="W358" s="103"/>
      <c r="X358" s="103"/>
      <c r="Y358" s="103"/>
      <c r="Z358" s="103"/>
    </row>
    <row r="359" ht="15.75" customHeight="1">
      <c r="A359" s="103"/>
      <c r="B359" s="103"/>
      <c r="C359" s="103"/>
      <c r="D359" s="103"/>
      <c r="E359" s="103"/>
      <c r="F359" s="103"/>
      <c r="G359" s="103"/>
      <c r="H359" s="103"/>
      <c r="I359" s="103"/>
      <c r="J359" s="103"/>
      <c r="K359" s="103"/>
      <c r="L359" s="103"/>
      <c r="M359" s="103"/>
      <c r="N359" s="103"/>
      <c r="O359" s="103"/>
      <c r="P359" s="103"/>
      <c r="Q359" s="103"/>
      <c r="R359" s="103"/>
      <c r="S359" s="103"/>
      <c r="T359" s="103"/>
      <c r="U359" s="103"/>
      <c r="V359" s="103"/>
      <c r="W359" s="103"/>
      <c r="X359" s="103"/>
      <c r="Y359" s="103"/>
      <c r="Z359" s="103"/>
    </row>
    <row r="360" ht="15.75" customHeight="1">
      <c r="A360" s="103"/>
      <c r="B360" s="103"/>
      <c r="C360" s="103"/>
      <c r="D360" s="103"/>
      <c r="E360" s="103"/>
      <c r="F360" s="103"/>
      <c r="G360" s="103"/>
      <c r="H360" s="103"/>
      <c r="I360" s="103"/>
      <c r="J360" s="103"/>
      <c r="K360" s="103"/>
      <c r="L360" s="103"/>
      <c r="M360" s="103"/>
      <c r="N360" s="103"/>
      <c r="O360" s="103"/>
      <c r="P360" s="103"/>
      <c r="Q360" s="103"/>
      <c r="R360" s="103"/>
      <c r="S360" s="103"/>
      <c r="T360" s="103"/>
      <c r="U360" s="103"/>
      <c r="V360" s="103"/>
      <c r="W360" s="103"/>
      <c r="X360" s="103"/>
      <c r="Y360" s="103"/>
      <c r="Z360" s="103"/>
    </row>
    <row r="361" ht="15.75" customHeight="1">
      <c r="A361" s="103"/>
      <c r="B361" s="103"/>
      <c r="C361" s="103"/>
      <c r="D361" s="103"/>
      <c r="E361" s="103"/>
      <c r="F361" s="103"/>
      <c r="G361" s="103"/>
      <c r="H361" s="103"/>
      <c r="I361" s="103"/>
      <c r="J361" s="103"/>
      <c r="K361" s="103"/>
      <c r="L361" s="103"/>
      <c r="M361" s="103"/>
      <c r="N361" s="103"/>
      <c r="O361" s="103"/>
      <c r="P361" s="103"/>
      <c r="Q361" s="103"/>
      <c r="R361" s="103"/>
      <c r="S361" s="103"/>
      <c r="T361" s="103"/>
      <c r="U361" s="103"/>
      <c r="V361" s="103"/>
      <c r="W361" s="103"/>
      <c r="X361" s="103"/>
      <c r="Y361" s="103"/>
      <c r="Z361" s="103"/>
    </row>
    <row r="362" ht="15.75" customHeight="1">
      <c r="A362" s="103"/>
      <c r="B362" s="103"/>
      <c r="C362" s="103"/>
      <c r="D362" s="103"/>
      <c r="E362" s="103"/>
      <c r="F362" s="103"/>
      <c r="G362" s="103"/>
      <c r="H362" s="103"/>
      <c r="I362" s="103"/>
      <c r="J362" s="103"/>
      <c r="K362" s="103"/>
      <c r="L362" s="103"/>
      <c r="M362" s="103"/>
      <c r="N362" s="103"/>
      <c r="O362" s="103"/>
      <c r="P362" s="103"/>
      <c r="Q362" s="103"/>
      <c r="R362" s="103"/>
      <c r="S362" s="103"/>
      <c r="T362" s="103"/>
      <c r="U362" s="103"/>
      <c r="V362" s="103"/>
      <c r="W362" s="103"/>
      <c r="X362" s="103"/>
      <c r="Y362" s="103"/>
      <c r="Z362" s="103"/>
    </row>
    <row r="363" ht="15.75" customHeight="1">
      <c r="A363" s="103"/>
      <c r="B363" s="103"/>
      <c r="C363" s="103"/>
      <c r="D363" s="103"/>
      <c r="E363" s="103"/>
      <c r="F363" s="103"/>
      <c r="G363" s="103"/>
      <c r="H363" s="103"/>
      <c r="I363" s="103"/>
      <c r="J363" s="103"/>
      <c r="K363" s="103"/>
      <c r="L363" s="103"/>
      <c r="M363" s="103"/>
      <c r="N363" s="103"/>
      <c r="O363" s="103"/>
      <c r="P363" s="103"/>
      <c r="Q363" s="103"/>
      <c r="R363" s="103"/>
      <c r="S363" s="103"/>
      <c r="T363" s="103"/>
      <c r="U363" s="103"/>
      <c r="V363" s="103"/>
      <c r="W363" s="103"/>
      <c r="X363" s="103"/>
      <c r="Y363" s="103"/>
      <c r="Z363" s="103"/>
    </row>
    <row r="364" ht="15.75" customHeight="1">
      <c r="A364" s="103"/>
      <c r="B364" s="103"/>
      <c r="C364" s="103"/>
      <c r="D364" s="103"/>
      <c r="E364" s="103"/>
      <c r="F364" s="103"/>
      <c r="G364" s="103"/>
      <c r="H364" s="103"/>
      <c r="I364" s="103"/>
      <c r="J364" s="103"/>
      <c r="K364" s="103"/>
      <c r="L364" s="103"/>
      <c r="M364" s="103"/>
      <c r="N364" s="103"/>
      <c r="O364" s="103"/>
      <c r="P364" s="103"/>
      <c r="Q364" s="103"/>
      <c r="R364" s="103"/>
      <c r="S364" s="103"/>
      <c r="T364" s="103"/>
      <c r="U364" s="103"/>
      <c r="V364" s="103"/>
      <c r="W364" s="103"/>
      <c r="X364" s="103"/>
      <c r="Y364" s="103"/>
      <c r="Z364" s="103"/>
    </row>
    <row r="365" ht="15.75" customHeight="1">
      <c r="A365" s="103"/>
      <c r="B365" s="103"/>
      <c r="C365" s="103"/>
      <c r="D365" s="103"/>
      <c r="E365" s="103"/>
      <c r="F365" s="103"/>
      <c r="G365" s="103"/>
      <c r="H365" s="103"/>
      <c r="I365" s="103"/>
      <c r="J365" s="103"/>
      <c r="K365" s="103"/>
      <c r="L365" s="103"/>
      <c r="M365" s="103"/>
      <c r="N365" s="103"/>
      <c r="O365" s="103"/>
      <c r="P365" s="103"/>
      <c r="Q365" s="103"/>
      <c r="R365" s="103"/>
      <c r="S365" s="103"/>
      <c r="T365" s="103"/>
      <c r="U365" s="103"/>
      <c r="V365" s="103"/>
      <c r="W365" s="103"/>
      <c r="X365" s="103"/>
      <c r="Y365" s="103"/>
      <c r="Z365" s="103"/>
    </row>
    <row r="366" ht="15.75" customHeight="1">
      <c r="A366" s="103"/>
      <c r="B366" s="103"/>
      <c r="C366" s="103"/>
      <c r="D366" s="103"/>
      <c r="E366" s="103"/>
      <c r="F366" s="103"/>
      <c r="G366" s="103"/>
      <c r="H366" s="103"/>
      <c r="I366" s="103"/>
      <c r="J366" s="103"/>
      <c r="K366" s="103"/>
      <c r="L366" s="103"/>
      <c r="M366" s="103"/>
      <c r="N366" s="103"/>
      <c r="O366" s="103"/>
      <c r="P366" s="103"/>
      <c r="Q366" s="103"/>
      <c r="R366" s="103"/>
      <c r="S366" s="103"/>
      <c r="T366" s="103"/>
      <c r="U366" s="103"/>
      <c r="V366" s="103"/>
      <c r="W366" s="103"/>
      <c r="X366" s="103"/>
      <c r="Y366" s="103"/>
      <c r="Z366" s="103"/>
    </row>
    <row r="367" ht="15.75" customHeight="1">
      <c r="A367" s="103"/>
      <c r="B367" s="103"/>
      <c r="C367" s="103"/>
      <c r="D367" s="103"/>
      <c r="E367" s="103"/>
      <c r="F367" s="103"/>
      <c r="G367" s="103"/>
      <c r="H367" s="103"/>
      <c r="I367" s="103"/>
      <c r="J367" s="103"/>
      <c r="K367" s="103"/>
      <c r="L367" s="103"/>
      <c r="M367" s="103"/>
      <c r="N367" s="103"/>
      <c r="O367" s="103"/>
      <c r="P367" s="103"/>
      <c r="Q367" s="103"/>
      <c r="R367" s="103"/>
      <c r="S367" s="103"/>
      <c r="T367" s="103"/>
      <c r="U367" s="103"/>
      <c r="V367" s="103"/>
      <c r="W367" s="103"/>
      <c r="X367" s="103"/>
      <c r="Y367" s="103"/>
      <c r="Z367" s="103"/>
    </row>
    <row r="368" ht="15.75" customHeight="1">
      <c r="A368" s="103"/>
      <c r="B368" s="103"/>
      <c r="C368" s="103"/>
      <c r="D368" s="103"/>
      <c r="E368" s="103"/>
      <c r="F368" s="103"/>
      <c r="G368" s="103"/>
      <c r="H368" s="103"/>
      <c r="I368" s="103"/>
      <c r="J368" s="103"/>
      <c r="K368" s="103"/>
      <c r="L368" s="103"/>
      <c r="M368" s="103"/>
      <c r="N368" s="103"/>
      <c r="O368" s="103"/>
      <c r="P368" s="103"/>
      <c r="Q368" s="103"/>
      <c r="R368" s="103"/>
      <c r="S368" s="103"/>
      <c r="T368" s="103"/>
      <c r="U368" s="103"/>
      <c r="V368" s="103"/>
      <c r="W368" s="103"/>
      <c r="X368" s="103"/>
      <c r="Y368" s="103"/>
      <c r="Z368" s="103"/>
    </row>
    <row r="369" ht="15.75" customHeight="1">
      <c r="A369" s="103"/>
      <c r="B369" s="103"/>
      <c r="C369" s="103"/>
      <c r="D369" s="103"/>
      <c r="E369" s="103"/>
      <c r="F369" s="103"/>
      <c r="G369" s="103"/>
      <c r="H369" s="103"/>
      <c r="I369" s="103"/>
      <c r="J369" s="103"/>
      <c r="K369" s="103"/>
      <c r="L369" s="103"/>
      <c r="M369" s="103"/>
      <c r="N369" s="103"/>
      <c r="O369" s="103"/>
      <c r="P369" s="103"/>
      <c r="Q369" s="103"/>
      <c r="R369" s="103"/>
      <c r="S369" s="103"/>
      <c r="T369" s="103"/>
      <c r="U369" s="103"/>
      <c r="V369" s="103"/>
      <c r="W369" s="103"/>
      <c r="X369" s="103"/>
      <c r="Y369" s="103"/>
      <c r="Z369" s="103"/>
    </row>
    <row r="370" ht="15.75" customHeight="1">
      <c r="A370" s="103"/>
      <c r="B370" s="103"/>
      <c r="C370" s="103"/>
      <c r="D370" s="103"/>
      <c r="E370" s="103"/>
      <c r="F370" s="103"/>
      <c r="G370" s="103"/>
      <c r="H370" s="103"/>
      <c r="I370" s="103"/>
      <c r="J370" s="103"/>
      <c r="K370" s="103"/>
      <c r="L370" s="103"/>
      <c r="M370" s="103"/>
      <c r="N370" s="103"/>
      <c r="O370" s="103"/>
      <c r="P370" s="103"/>
      <c r="Q370" s="103"/>
      <c r="R370" s="103"/>
      <c r="S370" s="103"/>
      <c r="T370" s="103"/>
      <c r="U370" s="103"/>
      <c r="V370" s="103"/>
      <c r="W370" s="103"/>
      <c r="X370" s="103"/>
      <c r="Y370" s="103"/>
      <c r="Z370" s="103"/>
    </row>
    <row r="371" ht="15.75" customHeight="1">
      <c r="A371" s="103"/>
      <c r="B371" s="103"/>
      <c r="C371" s="103"/>
      <c r="D371" s="103"/>
      <c r="E371" s="103"/>
      <c r="F371" s="103"/>
      <c r="G371" s="103"/>
      <c r="H371" s="103"/>
      <c r="I371" s="103"/>
      <c r="J371" s="103"/>
      <c r="K371" s="103"/>
      <c r="L371" s="103"/>
      <c r="M371" s="103"/>
      <c r="N371" s="103"/>
      <c r="O371" s="103"/>
      <c r="P371" s="103"/>
      <c r="Q371" s="103"/>
      <c r="R371" s="103"/>
      <c r="S371" s="103"/>
      <c r="T371" s="103"/>
      <c r="U371" s="103"/>
      <c r="V371" s="103"/>
      <c r="W371" s="103"/>
      <c r="X371" s="103"/>
      <c r="Y371" s="103"/>
      <c r="Z371" s="103"/>
    </row>
    <row r="372" ht="15.75" customHeight="1">
      <c r="A372" s="103"/>
      <c r="B372" s="103"/>
      <c r="C372" s="103"/>
      <c r="D372" s="103"/>
      <c r="E372" s="103"/>
      <c r="F372" s="103"/>
      <c r="G372" s="103"/>
      <c r="H372" s="103"/>
      <c r="I372" s="103"/>
      <c r="J372" s="103"/>
      <c r="K372" s="103"/>
      <c r="L372" s="103"/>
      <c r="M372" s="103"/>
      <c r="N372" s="103"/>
      <c r="O372" s="103"/>
      <c r="P372" s="103"/>
      <c r="Q372" s="103"/>
      <c r="R372" s="103"/>
      <c r="S372" s="103"/>
      <c r="T372" s="103"/>
      <c r="U372" s="103"/>
      <c r="V372" s="103"/>
      <c r="W372" s="103"/>
      <c r="X372" s="103"/>
      <c r="Y372" s="103"/>
      <c r="Z372" s="103"/>
    </row>
    <row r="373" ht="15.75" customHeight="1">
      <c r="A373" s="103"/>
      <c r="B373" s="103"/>
      <c r="C373" s="103"/>
      <c r="D373" s="103"/>
      <c r="E373" s="103"/>
      <c r="F373" s="103"/>
      <c r="G373" s="103"/>
      <c r="H373" s="103"/>
      <c r="I373" s="103"/>
      <c r="J373" s="103"/>
      <c r="K373" s="103"/>
      <c r="L373" s="103"/>
      <c r="M373" s="103"/>
      <c r="N373" s="103"/>
      <c r="O373" s="103"/>
      <c r="P373" s="103"/>
      <c r="Q373" s="103"/>
      <c r="R373" s="103"/>
      <c r="S373" s="103"/>
      <c r="T373" s="103"/>
      <c r="U373" s="103"/>
      <c r="V373" s="103"/>
      <c r="W373" s="103"/>
      <c r="X373" s="103"/>
      <c r="Y373" s="103"/>
      <c r="Z373" s="103"/>
    </row>
    <row r="374" ht="15.75" customHeight="1">
      <c r="A374" s="103"/>
      <c r="B374" s="103"/>
      <c r="C374" s="103"/>
      <c r="D374" s="103"/>
      <c r="E374" s="103"/>
      <c r="F374" s="103"/>
      <c r="G374" s="103"/>
      <c r="H374" s="103"/>
      <c r="I374" s="103"/>
      <c r="J374" s="103"/>
      <c r="K374" s="103"/>
      <c r="L374" s="103"/>
      <c r="M374" s="103"/>
      <c r="N374" s="103"/>
      <c r="O374" s="103"/>
      <c r="P374" s="103"/>
      <c r="Q374" s="103"/>
      <c r="R374" s="103"/>
      <c r="S374" s="103"/>
      <c r="T374" s="103"/>
      <c r="U374" s="103"/>
      <c r="V374" s="103"/>
      <c r="W374" s="103"/>
      <c r="X374" s="103"/>
      <c r="Y374" s="103"/>
      <c r="Z374" s="103"/>
    </row>
    <row r="375" ht="15.75" customHeight="1">
      <c r="A375" s="103"/>
      <c r="B375" s="103"/>
      <c r="C375" s="103"/>
      <c r="D375" s="103"/>
      <c r="E375" s="103"/>
      <c r="F375" s="103"/>
      <c r="G375" s="103"/>
      <c r="H375" s="103"/>
      <c r="I375" s="103"/>
      <c r="J375" s="103"/>
      <c r="K375" s="103"/>
      <c r="L375" s="103"/>
      <c r="M375" s="103"/>
      <c r="N375" s="103"/>
      <c r="O375" s="103"/>
      <c r="P375" s="103"/>
      <c r="Q375" s="103"/>
      <c r="R375" s="103"/>
      <c r="S375" s="103"/>
      <c r="T375" s="103"/>
      <c r="U375" s="103"/>
      <c r="V375" s="103"/>
      <c r="W375" s="103"/>
      <c r="X375" s="103"/>
      <c r="Y375" s="103"/>
      <c r="Z375" s="103"/>
    </row>
    <row r="376" ht="15.75" customHeight="1">
      <c r="A376" s="103"/>
      <c r="B376" s="103"/>
      <c r="C376" s="103"/>
      <c r="D376" s="103"/>
      <c r="E376" s="103"/>
      <c r="F376" s="103"/>
      <c r="G376" s="103"/>
      <c r="H376" s="103"/>
      <c r="I376" s="103"/>
      <c r="J376" s="103"/>
      <c r="K376" s="103"/>
      <c r="L376" s="103"/>
      <c r="M376" s="103"/>
      <c r="N376" s="103"/>
      <c r="O376" s="103"/>
      <c r="P376" s="103"/>
      <c r="Q376" s="103"/>
      <c r="R376" s="103"/>
      <c r="S376" s="103"/>
      <c r="T376" s="103"/>
      <c r="U376" s="103"/>
      <c r="V376" s="103"/>
      <c r="W376" s="103"/>
      <c r="X376" s="103"/>
      <c r="Y376" s="103"/>
      <c r="Z376" s="103"/>
    </row>
    <row r="377" ht="15.75" customHeight="1">
      <c r="A377" s="103"/>
      <c r="B377" s="103"/>
      <c r="C377" s="103"/>
      <c r="D377" s="103"/>
      <c r="E377" s="103"/>
      <c r="F377" s="103"/>
      <c r="G377" s="103"/>
      <c r="H377" s="103"/>
      <c r="I377" s="103"/>
      <c r="J377" s="103"/>
      <c r="K377" s="103"/>
      <c r="L377" s="103"/>
      <c r="M377" s="103"/>
      <c r="N377" s="103"/>
      <c r="O377" s="103"/>
      <c r="P377" s="103"/>
      <c r="Q377" s="103"/>
      <c r="R377" s="103"/>
      <c r="S377" s="103"/>
      <c r="T377" s="103"/>
      <c r="U377" s="103"/>
      <c r="V377" s="103"/>
      <c r="W377" s="103"/>
      <c r="X377" s="103"/>
      <c r="Y377" s="103"/>
      <c r="Z377" s="103"/>
    </row>
    <row r="378" ht="15.75" customHeight="1">
      <c r="A378" s="103"/>
      <c r="B378" s="103"/>
      <c r="C378" s="103"/>
      <c r="D378" s="103"/>
      <c r="E378" s="103"/>
      <c r="F378" s="103"/>
      <c r="G378" s="103"/>
      <c r="H378" s="103"/>
      <c r="I378" s="103"/>
      <c r="J378" s="103"/>
      <c r="K378" s="103"/>
      <c r="L378" s="103"/>
      <c r="M378" s="103"/>
      <c r="N378" s="103"/>
      <c r="O378" s="103"/>
      <c r="P378" s="103"/>
      <c r="Q378" s="103"/>
      <c r="R378" s="103"/>
      <c r="S378" s="103"/>
      <c r="T378" s="103"/>
      <c r="U378" s="103"/>
      <c r="V378" s="103"/>
      <c r="W378" s="103"/>
      <c r="X378" s="103"/>
      <c r="Y378" s="103"/>
      <c r="Z378" s="103"/>
    </row>
    <row r="379" ht="15.75" customHeight="1">
      <c r="A379" s="103"/>
      <c r="B379" s="103"/>
      <c r="C379" s="103"/>
      <c r="D379" s="103"/>
      <c r="E379" s="103"/>
      <c r="F379" s="103"/>
      <c r="G379" s="103"/>
      <c r="H379" s="103"/>
      <c r="I379" s="103"/>
      <c r="J379" s="103"/>
      <c r="K379" s="103"/>
      <c r="L379" s="103"/>
      <c r="M379" s="103"/>
      <c r="N379" s="103"/>
      <c r="O379" s="103"/>
      <c r="P379" s="103"/>
      <c r="Q379" s="103"/>
      <c r="R379" s="103"/>
      <c r="S379" s="103"/>
      <c r="T379" s="103"/>
      <c r="U379" s="103"/>
      <c r="V379" s="103"/>
      <c r="W379" s="103"/>
      <c r="X379" s="103"/>
      <c r="Y379" s="103"/>
      <c r="Z379" s="103"/>
    </row>
    <row r="380" ht="15.75" customHeight="1">
      <c r="A380" s="103"/>
      <c r="B380" s="103"/>
      <c r="C380" s="103"/>
      <c r="D380" s="103"/>
      <c r="E380" s="103"/>
      <c r="F380" s="103"/>
      <c r="G380" s="103"/>
      <c r="H380" s="103"/>
      <c r="I380" s="103"/>
      <c r="J380" s="103"/>
      <c r="K380" s="103"/>
      <c r="L380" s="103"/>
      <c r="M380" s="103"/>
      <c r="N380" s="103"/>
      <c r="O380" s="103"/>
      <c r="P380" s="103"/>
      <c r="Q380" s="103"/>
      <c r="R380" s="103"/>
      <c r="S380" s="103"/>
      <c r="T380" s="103"/>
      <c r="U380" s="103"/>
      <c r="V380" s="103"/>
      <c r="W380" s="103"/>
      <c r="X380" s="103"/>
      <c r="Y380" s="103"/>
      <c r="Z380" s="103"/>
    </row>
    <row r="381" ht="15.75" customHeight="1">
      <c r="A381" s="103"/>
      <c r="B381" s="103"/>
      <c r="C381" s="103"/>
      <c r="D381" s="103"/>
      <c r="E381" s="103"/>
      <c r="F381" s="103"/>
      <c r="G381" s="103"/>
      <c r="H381" s="103"/>
      <c r="I381" s="103"/>
      <c r="J381" s="103"/>
      <c r="K381" s="103"/>
      <c r="L381" s="103"/>
      <c r="M381" s="103"/>
      <c r="N381" s="103"/>
      <c r="O381" s="103"/>
      <c r="P381" s="103"/>
      <c r="Q381" s="103"/>
      <c r="R381" s="103"/>
      <c r="S381" s="103"/>
      <c r="T381" s="103"/>
      <c r="U381" s="103"/>
      <c r="V381" s="103"/>
      <c r="W381" s="103"/>
      <c r="X381" s="103"/>
      <c r="Y381" s="103"/>
      <c r="Z381" s="103"/>
    </row>
    <row r="382" ht="15.75" customHeight="1">
      <c r="A382" s="103"/>
      <c r="B382" s="103"/>
      <c r="C382" s="103"/>
      <c r="D382" s="103"/>
      <c r="E382" s="103"/>
      <c r="F382" s="103"/>
      <c r="G382" s="103"/>
      <c r="H382" s="103"/>
      <c r="I382" s="103"/>
      <c r="J382" s="103"/>
      <c r="K382" s="103"/>
      <c r="L382" s="103"/>
      <c r="M382" s="103"/>
      <c r="N382" s="103"/>
      <c r="O382" s="103"/>
      <c r="P382" s="103"/>
      <c r="Q382" s="103"/>
      <c r="R382" s="103"/>
      <c r="S382" s="103"/>
      <c r="T382" s="103"/>
      <c r="U382" s="103"/>
      <c r="V382" s="103"/>
      <c r="W382" s="103"/>
      <c r="X382" s="103"/>
      <c r="Y382" s="103"/>
      <c r="Z382" s="103"/>
    </row>
    <row r="383" ht="15.75" customHeight="1">
      <c r="A383" s="103"/>
      <c r="B383" s="103"/>
      <c r="C383" s="103"/>
      <c r="D383" s="103"/>
      <c r="E383" s="103"/>
      <c r="F383" s="103"/>
      <c r="G383" s="103"/>
      <c r="H383" s="103"/>
      <c r="I383" s="103"/>
      <c r="J383" s="103"/>
      <c r="K383" s="103"/>
      <c r="L383" s="103"/>
      <c r="M383" s="103"/>
      <c r="N383" s="103"/>
      <c r="O383" s="103"/>
      <c r="P383" s="103"/>
      <c r="Q383" s="103"/>
      <c r="R383" s="103"/>
      <c r="S383" s="103"/>
      <c r="T383" s="103"/>
      <c r="U383" s="103"/>
      <c r="V383" s="103"/>
      <c r="W383" s="103"/>
      <c r="X383" s="103"/>
      <c r="Y383" s="103"/>
      <c r="Z383" s="103"/>
    </row>
    <row r="384" ht="15.75" customHeight="1">
      <c r="A384" s="103"/>
      <c r="B384" s="103"/>
      <c r="C384" s="103"/>
      <c r="D384" s="103"/>
      <c r="E384" s="103"/>
      <c r="F384" s="103"/>
      <c r="G384" s="103"/>
      <c r="H384" s="103"/>
      <c r="I384" s="103"/>
      <c r="J384" s="103"/>
      <c r="K384" s="103"/>
      <c r="L384" s="103"/>
      <c r="M384" s="103"/>
      <c r="N384" s="103"/>
      <c r="O384" s="103"/>
      <c r="P384" s="103"/>
      <c r="Q384" s="103"/>
      <c r="R384" s="103"/>
      <c r="S384" s="103"/>
      <c r="T384" s="103"/>
      <c r="U384" s="103"/>
      <c r="V384" s="103"/>
      <c r="W384" s="103"/>
      <c r="X384" s="103"/>
      <c r="Y384" s="103"/>
      <c r="Z384" s="103"/>
    </row>
    <row r="385" ht="15.75" customHeight="1">
      <c r="A385" s="103"/>
      <c r="B385" s="103"/>
      <c r="C385" s="103"/>
      <c r="D385" s="103"/>
      <c r="E385" s="103"/>
      <c r="F385" s="103"/>
      <c r="G385" s="103"/>
      <c r="H385" s="103"/>
      <c r="I385" s="103"/>
      <c r="J385" s="103"/>
      <c r="K385" s="103"/>
      <c r="L385" s="103"/>
      <c r="M385" s="103"/>
      <c r="N385" s="103"/>
      <c r="O385" s="103"/>
      <c r="P385" s="103"/>
      <c r="Q385" s="103"/>
      <c r="R385" s="103"/>
      <c r="S385" s="103"/>
      <c r="T385" s="103"/>
      <c r="U385" s="103"/>
      <c r="V385" s="103"/>
      <c r="W385" s="103"/>
      <c r="X385" s="103"/>
      <c r="Y385" s="103"/>
      <c r="Z385" s="103"/>
    </row>
    <row r="386" ht="15.75" customHeight="1">
      <c r="A386" s="103"/>
      <c r="B386" s="103"/>
      <c r="C386" s="103"/>
      <c r="D386" s="103"/>
      <c r="E386" s="103"/>
      <c r="F386" s="103"/>
      <c r="G386" s="103"/>
      <c r="H386" s="103"/>
      <c r="I386" s="103"/>
      <c r="J386" s="103"/>
      <c r="K386" s="103"/>
      <c r="L386" s="103"/>
      <c r="M386" s="103"/>
      <c r="N386" s="103"/>
      <c r="O386" s="103"/>
      <c r="P386" s="103"/>
      <c r="Q386" s="103"/>
      <c r="R386" s="103"/>
      <c r="S386" s="103"/>
      <c r="T386" s="103"/>
      <c r="U386" s="103"/>
      <c r="V386" s="103"/>
      <c r="W386" s="103"/>
      <c r="X386" s="103"/>
      <c r="Y386" s="103"/>
      <c r="Z386" s="103"/>
    </row>
    <row r="387" ht="15.75" customHeight="1">
      <c r="A387" s="103"/>
      <c r="B387" s="103"/>
      <c r="C387" s="103"/>
      <c r="D387" s="103"/>
      <c r="E387" s="103"/>
      <c r="F387" s="103"/>
      <c r="G387" s="103"/>
      <c r="H387" s="103"/>
      <c r="I387" s="103"/>
      <c r="J387" s="103"/>
      <c r="K387" s="103"/>
      <c r="L387" s="103"/>
      <c r="M387" s="103"/>
      <c r="N387" s="103"/>
      <c r="O387" s="103"/>
      <c r="P387" s="103"/>
      <c r="Q387" s="103"/>
      <c r="R387" s="103"/>
      <c r="S387" s="103"/>
      <c r="T387" s="103"/>
      <c r="U387" s="103"/>
      <c r="V387" s="103"/>
      <c r="W387" s="103"/>
      <c r="X387" s="103"/>
      <c r="Y387" s="103"/>
      <c r="Z387" s="103"/>
    </row>
    <row r="388" ht="15.75" customHeight="1">
      <c r="A388" s="103"/>
      <c r="B388" s="103"/>
      <c r="C388" s="103"/>
      <c r="D388" s="103"/>
      <c r="E388" s="103"/>
      <c r="F388" s="103"/>
      <c r="G388" s="103"/>
      <c r="H388" s="103"/>
      <c r="I388" s="103"/>
      <c r="J388" s="103"/>
      <c r="K388" s="103"/>
      <c r="L388" s="103"/>
      <c r="M388" s="103"/>
      <c r="N388" s="103"/>
      <c r="O388" s="103"/>
      <c r="P388" s="103"/>
      <c r="Q388" s="103"/>
      <c r="R388" s="103"/>
      <c r="S388" s="103"/>
      <c r="T388" s="103"/>
      <c r="U388" s="103"/>
      <c r="V388" s="103"/>
      <c r="W388" s="103"/>
      <c r="X388" s="103"/>
      <c r="Y388" s="103"/>
      <c r="Z388" s="103"/>
    </row>
    <row r="389" ht="15.75" customHeight="1">
      <c r="A389" s="103"/>
      <c r="B389" s="103"/>
      <c r="C389" s="103"/>
      <c r="D389" s="103"/>
      <c r="E389" s="103"/>
      <c r="F389" s="103"/>
      <c r="G389" s="103"/>
      <c r="H389" s="103"/>
      <c r="I389" s="103"/>
      <c r="J389" s="103"/>
      <c r="K389" s="103"/>
      <c r="L389" s="103"/>
      <c r="M389" s="103"/>
      <c r="N389" s="103"/>
      <c r="O389" s="103"/>
      <c r="P389" s="103"/>
      <c r="Q389" s="103"/>
      <c r="R389" s="103"/>
      <c r="S389" s="103"/>
      <c r="T389" s="103"/>
      <c r="U389" s="103"/>
      <c r="V389" s="103"/>
      <c r="W389" s="103"/>
      <c r="X389" s="103"/>
      <c r="Y389" s="103"/>
      <c r="Z389" s="103"/>
    </row>
    <row r="390" ht="15.75" customHeight="1">
      <c r="A390" s="103"/>
      <c r="B390" s="103"/>
      <c r="C390" s="103"/>
      <c r="D390" s="103"/>
      <c r="E390" s="103"/>
      <c r="F390" s="103"/>
      <c r="G390" s="103"/>
      <c r="H390" s="103"/>
      <c r="I390" s="103"/>
      <c r="J390" s="103"/>
      <c r="K390" s="103"/>
      <c r="L390" s="103"/>
      <c r="M390" s="103"/>
      <c r="N390" s="103"/>
      <c r="O390" s="103"/>
      <c r="P390" s="103"/>
      <c r="Q390" s="103"/>
      <c r="R390" s="103"/>
      <c r="S390" s="103"/>
      <c r="T390" s="103"/>
      <c r="U390" s="103"/>
      <c r="V390" s="103"/>
      <c r="W390" s="103"/>
      <c r="X390" s="103"/>
      <c r="Y390" s="103"/>
      <c r="Z390" s="103"/>
    </row>
    <row r="391" ht="15.75" customHeight="1">
      <c r="A391" s="103"/>
      <c r="B391" s="103"/>
      <c r="C391" s="103"/>
      <c r="D391" s="103"/>
      <c r="E391" s="103"/>
      <c r="F391" s="103"/>
      <c r="G391" s="103"/>
      <c r="H391" s="103"/>
      <c r="I391" s="103"/>
      <c r="J391" s="103"/>
      <c r="K391" s="103"/>
      <c r="L391" s="103"/>
      <c r="M391" s="103"/>
      <c r="N391" s="103"/>
      <c r="O391" s="103"/>
      <c r="P391" s="103"/>
      <c r="Q391" s="103"/>
      <c r="R391" s="103"/>
      <c r="S391" s="103"/>
      <c r="T391" s="103"/>
      <c r="U391" s="103"/>
      <c r="V391" s="103"/>
      <c r="W391" s="103"/>
      <c r="X391" s="103"/>
      <c r="Y391" s="103"/>
      <c r="Z391" s="103"/>
    </row>
    <row r="392" ht="15.75" customHeight="1">
      <c r="A392" s="103"/>
      <c r="B392" s="103"/>
      <c r="C392" s="103"/>
      <c r="D392" s="103"/>
      <c r="E392" s="103"/>
      <c r="F392" s="103"/>
      <c r="G392" s="103"/>
      <c r="H392" s="103"/>
      <c r="I392" s="103"/>
      <c r="J392" s="103"/>
      <c r="K392" s="103"/>
      <c r="L392" s="103"/>
      <c r="M392" s="103"/>
      <c r="N392" s="103"/>
      <c r="O392" s="103"/>
      <c r="P392" s="103"/>
      <c r="Q392" s="103"/>
      <c r="R392" s="103"/>
      <c r="S392" s="103"/>
      <c r="T392" s="103"/>
      <c r="U392" s="103"/>
      <c r="V392" s="103"/>
      <c r="W392" s="103"/>
      <c r="X392" s="103"/>
      <c r="Y392" s="103"/>
      <c r="Z392" s="103"/>
    </row>
    <row r="393" ht="15.75" customHeight="1">
      <c r="A393" s="103"/>
      <c r="B393" s="103"/>
      <c r="C393" s="103"/>
      <c r="D393" s="103"/>
      <c r="E393" s="103"/>
      <c r="F393" s="103"/>
      <c r="G393" s="103"/>
      <c r="H393" s="103"/>
      <c r="I393" s="103"/>
      <c r="J393" s="103"/>
      <c r="K393" s="103"/>
      <c r="L393" s="103"/>
      <c r="M393" s="103"/>
      <c r="N393" s="103"/>
      <c r="O393" s="103"/>
      <c r="P393" s="103"/>
      <c r="Q393" s="103"/>
      <c r="R393" s="103"/>
      <c r="S393" s="103"/>
      <c r="T393" s="103"/>
      <c r="U393" s="103"/>
      <c r="V393" s="103"/>
      <c r="W393" s="103"/>
      <c r="X393" s="103"/>
      <c r="Y393" s="103"/>
      <c r="Z393" s="103"/>
    </row>
    <row r="394" ht="15.75" customHeight="1">
      <c r="A394" s="103"/>
      <c r="B394" s="103"/>
      <c r="C394" s="103"/>
      <c r="D394" s="103"/>
      <c r="E394" s="103"/>
      <c r="F394" s="103"/>
      <c r="G394" s="103"/>
      <c r="H394" s="103"/>
      <c r="I394" s="103"/>
      <c r="J394" s="103"/>
      <c r="K394" s="103"/>
      <c r="L394" s="103"/>
      <c r="M394" s="103"/>
      <c r="N394" s="103"/>
      <c r="O394" s="103"/>
      <c r="P394" s="103"/>
      <c r="Q394" s="103"/>
      <c r="R394" s="103"/>
      <c r="S394" s="103"/>
      <c r="T394" s="103"/>
      <c r="U394" s="103"/>
      <c r="V394" s="103"/>
      <c r="W394" s="103"/>
      <c r="X394" s="103"/>
      <c r="Y394" s="103"/>
      <c r="Z394" s="103"/>
    </row>
    <row r="395" ht="15.75" customHeight="1">
      <c r="A395" s="103"/>
      <c r="B395" s="103"/>
      <c r="C395" s="103"/>
      <c r="D395" s="103"/>
      <c r="E395" s="103"/>
      <c r="F395" s="103"/>
      <c r="G395" s="103"/>
      <c r="H395" s="103"/>
      <c r="I395" s="103"/>
      <c r="J395" s="103"/>
      <c r="K395" s="103"/>
      <c r="L395" s="103"/>
      <c r="M395" s="103"/>
      <c r="N395" s="103"/>
      <c r="O395" s="103"/>
      <c r="P395" s="103"/>
      <c r="Q395" s="103"/>
      <c r="R395" s="103"/>
      <c r="S395" s="103"/>
      <c r="T395" s="103"/>
      <c r="U395" s="103"/>
      <c r="V395" s="103"/>
      <c r="W395" s="103"/>
      <c r="X395" s="103"/>
      <c r="Y395" s="103"/>
      <c r="Z395" s="103"/>
    </row>
    <row r="396" ht="15.75" customHeight="1">
      <c r="A396" s="103"/>
      <c r="B396" s="103"/>
      <c r="C396" s="103"/>
      <c r="D396" s="103"/>
      <c r="E396" s="103"/>
      <c r="F396" s="103"/>
      <c r="G396" s="103"/>
      <c r="H396" s="103"/>
      <c r="I396" s="103"/>
      <c r="J396" s="103"/>
      <c r="K396" s="103"/>
      <c r="L396" s="103"/>
      <c r="M396" s="103"/>
      <c r="N396" s="103"/>
      <c r="O396" s="103"/>
      <c r="P396" s="103"/>
      <c r="Q396" s="103"/>
      <c r="R396" s="103"/>
      <c r="S396" s="103"/>
      <c r="T396" s="103"/>
      <c r="U396" s="103"/>
      <c r="V396" s="103"/>
      <c r="W396" s="103"/>
      <c r="X396" s="103"/>
      <c r="Y396" s="103"/>
      <c r="Z396" s="103"/>
    </row>
    <row r="397" ht="15.75" customHeight="1">
      <c r="A397" s="103"/>
      <c r="B397" s="103"/>
      <c r="C397" s="103"/>
      <c r="D397" s="103"/>
      <c r="E397" s="103"/>
      <c r="F397" s="103"/>
      <c r="G397" s="103"/>
      <c r="H397" s="103"/>
      <c r="I397" s="103"/>
      <c r="J397" s="103"/>
      <c r="K397" s="103"/>
      <c r="L397" s="103"/>
      <c r="M397" s="103"/>
      <c r="N397" s="103"/>
      <c r="O397" s="103"/>
      <c r="P397" s="103"/>
      <c r="Q397" s="103"/>
      <c r="R397" s="103"/>
      <c r="S397" s="103"/>
      <c r="T397" s="103"/>
      <c r="U397" s="103"/>
      <c r="V397" s="103"/>
      <c r="W397" s="103"/>
      <c r="X397" s="103"/>
      <c r="Y397" s="103"/>
      <c r="Z397" s="103"/>
    </row>
    <row r="398" ht="15.75" customHeight="1">
      <c r="A398" s="103"/>
      <c r="B398" s="103"/>
      <c r="C398" s="103"/>
      <c r="D398" s="103"/>
      <c r="E398" s="103"/>
      <c r="F398" s="103"/>
      <c r="G398" s="103"/>
      <c r="H398" s="103"/>
      <c r="I398" s="103"/>
      <c r="J398" s="103"/>
      <c r="K398" s="103"/>
      <c r="L398" s="103"/>
      <c r="M398" s="103"/>
      <c r="N398" s="103"/>
      <c r="O398" s="103"/>
      <c r="P398" s="103"/>
      <c r="Q398" s="103"/>
      <c r="R398" s="103"/>
      <c r="S398" s="103"/>
      <c r="T398" s="103"/>
      <c r="U398" s="103"/>
      <c r="V398" s="103"/>
      <c r="W398" s="103"/>
      <c r="X398" s="103"/>
      <c r="Y398" s="103"/>
      <c r="Z398" s="103"/>
    </row>
    <row r="399" ht="15.75" customHeight="1">
      <c r="A399" s="103"/>
      <c r="B399" s="103"/>
      <c r="C399" s="103"/>
      <c r="D399" s="103"/>
      <c r="E399" s="103"/>
      <c r="F399" s="103"/>
      <c r="G399" s="103"/>
      <c r="H399" s="103"/>
      <c r="I399" s="103"/>
      <c r="J399" s="103"/>
      <c r="K399" s="103"/>
      <c r="L399" s="103"/>
      <c r="M399" s="103"/>
      <c r="N399" s="103"/>
      <c r="O399" s="103"/>
      <c r="P399" s="103"/>
      <c r="Q399" s="103"/>
      <c r="R399" s="103"/>
      <c r="S399" s="103"/>
      <c r="T399" s="103"/>
      <c r="U399" s="103"/>
      <c r="V399" s="103"/>
      <c r="W399" s="103"/>
      <c r="X399" s="103"/>
      <c r="Y399" s="103"/>
      <c r="Z399" s="103"/>
    </row>
    <row r="400" ht="15.75" customHeight="1">
      <c r="A400" s="103"/>
      <c r="B400" s="103"/>
      <c r="C400" s="103"/>
      <c r="D400" s="103"/>
      <c r="E400" s="103"/>
      <c r="F400" s="103"/>
      <c r="G400" s="103"/>
      <c r="H400" s="103"/>
      <c r="I400" s="103"/>
      <c r="J400" s="103"/>
      <c r="K400" s="103"/>
      <c r="L400" s="103"/>
      <c r="M400" s="103"/>
      <c r="N400" s="103"/>
      <c r="O400" s="103"/>
      <c r="P400" s="103"/>
      <c r="Q400" s="103"/>
      <c r="R400" s="103"/>
      <c r="S400" s="103"/>
      <c r="T400" s="103"/>
      <c r="U400" s="103"/>
      <c r="V400" s="103"/>
      <c r="W400" s="103"/>
      <c r="X400" s="103"/>
      <c r="Y400" s="103"/>
      <c r="Z400" s="103"/>
    </row>
    <row r="401" ht="15.75" customHeight="1">
      <c r="A401" s="103"/>
      <c r="B401" s="103"/>
      <c r="C401" s="103"/>
      <c r="D401" s="103"/>
      <c r="E401" s="103"/>
      <c r="F401" s="103"/>
      <c r="G401" s="103"/>
      <c r="H401" s="103"/>
      <c r="I401" s="103"/>
      <c r="J401" s="103"/>
      <c r="K401" s="103"/>
      <c r="L401" s="103"/>
      <c r="M401" s="103"/>
      <c r="N401" s="103"/>
      <c r="O401" s="103"/>
      <c r="P401" s="103"/>
      <c r="Q401" s="103"/>
      <c r="R401" s="103"/>
      <c r="S401" s="103"/>
      <c r="T401" s="103"/>
      <c r="U401" s="103"/>
      <c r="V401" s="103"/>
      <c r="W401" s="103"/>
      <c r="X401" s="103"/>
      <c r="Y401" s="103"/>
      <c r="Z401" s="103"/>
    </row>
    <row r="402" ht="15.75" customHeight="1">
      <c r="A402" s="103"/>
      <c r="B402" s="103"/>
      <c r="C402" s="103"/>
      <c r="D402" s="103"/>
      <c r="E402" s="103"/>
      <c r="F402" s="103"/>
      <c r="G402" s="103"/>
      <c r="H402" s="103"/>
      <c r="I402" s="103"/>
      <c r="J402" s="103"/>
      <c r="K402" s="103"/>
      <c r="L402" s="103"/>
      <c r="M402" s="103"/>
      <c r="N402" s="103"/>
      <c r="O402" s="103"/>
      <c r="P402" s="103"/>
      <c r="Q402" s="103"/>
      <c r="R402" s="103"/>
      <c r="S402" s="103"/>
      <c r="T402" s="103"/>
      <c r="U402" s="103"/>
      <c r="V402" s="103"/>
      <c r="W402" s="103"/>
      <c r="X402" s="103"/>
      <c r="Y402" s="103"/>
      <c r="Z402" s="103"/>
    </row>
    <row r="403" ht="15.75" customHeight="1">
      <c r="A403" s="103"/>
      <c r="B403" s="103"/>
      <c r="C403" s="103"/>
      <c r="D403" s="103"/>
      <c r="E403" s="103"/>
      <c r="F403" s="103"/>
      <c r="G403" s="103"/>
      <c r="H403" s="103"/>
      <c r="I403" s="103"/>
      <c r="J403" s="103"/>
      <c r="K403" s="103"/>
      <c r="L403" s="103"/>
      <c r="M403" s="103"/>
      <c r="N403" s="103"/>
      <c r="O403" s="103"/>
      <c r="P403" s="103"/>
      <c r="Q403" s="103"/>
      <c r="R403" s="103"/>
      <c r="S403" s="103"/>
      <c r="T403" s="103"/>
      <c r="U403" s="103"/>
      <c r="V403" s="103"/>
      <c r="W403" s="103"/>
      <c r="X403" s="103"/>
      <c r="Y403" s="103"/>
      <c r="Z403" s="103"/>
    </row>
    <row r="404" ht="15.75" customHeight="1">
      <c r="A404" s="103"/>
      <c r="B404" s="103"/>
      <c r="C404" s="103"/>
      <c r="D404" s="103"/>
      <c r="E404" s="103"/>
      <c r="F404" s="103"/>
      <c r="G404" s="103"/>
      <c r="H404" s="103"/>
      <c r="I404" s="103"/>
      <c r="J404" s="103"/>
      <c r="K404" s="103"/>
      <c r="L404" s="103"/>
      <c r="M404" s="103"/>
      <c r="N404" s="103"/>
      <c r="O404" s="103"/>
      <c r="P404" s="103"/>
      <c r="Q404" s="103"/>
      <c r="R404" s="103"/>
      <c r="S404" s="103"/>
      <c r="T404" s="103"/>
      <c r="U404" s="103"/>
      <c r="V404" s="103"/>
      <c r="W404" s="103"/>
      <c r="X404" s="103"/>
      <c r="Y404" s="103"/>
      <c r="Z404" s="103"/>
    </row>
    <row r="405" ht="15.75" customHeight="1">
      <c r="A405" s="103"/>
      <c r="B405" s="103"/>
      <c r="C405" s="103"/>
      <c r="D405" s="103"/>
      <c r="E405" s="103"/>
      <c r="F405" s="103"/>
      <c r="G405" s="103"/>
      <c r="H405" s="103"/>
      <c r="I405" s="103"/>
      <c r="J405" s="103"/>
      <c r="K405" s="103"/>
      <c r="L405" s="103"/>
      <c r="M405" s="103"/>
      <c r="N405" s="103"/>
      <c r="O405" s="103"/>
      <c r="P405" s="103"/>
      <c r="Q405" s="103"/>
      <c r="R405" s="103"/>
      <c r="S405" s="103"/>
      <c r="T405" s="103"/>
      <c r="U405" s="103"/>
      <c r="V405" s="103"/>
      <c r="W405" s="103"/>
      <c r="X405" s="103"/>
      <c r="Y405" s="103"/>
      <c r="Z405" s="103"/>
    </row>
    <row r="406" ht="15.75" customHeight="1">
      <c r="A406" s="103"/>
      <c r="B406" s="103"/>
      <c r="C406" s="103"/>
      <c r="D406" s="103"/>
      <c r="E406" s="103"/>
      <c r="F406" s="103"/>
      <c r="G406" s="103"/>
      <c r="H406" s="103"/>
      <c r="I406" s="103"/>
      <c r="J406" s="103"/>
      <c r="K406" s="103"/>
      <c r="L406" s="103"/>
      <c r="M406" s="103"/>
      <c r="N406" s="103"/>
      <c r="O406" s="103"/>
      <c r="P406" s="103"/>
      <c r="Q406" s="103"/>
      <c r="R406" s="103"/>
      <c r="S406" s="103"/>
      <c r="T406" s="103"/>
      <c r="U406" s="103"/>
      <c r="V406" s="103"/>
      <c r="W406" s="103"/>
      <c r="X406" s="103"/>
      <c r="Y406" s="103"/>
      <c r="Z406" s="103"/>
    </row>
    <row r="407" ht="15.75" customHeight="1">
      <c r="A407" s="103"/>
      <c r="B407" s="103"/>
      <c r="C407" s="103"/>
      <c r="D407" s="103"/>
      <c r="E407" s="103"/>
      <c r="F407" s="103"/>
      <c r="G407" s="103"/>
      <c r="H407" s="103"/>
      <c r="I407" s="103"/>
      <c r="J407" s="103"/>
      <c r="K407" s="103"/>
      <c r="L407" s="103"/>
      <c r="M407" s="103"/>
      <c r="N407" s="103"/>
      <c r="O407" s="103"/>
      <c r="P407" s="103"/>
      <c r="Q407" s="103"/>
      <c r="R407" s="103"/>
      <c r="S407" s="103"/>
      <c r="T407" s="103"/>
      <c r="U407" s="103"/>
      <c r="V407" s="103"/>
      <c r="W407" s="103"/>
      <c r="X407" s="103"/>
      <c r="Y407" s="103"/>
      <c r="Z407" s="103"/>
    </row>
    <row r="408" ht="15.75" customHeight="1">
      <c r="A408" s="103"/>
      <c r="B408" s="103"/>
      <c r="C408" s="103"/>
      <c r="D408" s="103"/>
      <c r="E408" s="103"/>
      <c r="F408" s="103"/>
      <c r="G408" s="103"/>
      <c r="H408" s="103"/>
      <c r="I408" s="103"/>
      <c r="J408" s="103"/>
      <c r="K408" s="103"/>
      <c r="L408" s="103"/>
      <c r="M408" s="103"/>
      <c r="N408" s="103"/>
      <c r="O408" s="103"/>
      <c r="P408" s="103"/>
      <c r="Q408" s="103"/>
      <c r="R408" s="103"/>
      <c r="S408" s="103"/>
      <c r="T408" s="103"/>
      <c r="U408" s="103"/>
      <c r="V408" s="103"/>
      <c r="W408" s="103"/>
      <c r="X408" s="103"/>
      <c r="Y408" s="103"/>
      <c r="Z408" s="103"/>
    </row>
    <row r="409" ht="15.75" customHeight="1">
      <c r="A409" s="103"/>
      <c r="B409" s="103"/>
      <c r="C409" s="103"/>
      <c r="D409" s="103"/>
      <c r="E409" s="103"/>
      <c r="F409" s="103"/>
      <c r="G409" s="103"/>
      <c r="H409" s="103"/>
      <c r="I409" s="103"/>
      <c r="J409" s="103"/>
      <c r="K409" s="103"/>
      <c r="L409" s="103"/>
      <c r="M409" s="103"/>
      <c r="N409" s="103"/>
      <c r="O409" s="103"/>
      <c r="P409" s="103"/>
      <c r="Q409" s="103"/>
      <c r="R409" s="103"/>
      <c r="S409" s="103"/>
      <c r="T409" s="103"/>
      <c r="U409" s="103"/>
      <c r="V409" s="103"/>
      <c r="W409" s="103"/>
      <c r="X409" s="103"/>
      <c r="Y409" s="103"/>
      <c r="Z409" s="103"/>
    </row>
    <row r="410" ht="15.75" customHeight="1">
      <c r="A410" s="103"/>
      <c r="B410" s="103"/>
      <c r="C410" s="103"/>
      <c r="D410" s="103"/>
      <c r="E410" s="103"/>
      <c r="F410" s="103"/>
      <c r="G410" s="103"/>
      <c r="H410" s="103"/>
      <c r="I410" s="103"/>
      <c r="J410" s="103"/>
      <c r="K410" s="103"/>
      <c r="L410" s="103"/>
      <c r="M410" s="103"/>
      <c r="N410" s="103"/>
      <c r="O410" s="103"/>
      <c r="P410" s="103"/>
      <c r="Q410" s="103"/>
      <c r="R410" s="103"/>
      <c r="S410" s="103"/>
      <c r="T410" s="103"/>
      <c r="U410" s="103"/>
      <c r="V410" s="103"/>
      <c r="W410" s="103"/>
      <c r="X410" s="103"/>
      <c r="Y410" s="103"/>
      <c r="Z410" s="103"/>
    </row>
    <row r="411" ht="15.75" customHeight="1">
      <c r="A411" s="103"/>
      <c r="B411" s="103"/>
      <c r="C411" s="103"/>
      <c r="D411" s="103"/>
      <c r="E411" s="103"/>
      <c r="F411" s="103"/>
      <c r="G411" s="103"/>
      <c r="H411" s="103"/>
      <c r="I411" s="103"/>
      <c r="J411" s="103"/>
      <c r="K411" s="103"/>
      <c r="L411" s="103"/>
      <c r="M411" s="103"/>
      <c r="N411" s="103"/>
      <c r="O411" s="103"/>
      <c r="P411" s="103"/>
      <c r="Q411" s="103"/>
      <c r="R411" s="103"/>
      <c r="S411" s="103"/>
      <c r="T411" s="103"/>
      <c r="U411" s="103"/>
      <c r="V411" s="103"/>
      <c r="W411" s="103"/>
      <c r="X411" s="103"/>
      <c r="Y411" s="103"/>
      <c r="Z411" s="103"/>
    </row>
    <row r="412" ht="15.75" customHeight="1">
      <c r="A412" s="103"/>
      <c r="B412" s="103"/>
      <c r="C412" s="103"/>
      <c r="D412" s="103"/>
      <c r="E412" s="103"/>
      <c r="F412" s="103"/>
      <c r="G412" s="103"/>
      <c r="H412" s="103"/>
      <c r="I412" s="103"/>
      <c r="J412" s="103"/>
      <c r="K412" s="103"/>
      <c r="L412" s="103"/>
      <c r="M412" s="103"/>
      <c r="N412" s="103"/>
      <c r="O412" s="103"/>
      <c r="P412" s="103"/>
      <c r="Q412" s="103"/>
      <c r="R412" s="103"/>
      <c r="S412" s="103"/>
      <c r="T412" s="103"/>
      <c r="U412" s="103"/>
      <c r="V412" s="103"/>
      <c r="W412" s="103"/>
      <c r="X412" s="103"/>
      <c r="Y412" s="103"/>
      <c r="Z412" s="103"/>
    </row>
    <row r="413" ht="15.75" customHeight="1">
      <c r="A413" s="103"/>
      <c r="B413" s="103"/>
      <c r="C413" s="103"/>
      <c r="D413" s="103"/>
      <c r="E413" s="103"/>
      <c r="F413" s="103"/>
      <c r="G413" s="103"/>
      <c r="H413" s="103"/>
      <c r="I413" s="103"/>
      <c r="J413" s="103"/>
      <c r="K413" s="103"/>
      <c r="L413" s="103"/>
      <c r="M413" s="103"/>
      <c r="N413" s="103"/>
      <c r="O413" s="103"/>
      <c r="P413" s="103"/>
      <c r="Q413" s="103"/>
      <c r="R413" s="103"/>
      <c r="S413" s="103"/>
      <c r="T413" s="103"/>
      <c r="U413" s="103"/>
      <c r="V413" s="103"/>
      <c r="W413" s="103"/>
      <c r="X413" s="103"/>
      <c r="Y413" s="103"/>
      <c r="Z413" s="103"/>
    </row>
    <row r="414" ht="15.75" customHeight="1">
      <c r="A414" s="103"/>
      <c r="B414" s="103"/>
      <c r="C414" s="103"/>
      <c r="D414" s="103"/>
      <c r="E414" s="103"/>
      <c r="F414" s="103"/>
      <c r="G414" s="103"/>
      <c r="H414" s="103"/>
      <c r="I414" s="103"/>
      <c r="J414" s="103"/>
      <c r="K414" s="103"/>
      <c r="L414" s="103"/>
      <c r="M414" s="103"/>
      <c r="N414" s="103"/>
      <c r="O414" s="103"/>
      <c r="P414" s="103"/>
      <c r="Q414" s="103"/>
      <c r="R414" s="103"/>
      <c r="S414" s="103"/>
      <c r="T414" s="103"/>
      <c r="U414" s="103"/>
      <c r="V414" s="103"/>
      <c r="W414" s="103"/>
      <c r="X414" s="103"/>
      <c r="Y414" s="103"/>
      <c r="Z414" s="103"/>
    </row>
    <row r="415" ht="15.75" customHeight="1">
      <c r="A415" s="103"/>
      <c r="B415" s="103"/>
      <c r="C415" s="103"/>
      <c r="D415" s="103"/>
      <c r="E415" s="103"/>
      <c r="F415" s="103"/>
      <c r="G415" s="103"/>
      <c r="H415" s="103"/>
      <c r="I415" s="103"/>
      <c r="J415" s="103"/>
      <c r="K415" s="103"/>
      <c r="L415" s="103"/>
      <c r="M415" s="103"/>
      <c r="N415" s="103"/>
      <c r="O415" s="103"/>
      <c r="P415" s="103"/>
      <c r="Q415" s="103"/>
      <c r="R415" s="103"/>
      <c r="S415" s="103"/>
      <c r="T415" s="103"/>
      <c r="U415" s="103"/>
      <c r="V415" s="103"/>
      <c r="W415" s="103"/>
      <c r="X415" s="103"/>
      <c r="Y415" s="103"/>
      <c r="Z415" s="103"/>
    </row>
    <row r="416" ht="15.75" customHeight="1">
      <c r="A416" s="103"/>
      <c r="B416" s="103"/>
      <c r="C416" s="103"/>
      <c r="D416" s="103"/>
      <c r="E416" s="103"/>
      <c r="F416" s="103"/>
      <c r="G416" s="103"/>
      <c r="H416" s="103"/>
      <c r="I416" s="103"/>
      <c r="J416" s="103"/>
      <c r="K416" s="103"/>
      <c r="L416" s="103"/>
      <c r="M416" s="103"/>
      <c r="N416" s="103"/>
      <c r="O416" s="103"/>
      <c r="P416" s="103"/>
      <c r="Q416" s="103"/>
      <c r="R416" s="103"/>
      <c r="S416" s="103"/>
      <c r="T416" s="103"/>
      <c r="U416" s="103"/>
      <c r="V416" s="103"/>
      <c r="W416" s="103"/>
      <c r="X416" s="103"/>
      <c r="Y416" s="103"/>
      <c r="Z416" s="103"/>
    </row>
    <row r="417" ht="15.75" customHeight="1">
      <c r="A417" s="103"/>
      <c r="B417" s="103"/>
      <c r="C417" s="103"/>
      <c r="D417" s="103"/>
      <c r="E417" s="103"/>
      <c r="F417" s="103"/>
      <c r="G417" s="103"/>
      <c r="H417" s="103"/>
      <c r="I417" s="103"/>
      <c r="J417" s="103"/>
      <c r="K417" s="103"/>
      <c r="L417" s="103"/>
      <c r="M417" s="103"/>
      <c r="N417" s="103"/>
      <c r="O417" s="103"/>
      <c r="P417" s="103"/>
      <c r="Q417" s="103"/>
      <c r="R417" s="103"/>
      <c r="S417" s="103"/>
      <c r="T417" s="103"/>
      <c r="U417" s="103"/>
      <c r="V417" s="103"/>
      <c r="W417" s="103"/>
      <c r="X417" s="103"/>
      <c r="Y417" s="103"/>
      <c r="Z417" s="103"/>
    </row>
    <row r="418" ht="15.75" customHeight="1">
      <c r="A418" s="103"/>
      <c r="B418" s="103"/>
      <c r="C418" s="103"/>
      <c r="D418" s="103"/>
      <c r="E418" s="103"/>
      <c r="F418" s="103"/>
      <c r="G418" s="103"/>
      <c r="H418" s="103"/>
      <c r="I418" s="103"/>
      <c r="J418" s="103"/>
      <c r="K418" s="103"/>
      <c r="L418" s="103"/>
      <c r="M418" s="103"/>
      <c r="N418" s="103"/>
      <c r="O418" s="103"/>
      <c r="P418" s="103"/>
      <c r="Q418" s="103"/>
      <c r="R418" s="103"/>
      <c r="S418" s="103"/>
      <c r="T418" s="103"/>
      <c r="U418" s="103"/>
      <c r="V418" s="103"/>
      <c r="W418" s="103"/>
      <c r="X418" s="103"/>
      <c r="Y418" s="103"/>
      <c r="Z418" s="103"/>
    </row>
    <row r="419" ht="15.75" customHeight="1">
      <c r="A419" s="103"/>
      <c r="B419" s="103"/>
      <c r="C419" s="103"/>
      <c r="D419" s="103"/>
      <c r="E419" s="103"/>
      <c r="F419" s="103"/>
      <c r="G419" s="103"/>
      <c r="H419" s="103"/>
      <c r="I419" s="103"/>
      <c r="J419" s="103"/>
      <c r="K419" s="103"/>
      <c r="L419" s="103"/>
      <c r="M419" s="103"/>
      <c r="N419" s="103"/>
      <c r="O419" s="103"/>
      <c r="P419" s="103"/>
      <c r="Q419" s="103"/>
      <c r="R419" s="103"/>
      <c r="S419" s="103"/>
      <c r="T419" s="103"/>
      <c r="U419" s="103"/>
      <c r="V419" s="103"/>
      <c r="W419" s="103"/>
      <c r="X419" s="103"/>
      <c r="Y419" s="103"/>
      <c r="Z419" s="103"/>
    </row>
    <row r="420" ht="15.75" customHeight="1">
      <c r="A420" s="103"/>
      <c r="B420" s="103"/>
      <c r="C420" s="103"/>
      <c r="D420" s="103"/>
      <c r="E420" s="103"/>
      <c r="F420" s="103"/>
      <c r="G420" s="103"/>
      <c r="H420" s="103"/>
      <c r="I420" s="103"/>
      <c r="J420" s="103"/>
      <c r="K420" s="103"/>
      <c r="L420" s="103"/>
      <c r="M420" s="103"/>
      <c r="N420" s="103"/>
      <c r="O420" s="103"/>
      <c r="P420" s="103"/>
      <c r="Q420" s="103"/>
      <c r="R420" s="103"/>
      <c r="S420" s="103"/>
      <c r="T420" s="103"/>
      <c r="U420" s="103"/>
      <c r="V420" s="103"/>
      <c r="W420" s="103"/>
      <c r="X420" s="103"/>
      <c r="Y420" s="103"/>
      <c r="Z420" s="103"/>
    </row>
    <row r="421" ht="15.75" customHeight="1">
      <c r="A421" s="103"/>
      <c r="B421" s="103"/>
      <c r="C421" s="103"/>
      <c r="D421" s="103"/>
      <c r="E421" s="103"/>
      <c r="F421" s="103"/>
      <c r="G421" s="103"/>
      <c r="H421" s="103"/>
      <c r="I421" s="103"/>
      <c r="J421" s="103"/>
      <c r="K421" s="103"/>
      <c r="L421" s="103"/>
      <c r="M421" s="103"/>
      <c r="N421" s="103"/>
      <c r="O421" s="103"/>
      <c r="P421" s="103"/>
      <c r="Q421" s="103"/>
      <c r="R421" s="103"/>
      <c r="S421" s="103"/>
      <c r="T421" s="103"/>
      <c r="U421" s="103"/>
      <c r="V421" s="103"/>
      <c r="W421" s="103"/>
      <c r="X421" s="103"/>
      <c r="Y421" s="103"/>
      <c r="Z421" s="103"/>
    </row>
    <row r="422" ht="15.75" customHeight="1">
      <c r="A422" s="103"/>
      <c r="B422" s="103"/>
      <c r="C422" s="103"/>
      <c r="D422" s="103"/>
      <c r="E422" s="103"/>
      <c r="F422" s="103"/>
      <c r="G422" s="103"/>
      <c r="H422" s="103"/>
      <c r="I422" s="103"/>
      <c r="J422" s="103"/>
      <c r="K422" s="103"/>
      <c r="L422" s="103"/>
      <c r="M422" s="103"/>
      <c r="N422" s="103"/>
      <c r="O422" s="103"/>
      <c r="P422" s="103"/>
      <c r="Q422" s="103"/>
      <c r="R422" s="103"/>
      <c r="S422" s="103"/>
      <c r="T422" s="103"/>
      <c r="U422" s="103"/>
      <c r="V422" s="103"/>
      <c r="W422" s="103"/>
      <c r="X422" s="103"/>
      <c r="Y422" s="103"/>
      <c r="Z422" s="103"/>
    </row>
    <row r="423" ht="15.75" customHeight="1">
      <c r="A423" s="103"/>
      <c r="B423" s="103"/>
      <c r="C423" s="103"/>
      <c r="D423" s="103"/>
      <c r="E423" s="103"/>
      <c r="F423" s="103"/>
      <c r="G423" s="103"/>
      <c r="H423" s="103"/>
      <c r="I423" s="103"/>
      <c r="J423" s="103"/>
      <c r="K423" s="103"/>
      <c r="L423" s="103"/>
      <c r="M423" s="103"/>
      <c r="N423" s="103"/>
      <c r="O423" s="103"/>
      <c r="P423" s="103"/>
      <c r="Q423" s="103"/>
      <c r="R423" s="103"/>
      <c r="S423" s="103"/>
      <c r="T423" s="103"/>
      <c r="U423" s="103"/>
      <c r="V423" s="103"/>
      <c r="W423" s="103"/>
      <c r="X423" s="103"/>
      <c r="Y423" s="103"/>
      <c r="Z423" s="103"/>
    </row>
    <row r="424" ht="15.75" customHeight="1">
      <c r="A424" s="103"/>
      <c r="B424" s="103"/>
      <c r="C424" s="103"/>
      <c r="D424" s="103"/>
      <c r="E424" s="103"/>
      <c r="F424" s="103"/>
      <c r="G424" s="103"/>
      <c r="H424" s="103"/>
      <c r="I424" s="103"/>
      <c r="J424" s="103"/>
      <c r="K424" s="103"/>
      <c r="L424" s="103"/>
      <c r="M424" s="103"/>
      <c r="N424" s="103"/>
      <c r="O424" s="103"/>
      <c r="P424" s="103"/>
      <c r="Q424" s="103"/>
      <c r="R424" s="103"/>
      <c r="S424" s="103"/>
      <c r="T424" s="103"/>
      <c r="U424" s="103"/>
      <c r="V424" s="103"/>
      <c r="W424" s="103"/>
      <c r="X424" s="103"/>
      <c r="Y424" s="103"/>
      <c r="Z424" s="103"/>
    </row>
    <row r="425" ht="15.75" customHeight="1">
      <c r="A425" s="103"/>
      <c r="B425" s="103"/>
      <c r="C425" s="103"/>
      <c r="D425" s="103"/>
      <c r="E425" s="103"/>
      <c r="F425" s="103"/>
      <c r="G425" s="103"/>
      <c r="H425" s="103"/>
      <c r="I425" s="103"/>
      <c r="J425" s="103"/>
      <c r="K425" s="103"/>
      <c r="L425" s="103"/>
      <c r="M425" s="103"/>
      <c r="N425" s="103"/>
      <c r="O425" s="103"/>
      <c r="P425" s="103"/>
      <c r="Q425" s="103"/>
      <c r="R425" s="103"/>
      <c r="S425" s="103"/>
      <c r="T425" s="103"/>
      <c r="U425" s="103"/>
      <c r="V425" s="103"/>
      <c r="W425" s="103"/>
      <c r="X425" s="103"/>
      <c r="Y425" s="103"/>
      <c r="Z425" s="103"/>
    </row>
    <row r="426" ht="15.75" customHeight="1">
      <c r="A426" s="103"/>
      <c r="B426" s="103"/>
      <c r="C426" s="103"/>
      <c r="D426" s="103"/>
      <c r="E426" s="103"/>
      <c r="F426" s="103"/>
      <c r="G426" s="103"/>
      <c r="H426" s="103"/>
      <c r="I426" s="103"/>
      <c r="J426" s="103"/>
      <c r="K426" s="103"/>
      <c r="L426" s="103"/>
      <c r="M426" s="103"/>
      <c r="N426" s="103"/>
      <c r="O426" s="103"/>
      <c r="P426" s="103"/>
      <c r="Q426" s="103"/>
      <c r="R426" s="103"/>
      <c r="S426" s="103"/>
      <c r="T426" s="103"/>
      <c r="U426" s="103"/>
      <c r="V426" s="103"/>
      <c r="W426" s="103"/>
      <c r="X426" s="103"/>
      <c r="Y426" s="103"/>
      <c r="Z426" s="103"/>
    </row>
    <row r="427" ht="15.75" customHeight="1">
      <c r="A427" s="103"/>
      <c r="B427" s="103"/>
      <c r="C427" s="103"/>
      <c r="D427" s="103"/>
      <c r="E427" s="103"/>
      <c r="F427" s="103"/>
      <c r="G427" s="103"/>
      <c r="H427" s="103"/>
      <c r="I427" s="103"/>
      <c r="J427" s="103"/>
      <c r="K427" s="103"/>
      <c r="L427" s="103"/>
      <c r="M427" s="103"/>
      <c r="N427" s="103"/>
      <c r="O427" s="103"/>
      <c r="P427" s="103"/>
      <c r="Q427" s="103"/>
      <c r="R427" s="103"/>
      <c r="S427" s="103"/>
      <c r="T427" s="103"/>
      <c r="U427" s="103"/>
      <c r="V427" s="103"/>
      <c r="W427" s="103"/>
      <c r="X427" s="103"/>
      <c r="Y427" s="103"/>
      <c r="Z427" s="103"/>
    </row>
    <row r="428" ht="15.75" customHeight="1">
      <c r="A428" s="103"/>
      <c r="B428" s="103"/>
      <c r="C428" s="103"/>
      <c r="D428" s="103"/>
      <c r="E428" s="103"/>
      <c r="F428" s="103"/>
      <c r="G428" s="103"/>
      <c r="H428" s="103"/>
      <c r="I428" s="103"/>
      <c r="J428" s="103"/>
      <c r="K428" s="103"/>
      <c r="L428" s="103"/>
      <c r="M428" s="103"/>
      <c r="N428" s="103"/>
      <c r="O428" s="103"/>
      <c r="P428" s="103"/>
      <c r="Q428" s="103"/>
      <c r="R428" s="103"/>
      <c r="S428" s="103"/>
      <c r="T428" s="103"/>
      <c r="U428" s="103"/>
      <c r="V428" s="103"/>
      <c r="W428" s="103"/>
      <c r="X428" s="103"/>
      <c r="Y428" s="103"/>
      <c r="Z428" s="103"/>
    </row>
    <row r="429" ht="15.75" customHeight="1">
      <c r="A429" s="103"/>
      <c r="B429" s="103"/>
      <c r="C429" s="103"/>
      <c r="D429" s="103"/>
      <c r="E429" s="103"/>
      <c r="F429" s="103"/>
      <c r="G429" s="103"/>
      <c r="H429" s="103"/>
      <c r="I429" s="103"/>
      <c r="J429" s="103"/>
      <c r="K429" s="103"/>
      <c r="L429" s="103"/>
      <c r="M429" s="103"/>
      <c r="N429" s="103"/>
      <c r="O429" s="103"/>
      <c r="P429" s="103"/>
      <c r="Q429" s="103"/>
      <c r="R429" s="103"/>
      <c r="S429" s="103"/>
      <c r="T429" s="103"/>
      <c r="U429" s="103"/>
      <c r="V429" s="103"/>
      <c r="W429" s="103"/>
      <c r="X429" s="103"/>
      <c r="Y429" s="103"/>
      <c r="Z429" s="103"/>
    </row>
    <row r="430" ht="15.75" customHeight="1">
      <c r="A430" s="103"/>
      <c r="B430" s="103"/>
      <c r="C430" s="103"/>
      <c r="D430" s="103"/>
      <c r="E430" s="103"/>
      <c r="F430" s="103"/>
      <c r="G430" s="103"/>
      <c r="H430" s="103"/>
      <c r="I430" s="103"/>
      <c r="J430" s="103"/>
      <c r="K430" s="103"/>
      <c r="L430" s="103"/>
      <c r="M430" s="103"/>
      <c r="N430" s="103"/>
      <c r="O430" s="103"/>
      <c r="P430" s="103"/>
      <c r="Q430" s="103"/>
      <c r="R430" s="103"/>
      <c r="S430" s="103"/>
      <c r="T430" s="103"/>
      <c r="U430" s="103"/>
      <c r="V430" s="103"/>
      <c r="W430" s="103"/>
      <c r="X430" s="103"/>
      <c r="Y430" s="103"/>
      <c r="Z430" s="103"/>
    </row>
    <row r="431" ht="15.75" customHeight="1">
      <c r="A431" s="103"/>
      <c r="B431" s="103"/>
      <c r="C431" s="103"/>
      <c r="D431" s="103"/>
      <c r="E431" s="103"/>
      <c r="F431" s="103"/>
      <c r="G431" s="103"/>
      <c r="H431" s="103"/>
      <c r="I431" s="103"/>
      <c r="J431" s="103"/>
      <c r="K431" s="103"/>
      <c r="L431" s="103"/>
      <c r="M431" s="103"/>
      <c r="N431" s="103"/>
      <c r="O431" s="103"/>
      <c r="P431" s="103"/>
      <c r="Q431" s="103"/>
      <c r="R431" s="103"/>
      <c r="S431" s="103"/>
      <c r="T431" s="103"/>
      <c r="U431" s="103"/>
      <c r="V431" s="103"/>
      <c r="W431" s="103"/>
      <c r="X431" s="103"/>
      <c r="Y431" s="103"/>
      <c r="Z431" s="103"/>
    </row>
    <row r="432" ht="15.75" customHeight="1">
      <c r="A432" s="103"/>
      <c r="B432" s="103"/>
      <c r="C432" s="103"/>
      <c r="D432" s="103"/>
      <c r="E432" s="103"/>
      <c r="F432" s="103"/>
      <c r="G432" s="103"/>
      <c r="H432" s="103"/>
      <c r="I432" s="103"/>
      <c r="J432" s="103"/>
      <c r="K432" s="103"/>
      <c r="L432" s="103"/>
      <c r="M432" s="103"/>
      <c r="N432" s="103"/>
      <c r="O432" s="103"/>
      <c r="P432" s="103"/>
      <c r="Q432" s="103"/>
      <c r="R432" s="103"/>
      <c r="S432" s="103"/>
      <c r="T432" s="103"/>
      <c r="U432" s="103"/>
      <c r="V432" s="103"/>
      <c r="W432" s="103"/>
      <c r="X432" s="103"/>
      <c r="Y432" s="103"/>
      <c r="Z432" s="103"/>
    </row>
    <row r="433" ht="15.75" customHeight="1">
      <c r="A433" s="103"/>
      <c r="B433" s="103"/>
      <c r="C433" s="103"/>
      <c r="D433" s="103"/>
      <c r="E433" s="103"/>
      <c r="F433" s="103"/>
      <c r="G433" s="103"/>
      <c r="H433" s="103"/>
      <c r="I433" s="103"/>
      <c r="J433" s="103"/>
      <c r="K433" s="103"/>
      <c r="L433" s="103"/>
      <c r="M433" s="103"/>
      <c r="N433" s="103"/>
      <c r="O433" s="103"/>
      <c r="P433" s="103"/>
      <c r="Q433" s="103"/>
      <c r="R433" s="103"/>
      <c r="S433" s="103"/>
      <c r="T433" s="103"/>
      <c r="U433" s="103"/>
      <c r="V433" s="103"/>
      <c r="W433" s="103"/>
      <c r="X433" s="103"/>
      <c r="Y433" s="103"/>
      <c r="Z433" s="103"/>
    </row>
    <row r="434" ht="15.75" customHeight="1">
      <c r="A434" s="103"/>
      <c r="B434" s="103"/>
      <c r="C434" s="103"/>
      <c r="D434" s="103"/>
      <c r="E434" s="103"/>
      <c r="F434" s="103"/>
      <c r="G434" s="103"/>
      <c r="H434" s="103"/>
      <c r="I434" s="103"/>
      <c r="J434" s="103"/>
      <c r="K434" s="103"/>
      <c r="L434" s="103"/>
      <c r="M434" s="103"/>
      <c r="N434" s="103"/>
      <c r="O434" s="103"/>
      <c r="P434" s="103"/>
      <c r="Q434" s="103"/>
      <c r="R434" s="103"/>
      <c r="S434" s="103"/>
      <c r="T434" s="103"/>
      <c r="U434" s="103"/>
      <c r="V434" s="103"/>
      <c r="W434" s="103"/>
      <c r="X434" s="103"/>
      <c r="Y434" s="103"/>
      <c r="Z434" s="103"/>
    </row>
    <row r="435" ht="15.75" customHeight="1">
      <c r="A435" s="103"/>
      <c r="B435" s="103"/>
      <c r="C435" s="103"/>
      <c r="D435" s="103"/>
      <c r="E435" s="103"/>
      <c r="F435" s="103"/>
      <c r="G435" s="103"/>
      <c r="H435" s="103"/>
      <c r="I435" s="103"/>
      <c r="J435" s="103"/>
      <c r="K435" s="103"/>
      <c r="L435" s="103"/>
      <c r="M435" s="103"/>
      <c r="N435" s="103"/>
      <c r="O435" s="103"/>
      <c r="P435" s="103"/>
      <c r="Q435" s="103"/>
      <c r="R435" s="103"/>
      <c r="S435" s="103"/>
      <c r="T435" s="103"/>
      <c r="U435" s="103"/>
      <c r="V435" s="103"/>
      <c r="W435" s="103"/>
      <c r="X435" s="103"/>
      <c r="Y435" s="103"/>
      <c r="Z435" s="103"/>
    </row>
    <row r="436" ht="15.75" customHeight="1">
      <c r="A436" s="103"/>
      <c r="B436" s="103"/>
      <c r="C436" s="103"/>
      <c r="D436" s="103"/>
      <c r="E436" s="103"/>
      <c r="F436" s="103"/>
      <c r="G436" s="103"/>
      <c r="H436" s="103"/>
      <c r="I436" s="103"/>
      <c r="J436" s="103"/>
      <c r="K436" s="103"/>
      <c r="L436" s="103"/>
      <c r="M436" s="103"/>
      <c r="N436" s="103"/>
      <c r="O436" s="103"/>
      <c r="P436" s="103"/>
      <c r="Q436" s="103"/>
      <c r="R436" s="103"/>
      <c r="S436" s="103"/>
      <c r="T436" s="103"/>
      <c r="U436" s="103"/>
      <c r="V436" s="103"/>
      <c r="W436" s="103"/>
      <c r="X436" s="103"/>
      <c r="Y436" s="103"/>
      <c r="Z436" s="103"/>
    </row>
    <row r="437" ht="15.75" customHeight="1">
      <c r="A437" s="103"/>
      <c r="B437" s="103"/>
      <c r="C437" s="103"/>
      <c r="D437" s="103"/>
      <c r="E437" s="103"/>
      <c r="F437" s="103"/>
      <c r="G437" s="103"/>
      <c r="H437" s="103"/>
      <c r="I437" s="103"/>
      <c r="J437" s="103"/>
      <c r="K437" s="103"/>
      <c r="L437" s="103"/>
      <c r="M437" s="103"/>
      <c r="N437" s="103"/>
      <c r="O437" s="103"/>
      <c r="P437" s="103"/>
      <c r="Q437" s="103"/>
      <c r="R437" s="103"/>
      <c r="S437" s="103"/>
      <c r="T437" s="103"/>
      <c r="U437" s="103"/>
      <c r="V437" s="103"/>
      <c r="W437" s="103"/>
      <c r="X437" s="103"/>
      <c r="Y437" s="103"/>
      <c r="Z437" s="103"/>
    </row>
    <row r="438" ht="15.75" customHeight="1">
      <c r="A438" s="103"/>
      <c r="B438" s="103"/>
      <c r="C438" s="103"/>
      <c r="D438" s="103"/>
      <c r="E438" s="103"/>
      <c r="F438" s="103"/>
      <c r="G438" s="103"/>
      <c r="H438" s="103"/>
      <c r="I438" s="103"/>
      <c r="J438" s="103"/>
      <c r="K438" s="103"/>
      <c r="L438" s="103"/>
      <c r="M438" s="103"/>
      <c r="N438" s="103"/>
      <c r="O438" s="103"/>
      <c r="P438" s="103"/>
      <c r="Q438" s="103"/>
      <c r="R438" s="103"/>
      <c r="S438" s="103"/>
      <c r="T438" s="103"/>
      <c r="U438" s="103"/>
      <c r="V438" s="103"/>
      <c r="W438" s="103"/>
      <c r="X438" s="103"/>
      <c r="Y438" s="103"/>
      <c r="Z438" s="103"/>
    </row>
    <row r="439" ht="15.75" customHeight="1">
      <c r="A439" s="103"/>
      <c r="B439" s="103"/>
      <c r="C439" s="103"/>
      <c r="D439" s="103"/>
      <c r="E439" s="103"/>
      <c r="F439" s="103"/>
      <c r="G439" s="103"/>
      <c r="H439" s="103"/>
      <c r="I439" s="103"/>
      <c r="J439" s="103"/>
      <c r="K439" s="103"/>
      <c r="L439" s="103"/>
      <c r="M439" s="103"/>
      <c r="N439" s="103"/>
      <c r="O439" s="103"/>
      <c r="P439" s="103"/>
      <c r="Q439" s="103"/>
      <c r="R439" s="103"/>
      <c r="S439" s="103"/>
      <c r="T439" s="103"/>
      <c r="U439" s="103"/>
      <c r="V439" s="103"/>
      <c r="W439" s="103"/>
      <c r="X439" s="103"/>
      <c r="Y439" s="103"/>
      <c r="Z439" s="103"/>
    </row>
    <row r="440" ht="15.75" customHeight="1">
      <c r="A440" s="103"/>
      <c r="B440" s="103"/>
      <c r="C440" s="103"/>
      <c r="D440" s="103"/>
      <c r="E440" s="103"/>
      <c r="F440" s="103"/>
      <c r="G440" s="103"/>
      <c r="H440" s="103"/>
      <c r="I440" s="103"/>
      <c r="J440" s="103"/>
      <c r="K440" s="103"/>
      <c r="L440" s="103"/>
      <c r="M440" s="103"/>
      <c r="N440" s="103"/>
      <c r="O440" s="103"/>
      <c r="P440" s="103"/>
      <c r="Q440" s="103"/>
      <c r="R440" s="103"/>
      <c r="S440" s="103"/>
      <c r="T440" s="103"/>
      <c r="U440" s="103"/>
      <c r="V440" s="103"/>
      <c r="W440" s="103"/>
      <c r="X440" s="103"/>
      <c r="Y440" s="103"/>
      <c r="Z440" s="103"/>
    </row>
    <row r="441" ht="15.75" customHeight="1">
      <c r="A441" s="103"/>
      <c r="B441" s="103"/>
      <c r="C441" s="103"/>
      <c r="D441" s="103"/>
      <c r="E441" s="103"/>
      <c r="F441" s="103"/>
      <c r="G441" s="103"/>
      <c r="H441" s="103"/>
      <c r="I441" s="103"/>
      <c r="J441" s="103"/>
      <c r="K441" s="103"/>
      <c r="L441" s="103"/>
      <c r="M441" s="103"/>
      <c r="N441" s="103"/>
      <c r="O441" s="103"/>
      <c r="P441" s="103"/>
      <c r="Q441" s="103"/>
      <c r="R441" s="103"/>
      <c r="S441" s="103"/>
      <c r="T441" s="103"/>
      <c r="U441" s="103"/>
      <c r="V441" s="103"/>
      <c r="W441" s="103"/>
      <c r="X441" s="103"/>
      <c r="Y441" s="103"/>
      <c r="Z441" s="103"/>
    </row>
    <row r="442" ht="15.75" customHeight="1">
      <c r="A442" s="103"/>
      <c r="B442" s="103"/>
      <c r="C442" s="103"/>
      <c r="D442" s="103"/>
      <c r="E442" s="103"/>
      <c r="F442" s="103"/>
      <c r="G442" s="103"/>
      <c r="H442" s="103"/>
      <c r="I442" s="103"/>
      <c r="J442" s="103"/>
      <c r="K442" s="103"/>
      <c r="L442" s="103"/>
      <c r="M442" s="103"/>
      <c r="N442" s="103"/>
      <c r="O442" s="103"/>
      <c r="P442" s="103"/>
      <c r="Q442" s="103"/>
      <c r="R442" s="103"/>
      <c r="S442" s="103"/>
      <c r="T442" s="103"/>
      <c r="U442" s="103"/>
      <c r="V442" s="103"/>
      <c r="W442" s="103"/>
      <c r="X442" s="103"/>
      <c r="Y442" s="103"/>
      <c r="Z442" s="103"/>
    </row>
    <row r="443" ht="15.75" customHeight="1">
      <c r="A443" s="103"/>
      <c r="B443" s="103"/>
      <c r="C443" s="103"/>
      <c r="D443" s="103"/>
      <c r="E443" s="103"/>
      <c r="F443" s="103"/>
      <c r="G443" s="103"/>
      <c r="H443" s="103"/>
      <c r="I443" s="103"/>
      <c r="J443" s="103"/>
      <c r="K443" s="103"/>
      <c r="L443" s="103"/>
      <c r="M443" s="103"/>
      <c r="N443" s="103"/>
      <c r="O443" s="103"/>
      <c r="P443" s="103"/>
      <c r="Q443" s="103"/>
      <c r="R443" s="103"/>
      <c r="S443" s="103"/>
      <c r="T443" s="103"/>
      <c r="U443" s="103"/>
      <c r="V443" s="103"/>
      <c r="W443" s="103"/>
      <c r="X443" s="103"/>
      <c r="Y443" s="103"/>
      <c r="Z443" s="103"/>
    </row>
    <row r="444" ht="15.75" customHeight="1">
      <c r="A444" s="103"/>
      <c r="B444" s="103"/>
      <c r="C444" s="103"/>
      <c r="D444" s="103"/>
      <c r="E444" s="103"/>
      <c r="F444" s="103"/>
      <c r="G444" s="103"/>
      <c r="H444" s="103"/>
      <c r="I444" s="103"/>
      <c r="J444" s="103"/>
      <c r="K444" s="103"/>
      <c r="L444" s="103"/>
      <c r="M444" s="103"/>
      <c r="N444" s="103"/>
      <c r="O444" s="103"/>
      <c r="P444" s="103"/>
      <c r="Q444" s="103"/>
      <c r="R444" s="103"/>
      <c r="S444" s="103"/>
      <c r="T444" s="103"/>
      <c r="U444" s="103"/>
      <c r="V444" s="103"/>
      <c r="W444" s="103"/>
      <c r="X444" s="103"/>
      <c r="Y444" s="103"/>
      <c r="Z444" s="103"/>
    </row>
    <row r="445" ht="15.75" customHeight="1">
      <c r="A445" s="103"/>
      <c r="B445" s="103"/>
      <c r="C445" s="103"/>
      <c r="D445" s="103"/>
      <c r="E445" s="103"/>
      <c r="F445" s="103"/>
      <c r="G445" s="103"/>
      <c r="H445" s="103"/>
      <c r="I445" s="103"/>
      <c r="J445" s="103"/>
      <c r="K445" s="103"/>
      <c r="L445" s="103"/>
      <c r="M445" s="103"/>
      <c r="N445" s="103"/>
      <c r="O445" s="103"/>
      <c r="P445" s="103"/>
      <c r="Q445" s="103"/>
      <c r="R445" s="103"/>
      <c r="S445" s="103"/>
      <c r="T445" s="103"/>
      <c r="U445" s="103"/>
      <c r="V445" s="103"/>
      <c r="W445" s="103"/>
      <c r="X445" s="103"/>
      <c r="Y445" s="103"/>
      <c r="Z445" s="103"/>
    </row>
    <row r="446" ht="15.75" customHeight="1">
      <c r="A446" s="103"/>
      <c r="B446" s="103"/>
      <c r="C446" s="103"/>
      <c r="D446" s="103"/>
      <c r="E446" s="103"/>
      <c r="F446" s="103"/>
      <c r="G446" s="103"/>
      <c r="H446" s="103"/>
      <c r="I446" s="103"/>
      <c r="J446" s="103"/>
      <c r="K446" s="103"/>
      <c r="L446" s="103"/>
      <c r="M446" s="103"/>
      <c r="N446" s="103"/>
      <c r="O446" s="103"/>
      <c r="P446" s="103"/>
      <c r="Q446" s="103"/>
      <c r="R446" s="103"/>
      <c r="S446" s="103"/>
      <c r="T446" s="103"/>
      <c r="U446" s="103"/>
      <c r="V446" s="103"/>
      <c r="W446" s="103"/>
      <c r="X446" s="103"/>
      <c r="Y446" s="103"/>
      <c r="Z446" s="103"/>
    </row>
    <row r="447" ht="15.75" customHeight="1">
      <c r="A447" s="103"/>
      <c r="B447" s="103"/>
      <c r="C447" s="103"/>
      <c r="D447" s="103"/>
      <c r="E447" s="103"/>
      <c r="F447" s="103"/>
      <c r="G447" s="103"/>
      <c r="H447" s="103"/>
      <c r="I447" s="103"/>
      <c r="J447" s="103"/>
      <c r="K447" s="103"/>
      <c r="L447" s="103"/>
      <c r="M447" s="103"/>
      <c r="N447" s="103"/>
      <c r="O447" s="103"/>
      <c r="P447" s="103"/>
      <c r="Q447" s="103"/>
      <c r="R447" s="103"/>
      <c r="S447" s="103"/>
      <c r="T447" s="103"/>
      <c r="U447" s="103"/>
      <c r="V447" s="103"/>
      <c r="W447" s="103"/>
      <c r="X447" s="103"/>
      <c r="Y447" s="103"/>
      <c r="Z447" s="103"/>
    </row>
    <row r="448" ht="15.75" customHeight="1">
      <c r="A448" s="103"/>
      <c r="B448" s="103"/>
      <c r="C448" s="103"/>
      <c r="D448" s="103"/>
      <c r="E448" s="103"/>
      <c r="F448" s="103"/>
      <c r="G448" s="103"/>
      <c r="H448" s="103"/>
      <c r="I448" s="103"/>
      <c r="J448" s="103"/>
      <c r="K448" s="103"/>
      <c r="L448" s="103"/>
      <c r="M448" s="103"/>
      <c r="N448" s="103"/>
      <c r="O448" s="103"/>
      <c r="P448" s="103"/>
      <c r="Q448" s="103"/>
      <c r="R448" s="103"/>
      <c r="S448" s="103"/>
      <c r="T448" s="103"/>
      <c r="U448" s="103"/>
      <c r="V448" s="103"/>
      <c r="W448" s="103"/>
      <c r="X448" s="103"/>
      <c r="Y448" s="103"/>
      <c r="Z448" s="103"/>
    </row>
    <row r="449" ht="15.75" customHeight="1">
      <c r="A449" s="103"/>
      <c r="B449" s="103"/>
      <c r="C449" s="103"/>
      <c r="D449" s="103"/>
      <c r="E449" s="103"/>
      <c r="F449" s="103"/>
      <c r="G449" s="103"/>
      <c r="H449" s="103"/>
      <c r="I449" s="103"/>
      <c r="J449" s="103"/>
      <c r="K449" s="103"/>
      <c r="L449" s="103"/>
      <c r="M449" s="103"/>
      <c r="N449" s="103"/>
      <c r="O449" s="103"/>
      <c r="P449" s="103"/>
      <c r="Q449" s="103"/>
      <c r="R449" s="103"/>
      <c r="S449" s="103"/>
      <c r="T449" s="103"/>
      <c r="U449" s="103"/>
      <c r="V449" s="103"/>
      <c r="W449" s="103"/>
      <c r="X449" s="103"/>
      <c r="Y449" s="103"/>
      <c r="Z449" s="103"/>
    </row>
    <row r="450" ht="15.75" customHeight="1">
      <c r="A450" s="103"/>
      <c r="B450" s="103"/>
      <c r="C450" s="103"/>
      <c r="D450" s="103"/>
      <c r="E450" s="103"/>
      <c r="F450" s="103"/>
      <c r="G450" s="103"/>
      <c r="H450" s="103"/>
      <c r="I450" s="103"/>
      <c r="J450" s="103"/>
      <c r="K450" s="103"/>
      <c r="L450" s="103"/>
      <c r="M450" s="103"/>
      <c r="N450" s="103"/>
      <c r="O450" s="103"/>
      <c r="P450" s="103"/>
      <c r="Q450" s="103"/>
      <c r="R450" s="103"/>
      <c r="S450" s="103"/>
      <c r="T450" s="103"/>
      <c r="U450" s="103"/>
      <c r="V450" s="103"/>
      <c r="W450" s="103"/>
      <c r="X450" s="103"/>
      <c r="Y450" s="103"/>
      <c r="Z450" s="103"/>
    </row>
    <row r="451" ht="15.75" customHeight="1">
      <c r="A451" s="103"/>
      <c r="B451" s="103"/>
      <c r="C451" s="103"/>
      <c r="D451" s="103"/>
      <c r="E451" s="103"/>
      <c r="F451" s="103"/>
      <c r="G451" s="103"/>
      <c r="H451" s="103"/>
      <c r="I451" s="103"/>
      <c r="J451" s="103"/>
      <c r="K451" s="103"/>
      <c r="L451" s="103"/>
      <c r="M451" s="103"/>
      <c r="N451" s="103"/>
      <c r="O451" s="103"/>
      <c r="P451" s="103"/>
      <c r="Q451" s="103"/>
      <c r="R451" s="103"/>
      <c r="S451" s="103"/>
      <c r="T451" s="103"/>
      <c r="U451" s="103"/>
      <c r="V451" s="103"/>
      <c r="W451" s="103"/>
      <c r="X451" s="103"/>
      <c r="Y451" s="103"/>
      <c r="Z451" s="103"/>
    </row>
    <row r="452" ht="15.75" customHeight="1">
      <c r="A452" s="103"/>
      <c r="B452" s="103"/>
      <c r="C452" s="103"/>
      <c r="D452" s="103"/>
      <c r="E452" s="103"/>
      <c r="F452" s="103"/>
      <c r="G452" s="103"/>
      <c r="H452" s="103"/>
      <c r="I452" s="103"/>
      <c r="J452" s="103"/>
      <c r="K452" s="103"/>
      <c r="L452" s="103"/>
      <c r="M452" s="103"/>
      <c r="N452" s="103"/>
      <c r="O452" s="103"/>
      <c r="P452" s="103"/>
      <c r="Q452" s="103"/>
      <c r="R452" s="103"/>
      <c r="S452" s="103"/>
      <c r="T452" s="103"/>
      <c r="U452" s="103"/>
      <c r="V452" s="103"/>
      <c r="W452" s="103"/>
      <c r="X452" s="103"/>
      <c r="Y452" s="103"/>
      <c r="Z452" s="103"/>
    </row>
    <row r="453" ht="15.75" customHeight="1">
      <c r="A453" s="103"/>
      <c r="B453" s="103"/>
      <c r="C453" s="103"/>
      <c r="D453" s="103"/>
      <c r="E453" s="103"/>
      <c r="F453" s="103"/>
      <c r="G453" s="103"/>
      <c r="H453" s="103"/>
      <c r="I453" s="103"/>
      <c r="J453" s="103"/>
      <c r="K453" s="103"/>
      <c r="L453" s="103"/>
      <c r="M453" s="103"/>
      <c r="N453" s="103"/>
      <c r="O453" s="103"/>
      <c r="P453" s="103"/>
      <c r="Q453" s="103"/>
      <c r="R453" s="103"/>
      <c r="S453" s="103"/>
      <c r="T453" s="103"/>
      <c r="U453" s="103"/>
      <c r="V453" s="103"/>
      <c r="W453" s="103"/>
      <c r="X453" s="103"/>
      <c r="Y453" s="103"/>
      <c r="Z453" s="103"/>
    </row>
    <row r="454" ht="15.75" customHeight="1">
      <c r="A454" s="103"/>
      <c r="B454" s="103"/>
      <c r="C454" s="103"/>
      <c r="D454" s="103"/>
      <c r="E454" s="103"/>
      <c r="F454" s="103"/>
      <c r="G454" s="103"/>
      <c r="H454" s="103"/>
      <c r="I454" s="103"/>
      <c r="J454" s="103"/>
      <c r="K454" s="103"/>
      <c r="L454" s="103"/>
      <c r="M454" s="103"/>
      <c r="N454" s="103"/>
      <c r="O454" s="103"/>
      <c r="P454" s="103"/>
      <c r="Q454" s="103"/>
      <c r="R454" s="103"/>
      <c r="S454" s="103"/>
      <c r="T454" s="103"/>
      <c r="U454" s="103"/>
      <c r="V454" s="103"/>
      <c r="W454" s="103"/>
      <c r="X454" s="103"/>
      <c r="Y454" s="103"/>
      <c r="Z454" s="103"/>
    </row>
    <row r="455" ht="15.75" customHeight="1">
      <c r="A455" s="103"/>
      <c r="B455" s="103"/>
      <c r="C455" s="103"/>
      <c r="D455" s="103"/>
      <c r="E455" s="103"/>
      <c r="F455" s="103"/>
      <c r="G455" s="103"/>
      <c r="H455" s="103"/>
      <c r="I455" s="103"/>
      <c r="J455" s="103"/>
      <c r="K455" s="103"/>
      <c r="L455" s="103"/>
      <c r="M455" s="103"/>
      <c r="N455" s="103"/>
      <c r="O455" s="103"/>
      <c r="P455" s="103"/>
      <c r="Q455" s="103"/>
      <c r="R455" s="103"/>
      <c r="S455" s="103"/>
      <c r="T455" s="103"/>
      <c r="U455" s="103"/>
      <c r="V455" s="103"/>
      <c r="W455" s="103"/>
      <c r="X455" s="103"/>
      <c r="Y455" s="103"/>
      <c r="Z455" s="103"/>
    </row>
    <row r="456" ht="15.75" customHeight="1">
      <c r="A456" s="103"/>
      <c r="B456" s="103"/>
      <c r="C456" s="103"/>
      <c r="D456" s="103"/>
      <c r="E456" s="103"/>
      <c r="F456" s="103"/>
      <c r="G456" s="103"/>
      <c r="H456" s="103"/>
      <c r="I456" s="103"/>
      <c r="J456" s="103"/>
      <c r="K456" s="103"/>
      <c r="L456" s="103"/>
      <c r="M456" s="103"/>
      <c r="N456" s="103"/>
      <c r="O456" s="103"/>
      <c r="P456" s="103"/>
      <c r="Q456" s="103"/>
      <c r="R456" s="103"/>
      <c r="S456" s="103"/>
      <c r="T456" s="103"/>
      <c r="U456" s="103"/>
      <c r="V456" s="103"/>
      <c r="W456" s="103"/>
      <c r="X456" s="103"/>
      <c r="Y456" s="103"/>
      <c r="Z456" s="103"/>
    </row>
    <row r="457" ht="15.75" customHeight="1">
      <c r="A457" s="103"/>
      <c r="B457" s="103"/>
      <c r="C457" s="103"/>
      <c r="D457" s="103"/>
      <c r="E457" s="103"/>
      <c r="F457" s="103"/>
      <c r="G457" s="103"/>
      <c r="H457" s="103"/>
      <c r="I457" s="103"/>
      <c r="J457" s="103"/>
      <c r="K457" s="103"/>
      <c r="L457" s="103"/>
      <c r="M457" s="103"/>
      <c r="N457" s="103"/>
      <c r="O457" s="103"/>
      <c r="P457" s="103"/>
      <c r="Q457" s="103"/>
      <c r="R457" s="103"/>
      <c r="S457" s="103"/>
      <c r="T457" s="103"/>
      <c r="U457" s="103"/>
      <c r="V457" s="103"/>
      <c r="W457" s="103"/>
      <c r="X457" s="103"/>
      <c r="Y457" s="103"/>
      <c r="Z457" s="103"/>
    </row>
    <row r="458" ht="15.75" customHeight="1">
      <c r="A458" s="103"/>
      <c r="B458" s="103"/>
      <c r="C458" s="103"/>
      <c r="D458" s="103"/>
      <c r="E458" s="103"/>
      <c r="F458" s="103"/>
      <c r="G458" s="103"/>
      <c r="H458" s="103"/>
      <c r="I458" s="103"/>
      <c r="J458" s="103"/>
      <c r="K458" s="103"/>
      <c r="L458" s="103"/>
      <c r="M458" s="103"/>
      <c r="N458" s="103"/>
      <c r="O458" s="103"/>
      <c r="P458" s="103"/>
      <c r="Q458" s="103"/>
      <c r="R458" s="103"/>
      <c r="S458" s="103"/>
      <c r="T458" s="103"/>
      <c r="U458" s="103"/>
      <c r="V458" s="103"/>
      <c r="W458" s="103"/>
      <c r="X458" s="103"/>
      <c r="Y458" s="103"/>
      <c r="Z458" s="103"/>
    </row>
    <row r="459" ht="15.75" customHeight="1">
      <c r="A459" s="103"/>
      <c r="B459" s="103"/>
      <c r="C459" s="103"/>
      <c r="D459" s="103"/>
      <c r="E459" s="103"/>
      <c r="F459" s="103"/>
      <c r="G459" s="103"/>
      <c r="H459" s="103"/>
      <c r="I459" s="103"/>
      <c r="J459" s="103"/>
      <c r="K459" s="103"/>
      <c r="L459" s="103"/>
      <c r="M459" s="103"/>
      <c r="N459" s="103"/>
      <c r="O459" s="103"/>
      <c r="P459" s="103"/>
      <c r="Q459" s="103"/>
      <c r="R459" s="103"/>
      <c r="S459" s="103"/>
      <c r="T459" s="103"/>
      <c r="U459" s="103"/>
      <c r="V459" s="103"/>
      <c r="W459" s="103"/>
      <c r="X459" s="103"/>
      <c r="Y459" s="103"/>
      <c r="Z459" s="103"/>
    </row>
    <row r="460" ht="15.75" customHeight="1">
      <c r="A460" s="103"/>
      <c r="B460" s="103"/>
      <c r="C460" s="103"/>
      <c r="D460" s="103"/>
      <c r="E460" s="103"/>
      <c r="F460" s="103"/>
      <c r="G460" s="103"/>
      <c r="H460" s="103"/>
      <c r="I460" s="103"/>
      <c r="J460" s="103"/>
      <c r="K460" s="103"/>
      <c r="L460" s="103"/>
      <c r="M460" s="103"/>
      <c r="N460" s="103"/>
      <c r="O460" s="103"/>
      <c r="P460" s="103"/>
      <c r="Q460" s="103"/>
      <c r="R460" s="103"/>
      <c r="S460" s="103"/>
      <c r="T460" s="103"/>
      <c r="U460" s="103"/>
      <c r="V460" s="103"/>
      <c r="W460" s="103"/>
      <c r="X460" s="103"/>
      <c r="Y460" s="103"/>
      <c r="Z460" s="103"/>
    </row>
    <row r="461" ht="15.75" customHeight="1">
      <c r="A461" s="103"/>
      <c r="B461" s="103"/>
      <c r="C461" s="103"/>
      <c r="D461" s="103"/>
      <c r="E461" s="103"/>
      <c r="F461" s="103"/>
      <c r="G461" s="103"/>
      <c r="H461" s="103"/>
      <c r="I461" s="103"/>
      <c r="J461" s="103"/>
      <c r="K461" s="103"/>
      <c r="L461" s="103"/>
      <c r="M461" s="103"/>
      <c r="N461" s="103"/>
      <c r="O461" s="103"/>
      <c r="P461" s="103"/>
      <c r="Q461" s="103"/>
      <c r="R461" s="103"/>
      <c r="S461" s="103"/>
      <c r="T461" s="103"/>
      <c r="U461" s="103"/>
      <c r="V461" s="103"/>
      <c r="W461" s="103"/>
      <c r="X461" s="103"/>
      <c r="Y461" s="103"/>
      <c r="Z461" s="103"/>
    </row>
    <row r="462" ht="15.75" customHeight="1">
      <c r="A462" s="103"/>
      <c r="B462" s="103"/>
      <c r="C462" s="103"/>
      <c r="D462" s="103"/>
      <c r="E462" s="103"/>
      <c r="F462" s="103"/>
      <c r="G462" s="103"/>
      <c r="H462" s="103"/>
      <c r="I462" s="103"/>
      <c r="J462" s="103"/>
      <c r="K462" s="103"/>
      <c r="L462" s="103"/>
      <c r="M462" s="103"/>
      <c r="N462" s="103"/>
      <c r="O462" s="103"/>
      <c r="P462" s="103"/>
      <c r="Q462" s="103"/>
      <c r="R462" s="103"/>
      <c r="S462" s="103"/>
      <c r="T462" s="103"/>
      <c r="U462" s="103"/>
      <c r="V462" s="103"/>
      <c r="W462" s="103"/>
      <c r="X462" s="103"/>
      <c r="Y462" s="103"/>
      <c r="Z462" s="103"/>
    </row>
    <row r="463" ht="15.75" customHeight="1">
      <c r="A463" s="103"/>
      <c r="B463" s="103"/>
      <c r="C463" s="103"/>
      <c r="D463" s="103"/>
      <c r="E463" s="103"/>
      <c r="F463" s="103"/>
      <c r="G463" s="103"/>
      <c r="H463" s="103"/>
      <c r="I463" s="103"/>
      <c r="J463" s="103"/>
      <c r="K463" s="103"/>
      <c r="L463" s="103"/>
      <c r="M463" s="103"/>
      <c r="N463" s="103"/>
      <c r="O463" s="103"/>
      <c r="P463" s="103"/>
      <c r="Q463" s="103"/>
      <c r="R463" s="103"/>
      <c r="S463" s="103"/>
      <c r="T463" s="103"/>
      <c r="U463" s="103"/>
      <c r="V463" s="103"/>
      <c r="W463" s="103"/>
      <c r="X463" s="103"/>
      <c r="Y463" s="103"/>
      <c r="Z463" s="103"/>
    </row>
    <row r="464" ht="15.75" customHeight="1">
      <c r="A464" s="103"/>
      <c r="B464" s="103"/>
      <c r="C464" s="103"/>
      <c r="D464" s="103"/>
      <c r="E464" s="103"/>
      <c r="F464" s="103"/>
      <c r="G464" s="103"/>
      <c r="H464" s="103"/>
      <c r="I464" s="103"/>
      <c r="J464" s="103"/>
      <c r="K464" s="103"/>
      <c r="L464" s="103"/>
      <c r="M464" s="103"/>
      <c r="N464" s="103"/>
      <c r="O464" s="103"/>
      <c r="P464" s="103"/>
      <c r="Q464" s="103"/>
      <c r="R464" s="103"/>
      <c r="S464" s="103"/>
      <c r="T464" s="103"/>
      <c r="U464" s="103"/>
      <c r="V464" s="103"/>
      <c r="W464" s="103"/>
      <c r="X464" s="103"/>
      <c r="Y464" s="103"/>
      <c r="Z464" s="103"/>
    </row>
    <row r="465" ht="15.75" customHeight="1">
      <c r="A465" s="103"/>
      <c r="B465" s="103"/>
      <c r="C465" s="103"/>
      <c r="D465" s="103"/>
      <c r="E465" s="103"/>
      <c r="F465" s="103"/>
      <c r="G465" s="103"/>
      <c r="H465" s="103"/>
      <c r="I465" s="103"/>
      <c r="J465" s="103"/>
      <c r="K465" s="103"/>
      <c r="L465" s="103"/>
      <c r="M465" s="103"/>
      <c r="N465" s="103"/>
      <c r="O465" s="103"/>
      <c r="P465" s="103"/>
      <c r="Q465" s="103"/>
      <c r="R465" s="103"/>
      <c r="S465" s="103"/>
      <c r="T465" s="103"/>
      <c r="U465" s="103"/>
      <c r="V465" s="103"/>
      <c r="W465" s="103"/>
      <c r="X465" s="103"/>
      <c r="Y465" s="103"/>
      <c r="Z465" s="103"/>
    </row>
    <row r="466" ht="15.75" customHeight="1">
      <c r="A466" s="103"/>
      <c r="B466" s="103"/>
      <c r="C466" s="103"/>
      <c r="D466" s="103"/>
      <c r="E466" s="103"/>
      <c r="F466" s="103"/>
      <c r="G466" s="103"/>
      <c r="H466" s="103"/>
      <c r="I466" s="103"/>
      <c r="J466" s="103"/>
      <c r="K466" s="103"/>
      <c r="L466" s="103"/>
      <c r="M466" s="103"/>
      <c r="N466" s="103"/>
      <c r="O466" s="103"/>
      <c r="P466" s="103"/>
      <c r="Q466" s="103"/>
      <c r="R466" s="103"/>
      <c r="S466" s="103"/>
      <c r="T466" s="103"/>
      <c r="U466" s="103"/>
      <c r="V466" s="103"/>
      <c r="W466" s="103"/>
      <c r="X466" s="103"/>
      <c r="Y466" s="103"/>
      <c r="Z466" s="103"/>
    </row>
    <row r="467" ht="15.75" customHeight="1">
      <c r="A467" s="103"/>
      <c r="B467" s="103"/>
      <c r="C467" s="103"/>
      <c r="D467" s="103"/>
      <c r="E467" s="103"/>
      <c r="F467" s="103"/>
      <c r="G467" s="103"/>
      <c r="H467" s="103"/>
      <c r="I467" s="103"/>
      <c r="J467" s="103"/>
      <c r="K467" s="103"/>
      <c r="L467" s="103"/>
      <c r="M467" s="103"/>
      <c r="N467" s="103"/>
      <c r="O467" s="103"/>
      <c r="P467" s="103"/>
      <c r="Q467" s="103"/>
      <c r="R467" s="103"/>
      <c r="S467" s="103"/>
      <c r="T467" s="103"/>
      <c r="U467" s="103"/>
      <c r="V467" s="103"/>
      <c r="W467" s="103"/>
      <c r="X467" s="103"/>
      <c r="Y467" s="103"/>
      <c r="Z467" s="103"/>
    </row>
    <row r="468" ht="15.75" customHeight="1">
      <c r="A468" s="103"/>
      <c r="B468" s="103"/>
      <c r="C468" s="103"/>
      <c r="D468" s="103"/>
      <c r="E468" s="103"/>
      <c r="F468" s="103"/>
      <c r="G468" s="103"/>
      <c r="H468" s="103"/>
      <c r="I468" s="103"/>
      <c r="J468" s="103"/>
      <c r="K468" s="103"/>
      <c r="L468" s="103"/>
      <c r="M468" s="103"/>
      <c r="N468" s="103"/>
      <c r="O468" s="103"/>
      <c r="P468" s="103"/>
      <c r="Q468" s="103"/>
      <c r="R468" s="103"/>
      <c r="S468" s="103"/>
      <c r="T468" s="103"/>
      <c r="U468" s="103"/>
      <c r="V468" s="103"/>
      <c r="W468" s="103"/>
      <c r="X468" s="103"/>
      <c r="Y468" s="103"/>
      <c r="Z468" s="103"/>
    </row>
    <row r="469" ht="15.75" customHeight="1">
      <c r="A469" s="103"/>
      <c r="B469" s="103"/>
      <c r="C469" s="103"/>
      <c r="D469" s="103"/>
      <c r="E469" s="103"/>
      <c r="F469" s="103"/>
      <c r="G469" s="103"/>
      <c r="H469" s="103"/>
      <c r="I469" s="103"/>
      <c r="J469" s="103"/>
      <c r="K469" s="103"/>
      <c r="L469" s="103"/>
      <c r="M469" s="103"/>
      <c r="N469" s="103"/>
      <c r="O469" s="103"/>
      <c r="P469" s="103"/>
      <c r="Q469" s="103"/>
      <c r="R469" s="103"/>
      <c r="S469" s="103"/>
      <c r="T469" s="103"/>
      <c r="U469" s="103"/>
      <c r="V469" s="103"/>
      <c r="W469" s="103"/>
      <c r="X469" s="103"/>
      <c r="Y469" s="103"/>
      <c r="Z469" s="103"/>
    </row>
    <row r="470" ht="15.75" customHeight="1">
      <c r="A470" s="103"/>
      <c r="B470" s="103"/>
      <c r="C470" s="103"/>
      <c r="D470" s="103"/>
      <c r="E470" s="103"/>
      <c r="F470" s="103"/>
      <c r="G470" s="103"/>
      <c r="H470" s="103"/>
      <c r="I470" s="103"/>
      <c r="J470" s="103"/>
      <c r="K470" s="103"/>
      <c r="L470" s="103"/>
      <c r="M470" s="103"/>
      <c r="N470" s="103"/>
      <c r="O470" s="103"/>
      <c r="P470" s="103"/>
      <c r="Q470" s="103"/>
      <c r="R470" s="103"/>
      <c r="S470" s="103"/>
      <c r="T470" s="103"/>
      <c r="U470" s="103"/>
      <c r="V470" s="103"/>
      <c r="W470" s="103"/>
      <c r="X470" s="103"/>
      <c r="Y470" s="103"/>
      <c r="Z470" s="103"/>
    </row>
    <row r="471" ht="15.75" customHeight="1">
      <c r="A471" s="103"/>
      <c r="B471" s="103"/>
      <c r="C471" s="103"/>
      <c r="D471" s="103"/>
      <c r="E471" s="103"/>
      <c r="F471" s="103"/>
      <c r="G471" s="103"/>
      <c r="H471" s="103"/>
      <c r="I471" s="103"/>
      <c r="J471" s="103"/>
      <c r="K471" s="103"/>
      <c r="L471" s="103"/>
      <c r="M471" s="103"/>
      <c r="N471" s="103"/>
      <c r="O471" s="103"/>
      <c r="P471" s="103"/>
      <c r="Q471" s="103"/>
      <c r="R471" s="103"/>
      <c r="S471" s="103"/>
      <c r="T471" s="103"/>
      <c r="U471" s="103"/>
      <c r="V471" s="103"/>
      <c r="W471" s="103"/>
      <c r="X471" s="103"/>
      <c r="Y471" s="103"/>
      <c r="Z471" s="103"/>
    </row>
    <row r="472" ht="15.75" customHeight="1">
      <c r="A472" s="103"/>
      <c r="B472" s="103"/>
      <c r="C472" s="103"/>
      <c r="D472" s="103"/>
      <c r="E472" s="103"/>
      <c r="F472" s="103"/>
      <c r="G472" s="103"/>
      <c r="H472" s="103"/>
      <c r="I472" s="103"/>
      <c r="J472" s="103"/>
      <c r="K472" s="103"/>
      <c r="L472" s="103"/>
      <c r="M472" s="103"/>
      <c r="N472" s="103"/>
      <c r="O472" s="103"/>
      <c r="P472" s="103"/>
      <c r="Q472" s="103"/>
      <c r="R472" s="103"/>
      <c r="S472" s="103"/>
      <c r="T472" s="103"/>
      <c r="U472" s="103"/>
      <c r="V472" s="103"/>
      <c r="W472" s="103"/>
      <c r="X472" s="103"/>
      <c r="Y472" s="103"/>
      <c r="Z472" s="103"/>
    </row>
    <row r="473" ht="15.75" customHeight="1">
      <c r="A473" s="103"/>
      <c r="B473" s="103"/>
      <c r="C473" s="103"/>
      <c r="D473" s="103"/>
      <c r="E473" s="103"/>
      <c r="F473" s="103"/>
      <c r="G473" s="103"/>
      <c r="H473" s="103"/>
      <c r="I473" s="103"/>
      <c r="J473" s="103"/>
      <c r="K473" s="103"/>
      <c r="L473" s="103"/>
      <c r="M473" s="103"/>
      <c r="N473" s="103"/>
      <c r="O473" s="103"/>
      <c r="P473" s="103"/>
      <c r="Q473" s="103"/>
      <c r="R473" s="103"/>
      <c r="S473" s="103"/>
      <c r="T473" s="103"/>
      <c r="U473" s="103"/>
      <c r="V473" s="103"/>
      <c r="W473" s="103"/>
      <c r="X473" s="103"/>
      <c r="Y473" s="103"/>
      <c r="Z473" s="103"/>
    </row>
    <row r="474" ht="15.75" customHeight="1">
      <c r="A474" s="103"/>
      <c r="B474" s="103"/>
      <c r="C474" s="103"/>
      <c r="D474" s="103"/>
      <c r="E474" s="103"/>
      <c r="F474" s="103"/>
      <c r="G474" s="103"/>
      <c r="H474" s="103"/>
      <c r="I474" s="103"/>
      <c r="J474" s="103"/>
      <c r="K474" s="103"/>
      <c r="L474" s="103"/>
      <c r="M474" s="103"/>
      <c r="N474" s="103"/>
      <c r="O474" s="103"/>
      <c r="P474" s="103"/>
      <c r="Q474" s="103"/>
      <c r="R474" s="103"/>
      <c r="S474" s="103"/>
      <c r="T474" s="103"/>
      <c r="U474" s="103"/>
      <c r="V474" s="103"/>
      <c r="W474" s="103"/>
      <c r="X474" s="103"/>
      <c r="Y474" s="103"/>
      <c r="Z474" s="103"/>
    </row>
    <row r="475" ht="15.75" customHeight="1">
      <c r="A475" s="103"/>
      <c r="B475" s="103"/>
      <c r="C475" s="103"/>
      <c r="D475" s="103"/>
      <c r="E475" s="103"/>
      <c r="F475" s="103"/>
      <c r="G475" s="103"/>
      <c r="H475" s="103"/>
      <c r="I475" s="103"/>
      <c r="J475" s="103"/>
      <c r="K475" s="103"/>
      <c r="L475" s="103"/>
      <c r="M475" s="103"/>
      <c r="N475" s="103"/>
      <c r="O475" s="103"/>
      <c r="P475" s="103"/>
      <c r="Q475" s="103"/>
      <c r="R475" s="103"/>
      <c r="S475" s="103"/>
      <c r="T475" s="103"/>
      <c r="U475" s="103"/>
      <c r="V475" s="103"/>
      <c r="W475" s="103"/>
      <c r="X475" s="103"/>
      <c r="Y475" s="103"/>
      <c r="Z475" s="103"/>
    </row>
    <row r="476" ht="15.75" customHeight="1">
      <c r="A476" s="103"/>
      <c r="B476" s="103"/>
      <c r="C476" s="103"/>
      <c r="D476" s="103"/>
      <c r="E476" s="103"/>
      <c r="F476" s="103"/>
      <c r="G476" s="103"/>
      <c r="H476" s="103"/>
      <c r="I476" s="103"/>
      <c r="J476" s="103"/>
      <c r="K476" s="103"/>
      <c r="L476" s="103"/>
      <c r="M476" s="103"/>
      <c r="N476" s="103"/>
      <c r="O476" s="103"/>
      <c r="P476" s="103"/>
      <c r="Q476" s="103"/>
      <c r="R476" s="103"/>
      <c r="S476" s="103"/>
      <c r="T476" s="103"/>
      <c r="U476" s="103"/>
      <c r="V476" s="103"/>
      <c r="W476" s="103"/>
      <c r="X476" s="103"/>
      <c r="Y476" s="103"/>
      <c r="Z476" s="103"/>
    </row>
    <row r="477" ht="15.75" customHeight="1">
      <c r="A477" s="103"/>
      <c r="B477" s="103"/>
      <c r="C477" s="103"/>
      <c r="D477" s="103"/>
      <c r="E477" s="103"/>
      <c r="F477" s="103"/>
      <c r="G477" s="103"/>
      <c r="H477" s="103"/>
      <c r="I477" s="103"/>
      <c r="J477" s="103"/>
      <c r="K477" s="103"/>
      <c r="L477" s="103"/>
      <c r="M477" s="103"/>
      <c r="N477" s="103"/>
      <c r="O477" s="103"/>
      <c r="P477" s="103"/>
      <c r="Q477" s="103"/>
      <c r="R477" s="103"/>
      <c r="S477" s="103"/>
      <c r="T477" s="103"/>
      <c r="U477" s="103"/>
      <c r="V477" s="103"/>
      <c r="W477" s="103"/>
      <c r="X477" s="103"/>
      <c r="Y477" s="103"/>
      <c r="Z477" s="103"/>
    </row>
    <row r="478" ht="15.75" customHeight="1">
      <c r="A478" s="103"/>
      <c r="B478" s="103"/>
      <c r="C478" s="103"/>
      <c r="D478" s="103"/>
      <c r="E478" s="103"/>
      <c r="F478" s="103"/>
      <c r="G478" s="103"/>
      <c r="H478" s="103"/>
      <c r="I478" s="103"/>
      <c r="J478" s="103"/>
      <c r="K478" s="103"/>
      <c r="L478" s="103"/>
      <c r="M478" s="103"/>
      <c r="N478" s="103"/>
      <c r="O478" s="103"/>
      <c r="P478" s="103"/>
      <c r="Q478" s="103"/>
      <c r="R478" s="103"/>
      <c r="S478" s="103"/>
      <c r="T478" s="103"/>
      <c r="U478" s="103"/>
      <c r="V478" s="103"/>
      <c r="W478" s="103"/>
      <c r="X478" s="103"/>
      <c r="Y478" s="103"/>
      <c r="Z478" s="103"/>
    </row>
    <row r="479" ht="15.75" customHeight="1">
      <c r="A479" s="103"/>
      <c r="B479" s="103"/>
      <c r="C479" s="103"/>
      <c r="D479" s="103"/>
      <c r="E479" s="103"/>
      <c r="F479" s="103"/>
      <c r="G479" s="103"/>
      <c r="H479" s="103"/>
      <c r="I479" s="103"/>
      <c r="J479" s="103"/>
      <c r="K479" s="103"/>
      <c r="L479" s="103"/>
      <c r="M479" s="103"/>
      <c r="N479" s="103"/>
      <c r="O479" s="103"/>
      <c r="P479" s="103"/>
      <c r="Q479" s="103"/>
      <c r="R479" s="103"/>
      <c r="S479" s="103"/>
      <c r="T479" s="103"/>
      <c r="U479" s="103"/>
      <c r="V479" s="103"/>
      <c r="W479" s="103"/>
      <c r="X479" s="103"/>
      <c r="Y479" s="103"/>
      <c r="Z479" s="103"/>
    </row>
    <row r="480" ht="15.75" customHeight="1">
      <c r="A480" s="103"/>
      <c r="B480" s="103"/>
      <c r="C480" s="103"/>
      <c r="D480" s="103"/>
      <c r="E480" s="103"/>
      <c r="F480" s="103"/>
      <c r="G480" s="103"/>
      <c r="H480" s="103"/>
      <c r="I480" s="103"/>
      <c r="J480" s="103"/>
      <c r="K480" s="103"/>
      <c r="L480" s="103"/>
      <c r="M480" s="103"/>
      <c r="N480" s="103"/>
      <c r="O480" s="103"/>
      <c r="P480" s="103"/>
      <c r="Q480" s="103"/>
      <c r="R480" s="103"/>
      <c r="S480" s="103"/>
      <c r="T480" s="103"/>
      <c r="U480" s="103"/>
      <c r="V480" s="103"/>
      <c r="W480" s="103"/>
      <c r="X480" s="103"/>
      <c r="Y480" s="103"/>
      <c r="Z480" s="103"/>
    </row>
    <row r="481" ht="15.75" customHeight="1">
      <c r="A481" s="103"/>
      <c r="B481" s="103"/>
      <c r="C481" s="103"/>
      <c r="D481" s="103"/>
      <c r="E481" s="103"/>
      <c r="F481" s="103"/>
      <c r="G481" s="103"/>
      <c r="H481" s="103"/>
      <c r="I481" s="103"/>
      <c r="J481" s="103"/>
      <c r="K481" s="103"/>
      <c r="L481" s="103"/>
      <c r="M481" s="103"/>
      <c r="N481" s="103"/>
      <c r="O481" s="103"/>
      <c r="P481" s="103"/>
      <c r="Q481" s="103"/>
      <c r="R481" s="103"/>
      <c r="S481" s="103"/>
      <c r="T481" s="103"/>
      <c r="U481" s="103"/>
      <c r="V481" s="103"/>
      <c r="W481" s="103"/>
      <c r="X481" s="103"/>
      <c r="Y481" s="103"/>
      <c r="Z481" s="103"/>
    </row>
    <row r="482" ht="15.75" customHeight="1">
      <c r="A482" s="103"/>
      <c r="B482" s="103"/>
      <c r="C482" s="103"/>
      <c r="D482" s="103"/>
      <c r="E482" s="103"/>
      <c r="F482" s="103"/>
      <c r="G482" s="103"/>
      <c r="H482" s="103"/>
      <c r="I482" s="103"/>
      <c r="J482" s="103"/>
      <c r="K482" s="103"/>
      <c r="L482" s="103"/>
      <c r="M482" s="103"/>
      <c r="N482" s="103"/>
      <c r="O482" s="103"/>
      <c r="P482" s="103"/>
      <c r="Q482" s="103"/>
      <c r="R482" s="103"/>
      <c r="S482" s="103"/>
      <c r="T482" s="103"/>
      <c r="U482" s="103"/>
      <c r="V482" s="103"/>
      <c r="W482" s="103"/>
      <c r="X482" s="103"/>
      <c r="Y482" s="103"/>
      <c r="Z482" s="103"/>
    </row>
    <row r="483" ht="15.75" customHeight="1">
      <c r="A483" s="103"/>
      <c r="B483" s="103"/>
      <c r="C483" s="103"/>
      <c r="D483" s="103"/>
      <c r="E483" s="103"/>
      <c r="F483" s="103"/>
      <c r="G483" s="103"/>
      <c r="H483" s="103"/>
      <c r="I483" s="103"/>
      <c r="J483" s="103"/>
      <c r="K483" s="103"/>
      <c r="L483" s="103"/>
      <c r="M483" s="103"/>
      <c r="N483" s="103"/>
      <c r="O483" s="103"/>
      <c r="P483" s="103"/>
      <c r="Q483" s="103"/>
      <c r="R483" s="103"/>
      <c r="S483" s="103"/>
      <c r="T483" s="103"/>
      <c r="U483" s="103"/>
      <c r="V483" s="103"/>
      <c r="W483" s="103"/>
      <c r="X483" s="103"/>
      <c r="Y483" s="103"/>
      <c r="Z483" s="103"/>
    </row>
    <row r="484" ht="15.75" customHeight="1">
      <c r="A484" s="103"/>
      <c r="B484" s="103"/>
      <c r="C484" s="103"/>
      <c r="D484" s="103"/>
      <c r="E484" s="103"/>
      <c r="F484" s="103"/>
      <c r="G484" s="103"/>
      <c r="H484" s="103"/>
      <c r="I484" s="103"/>
      <c r="J484" s="103"/>
      <c r="K484" s="103"/>
      <c r="L484" s="103"/>
      <c r="M484" s="103"/>
      <c r="N484" s="103"/>
      <c r="O484" s="103"/>
      <c r="P484" s="103"/>
      <c r="Q484" s="103"/>
      <c r="R484" s="103"/>
      <c r="S484" s="103"/>
      <c r="T484" s="103"/>
      <c r="U484" s="103"/>
      <c r="V484" s="103"/>
      <c r="W484" s="103"/>
      <c r="X484" s="103"/>
      <c r="Y484" s="103"/>
      <c r="Z484" s="103"/>
    </row>
    <row r="485" ht="15.75" customHeight="1">
      <c r="A485" s="103"/>
      <c r="B485" s="103"/>
      <c r="C485" s="103"/>
      <c r="D485" s="103"/>
      <c r="E485" s="103"/>
      <c r="F485" s="103"/>
      <c r="G485" s="103"/>
      <c r="H485" s="103"/>
      <c r="I485" s="103"/>
      <c r="J485" s="103"/>
      <c r="K485" s="103"/>
      <c r="L485" s="103"/>
      <c r="M485" s="103"/>
      <c r="N485" s="103"/>
      <c r="O485" s="103"/>
      <c r="P485" s="103"/>
      <c r="Q485" s="103"/>
      <c r="R485" s="103"/>
      <c r="S485" s="103"/>
      <c r="T485" s="103"/>
      <c r="U485" s="103"/>
      <c r="V485" s="103"/>
      <c r="W485" s="103"/>
      <c r="X485" s="103"/>
      <c r="Y485" s="103"/>
      <c r="Z485" s="103"/>
    </row>
    <row r="486" ht="15.75" customHeight="1">
      <c r="A486" s="103"/>
      <c r="B486" s="103"/>
      <c r="C486" s="103"/>
      <c r="D486" s="103"/>
      <c r="E486" s="103"/>
      <c r="F486" s="103"/>
      <c r="G486" s="103"/>
      <c r="H486" s="103"/>
      <c r="I486" s="103"/>
      <c r="J486" s="103"/>
      <c r="K486" s="103"/>
      <c r="L486" s="103"/>
      <c r="M486" s="103"/>
      <c r="N486" s="103"/>
      <c r="O486" s="103"/>
      <c r="P486" s="103"/>
      <c r="Q486" s="103"/>
      <c r="R486" s="103"/>
      <c r="S486" s="103"/>
      <c r="T486" s="103"/>
      <c r="U486" s="103"/>
      <c r="V486" s="103"/>
      <c r="W486" s="103"/>
      <c r="X486" s="103"/>
      <c r="Y486" s="103"/>
      <c r="Z486" s="103"/>
    </row>
    <row r="487" ht="15.75" customHeight="1">
      <c r="A487" s="103"/>
      <c r="B487" s="103"/>
      <c r="C487" s="103"/>
      <c r="D487" s="103"/>
      <c r="E487" s="103"/>
      <c r="F487" s="103"/>
      <c r="G487" s="103"/>
      <c r="H487" s="103"/>
      <c r="I487" s="103"/>
      <c r="J487" s="103"/>
      <c r="K487" s="103"/>
      <c r="L487" s="103"/>
      <c r="M487" s="103"/>
      <c r="N487" s="103"/>
      <c r="O487" s="103"/>
      <c r="P487" s="103"/>
      <c r="Q487" s="103"/>
      <c r="R487" s="103"/>
      <c r="S487" s="103"/>
      <c r="T487" s="103"/>
      <c r="U487" s="103"/>
      <c r="V487" s="103"/>
      <c r="W487" s="103"/>
      <c r="X487" s="103"/>
      <c r="Y487" s="103"/>
      <c r="Z487" s="103"/>
    </row>
    <row r="488" ht="15.75" customHeight="1">
      <c r="A488" s="103"/>
      <c r="B488" s="103"/>
      <c r="C488" s="103"/>
      <c r="D488" s="103"/>
      <c r="E488" s="103"/>
      <c r="F488" s="103"/>
      <c r="G488" s="103"/>
      <c r="H488" s="103"/>
      <c r="I488" s="103"/>
      <c r="J488" s="103"/>
      <c r="K488" s="103"/>
      <c r="L488" s="103"/>
      <c r="M488" s="103"/>
      <c r="N488" s="103"/>
      <c r="O488" s="103"/>
      <c r="P488" s="103"/>
      <c r="Q488" s="103"/>
      <c r="R488" s="103"/>
      <c r="S488" s="103"/>
      <c r="T488" s="103"/>
      <c r="U488" s="103"/>
      <c r="V488" s="103"/>
      <c r="W488" s="103"/>
      <c r="X488" s="103"/>
      <c r="Y488" s="103"/>
      <c r="Z488" s="103"/>
    </row>
    <row r="489" ht="15.75" customHeight="1">
      <c r="A489" s="103"/>
      <c r="B489" s="103"/>
      <c r="C489" s="103"/>
      <c r="D489" s="103"/>
      <c r="E489" s="103"/>
      <c r="F489" s="103"/>
      <c r="G489" s="103"/>
      <c r="H489" s="103"/>
      <c r="I489" s="103"/>
      <c r="J489" s="103"/>
      <c r="K489" s="103"/>
      <c r="L489" s="103"/>
      <c r="M489" s="103"/>
      <c r="N489" s="103"/>
      <c r="O489" s="103"/>
      <c r="P489" s="103"/>
      <c r="Q489" s="103"/>
      <c r="R489" s="103"/>
      <c r="S489" s="103"/>
      <c r="T489" s="103"/>
      <c r="U489" s="103"/>
      <c r="V489" s="103"/>
      <c r="W489" s="103"/>
      <c r="X489" s="103"/>
      <c r="Y489" s="103"/>
      <c r="Z489" s="103"/>
    </row>
    <row r="490" ht="15.75" customHeight="1">
      <c r="A490" s="103"/>
      <c r="B490" s="103"/>
      <c r="C490" s="103"/>
      <c r="D490" s="103"/>
      <c r="E490" s="103"/>
      <c r="F490" s="103"/>
      <c r="G490" s="103"/>
      <c r="H490" s="103"/>
      <c r="I490" s="103"/>
      <c r="J490" s="103"/>
      <c r="K490" s="103"/>
      <c r="L490" s="103"/>
      <c r="M490" s="103"/>
      <c r="N490" s="103"/>
      <c r="O490" s="103"/>
      <c r="P490" s="103"/>
      <c r="Q490" s="103"/>
      <c r="R490" s="103"/>
      <c r="S490" s="103"/>
      <c r="T490" s="103"/>
      <c r="U490" s="103"/>
      <c r="V490" s="103"/>
      <c r="W490" s="103"/>
      <c r="X490" s="103"/>
      <c r="Y490" s="103"/>
      <c r="Z490" s="103"/>
    </row>
    <row r="491" ht="15.75" customHeight="1">
      <c r="A491" s="103"/>
      <c r="B491" s="103"/>
      <c r="C491" s="103"/>
      <c r="D491" s="103"/>
      <c r="E491" s="103"/>
      <c r="F491" s="103"/>
      <c r="G491" s="103"/>
      <c r="H491" s="103"/>
      <c r="I491" s="103"/>
      <c r="J491" s="103"/>
      <c r="K491" s="103"/>
      <c r="L491" s="103"/>
      <c r="M491" s="103"/>
      <c r="N491" s="103"/>
      <c r="O491" s="103"/>
      <c r="P491" s="103"/>
      <c r="Q491" s="103"/>
      <c r="R491" s="103"/>
      <c r="S491" s="103"/>
      <c r="T491" s="103"/>
      <c r="U491" s="103"/>
      <c r="V491" s="103"/>
      <c r="W491" s="103"/>
      <c r="X491" s="103"/>
      <c r="Y491" s="103"/>
      <c r="Z491" s="103"/>
    </row>
    <row r="492" ht="15.75" customHeight="1">
      <c r="A492" s="103"/>
      <c r="B492" s="103"/>
      <c r="C492" s="103"/>
      <c r="D492" s="103"/>
      <c r="E492" s="103"/>
      <c r="F492" s="103"/>
      <c r="G492" s="103"/>
      <c r="H492" s="103"/>
      <c r="I492" s="103"/>
      <c r="J492" s="103"/>
      <c r="K492" s="103"/>
      <c r="L492" s="103"/>
      <c r="M492" s="103"/>
      <c r="N492" s="103"/>
      <c r="O492" s="103"/>
      <c r="P492" s="103"/>
      <c r="Q492" s="103"/>
      <c r="R492" s="103"/>
      <c r="S492" s="103"/>
      <c r="T492" s="103"/>
      <c r="U492" s="103"/>
      <c r="V492" s="103"/>
      <c r="W492" s="103"/>
      <c r="X492" s="103"/>
      <c r="Y492" s="103"/>
      <c r="Z492" s="103"/>
    </row>
    <row r="493" ht="15.75" customHeight="1">
      <c r="A493" s="103"/>
      <c r="B493" s="103"/>
      <c r="C493" s="103"/>
      <c r="D493" s="103"/>
      <c r="E493" s="103"/>
      <c r="F493" s="103"/>
      <c r="G493" s="103"/>
      <c r="H493" s="103"/>
      <c r="I493" s="103"/>
      <c r="J493" s="103"/>
      <c r="K493" s="103"/>
      <c r="L493" s="103"/>
      <c r="M493" s="103"/>
      <c r="N493" s="103"/>
      <c r="O493" s="103"/>
      <c r="P493" s="103"/>
      <c r="Q493" s="103"/>
      <c r="R493" s="103"/>
      <c r="S493" s="103"/>
      <c r="T493" s="103"/>
      <c r="U493" s="103"/>
      <c r="V493" s="103"/>
      <c r="W493" s="103"/>
      <c r="X493" s="103"/>
      <c r="Y493" s="103"/>
      <c r="Z493" s="103"/>
    </row>
    <row r="494" ht="15.75" customHeight="1">
      <c r="A494" s="103"/>
      <c r="B494" s="103"/>
      <c r="C494" s="103"/>
      <c r="D494" s="103"/>
      <c r="E494" s="103"/>
      <c r="F494" s="103"/>
      <c r="G494" s="103"/>
      <c r="H494" s="103"/>
      <c r="I494" s="103"/>
      <c r="J494" s="103"/>
      <c r="K494" s="103"/>
      <c r="L494" s="103"/>
      <c r="M494" s="103"/>
      <c r="N494" s="103"/>
      <c r="O494" s="103"/>
      <c r="P494" s="103"/>
      <c r="Q494" s="103"/>
      <c r="R494" s="103"/>
      <c r="S494" s="103"/>
      <c r="T494" s="103"/>
      <c r="U494" s="103"/>
      <c r="V494" s="103"/>
      <c r="W494" s="103"/>
      <c r="X494" s="103"/>
      <c r="Y494" s="103"/>
      <c r="Z494" s="103"/>
    </row>
    <row r="495" ht="15.75" customHeight="1">
      <c r="A495" s="103"/>
      <c r="B495" s="103"/>
      <c r="C495" s="103"/>
      <c r="D495" s="103"/>
      <c r="E495" s="103"/>
      <c r="F495" s="103"/>
      <c r="G495" s="103"/>
      <c r="H495" s="103"/>
      <c r="I495" s="103"/>
      <c r="J495" s="103"/>
      <c r="K495" s="103"/>
      <c r="L495" s="103"/>
      <c r="M495" s="103"/>
      <c r="N495" s="103"/>
      <c r="O495" s="103"/>
      <c r="P495" s="103"/>
      <c r="Q495" s="103"/>
      <c r="R495" s="103"/>
      <c r="S495" s="103"/>
      <c r="T495" s="103"/>
      <c r="U495" s="103"/>
      <c r="V495" s="103"/>
      <c r="W495" s="103"/>
      <c r="X495" s="103"/>
      <c r="Y495" s="103"/>
      <c r="Z495" s="103"/>
    </row>
    <row r="496" ht="15.75" customHeight="1">
      <c r="A496" s="103"/>
      <c r="B496" s="103"/>
      <c r="C496" s="103"/>
      <c r="D496" s="103"/>
      <c r="E496" s="103"/>
      <c r="F496" s="103"/>
      <c r="G496" s="103"/>
      <c r="H496" s="103"/>
      <c r="I496" s="103"/>
      <c r="J496" s="103"/>
      <c r="K496" s="103"/>
      <c r="L496" s="103"/>
      <c r="M496" s="103"/>
      <c r="N496" s="103"/>
      <c r="O496" s="103"/>
      <c r="P496" s="103"/>
      <c r="Q496" s="103"/>
      <c r="R496" s="103"/>
      <c r="S496" s="103"/>
      <c r="T496" s="103"/>
      <c r="U496" s="103"/>
      <c r="V496" s="103"/>
      <c r="W496" s="103"/>
      <c r="X496" s="103"/>
      <c r="Y496" s="103"/>
      <c r="Z496" s="103"/>
    </row>
    <row r="497" ht="15.75" customHeight="1">
      <c r="A497" s="103"/>
      <c r="B497" s="103"/>
      <c r="C497" s="103"/>
      <c r="D497" s="103"/>
      <c r="E497" s="103"/>
      <c r="F497" s="103"/>
      <c r="G497" s="103"/>
      <c r="H497" s="103"/>
      <c r="I497" s="103"/>
      <c r="J497" s="103"/>
      <c r="K497" s="103"/>
      <c r="L497" s="103"/>
      <c r="M497" s="103"/>
      <c r="N497" s="103"/>
      <c r="O497" s="103"/>
      <c r="P497" s="103"/>
      <c r="Q497" s="103"/>
      <c r="R497" s="103"/>
      <c r="S497" s="103"/>
      <c r="T497" s="103"/>
      <c r="U497" s="103"/>
      <c r="V497" s="103"/>
      <c r="W497" s="103"/>
      <c r="X497" s="103"/>
      <c r="Y497" s="103"/>
      <c r="Z497" s="103"/>
    </row>
    <row r="498" ht="15.75" customHeight="1">
      <c r="A498" s="103"/>
      <c r="B498" s="103"/>
      <c r="C498" s="103"/>
      <c r="D498" s="103"/>
      <c r="E498" s="103"/>
      <c r="F498" s="103"/>
      <c r="G498" s="103"/>
      <c r="H498" s="103"/>
      <c r="I498" s="103"/>
      <c r="J498" s="103"/>
      <c r="K498" s="103"/>
      <c r="L498" s="103"/>
      <c r="M498" s="103"/>
      <c r="N498" s="103"/>
      <c r="O498" s="103"/>
      <c r="P498" s="103"/>
      <c r="Q498" s="103"/>
      <c r="R498" s="103"/>
      <c r="S498" s="103"/>
      <c r="T498" s="103"/>
      <c r="U498" s="103"/>
      <c r="V498" s="103"/>
      <c r="W498" s="103"/>
      <c r="X498" s="103"/>
      <c r="Y498" s="103"/>
      <c r="Z498" s="103"/>
    </row>
    <row r="499" ht="15.75" customHeight="1">
      <c r="A499" s="103"/>
      <c r="B499" s="103"/>
      <c r="C499" s="103"/>
      <c r="D499" s="103"/>
      <c r="E499" s="103"/>
      <c r="F499" s="103"/>
      <c r="G499" s="103"/>
      <c r="H499" s="103"/>
      <c r="I499" s="103"/>
      <c r="J499" s="103"/>
      <c r="K499" s="103"/>
      <c r="L499" s="103"/>
      <c r="M499" s="103"/>
      <c r="N499" s="103"/>
      <c r="O499" s="103"/>
      <c r="P499" s="103"/>
      <c r="Q499" s="103"/>
      <c r="R499" s="103"/>
      <c r="S499" s="103"/>
      <c r="T499" s="103"/>
      <c r="U499" s="103"/>
      <c r="V499" s="103"/>
      <c r="W499" s="103"/>
      <c r="X499" s="103"/>
      <c r="Y499" s="103"/>
      <c r="Z499" s="103"/>
    </row>
    <row r="500" ht="15.75" customHeight="1">
      <c r="A500" s="103"/>
      <c r="B500" s="103"/>
      <c r="C500" s="103"/>
      <c r="D500" s="103"/>
      <c r="E500" s="103"/>
      <c r="F500" s="103"/>
      <c r="G500" s="103"/>
      <c r="H500" s="103"/>
      <c r="I500" s="103"/>
      <c r="J500" s="103"/>
      <c r="K500" s="103"/>
      <c r="L500" s="103"/>
      <c r="M500" s="103"/>
      <c r="N500" s="103"/>
      <c r="O500" s="103"/>
      <c r="P500" s="103"/>
      <c r="Q500" s="103"/>
      <c r="R500" s="103"/>
      <c r="S500" s="103"/>
      <c r="T500" s="103"/>
      <c r="U500" s="103"/>
      <c r="V500" s="103"/>
      <c r="W500" s="103"/>
      <c r="X500" s="103"/>
      <c r="Y500" s="103"/>
      <c r="Z500" s="103"/>
    </row>
    <row r="501" ht="15.75" customHeight="1">
      <c r="A501" s="103"/>
      <c r="B501" s="103"/>
      <c r="C501" s="103"/>
      <c r="D501" s="103"/>
      <c r="E501" s="103"/>
      <c r="F501" s="103"/>
      <c r="G501" s="103"/>
      <c r="H501" s="103"/>
      <c r="I501" s="103"/>
      <c r="J501" s="103"/>
      <c r="K501" s="103"/>
      <c r="L501" s="103"/>
      <c r="M501" s="103"/>
      <c r="N501" s="103"/>
      <c r="O501" s="103"/>
      <c r="P501" s="103"/>
      <c r="Q501" s="103"/>
      <c r="R501" s="103"/>
      <c r="S501" s="103"/>
      <c r="T501" s="103"/>
      <c r="U501" s="103"/>
      <c r="V501" s="103"/>
      <c r="W501" s="103"/>
      <c r="X501" s="103"/>
      <c r="Y501" s="103"/>
      <c r="Z501" s="103"/>
    </row>
    <row r="502" ht="15.75" customHeight="1">
      <c r="A502" s="103"/>
      <c r="B502" s="103"/>
      <c r="C502" s="103"/>
      <c r="D502" s="103"/>
      <c r="E502" s="103"/>
      <c r="F502" s="103"/>
      <c r="G502" s="103"/>
      <c r="H502" s="103"/>
      <c r="I502" s="103"/>
      <c r="J502" s="103"/>
      <c r="K502" s="103"/>
      <c r="L502" s="103"/>
      <c r="M502" s="103"/>
      <c r="N502" s="103"/>
      <c r="O502" s="103"/>
      <c r="P502" s="103"/>
      <c r="Q502" s="103"/>
      <c r="R502" s="103"/>
      <c r="S502" s="103"/>
      <c r="T502" s="103"/>
      <c r="U502" s="103"/>
      <c r="V502" s="103"/>
      <c r="W502" s="103"/>
      <c r="X502" s="103"/>
      <c r="Y502" s="103"/>
      <c r="Z502" s="103"/>
    </row>
    <row r="503" ht="15.75" customHeight="1">
      <c r="A503" s="103"/>
      <c r="B503" s="103"/>
      <c r="C503" s="103"/>
      <c r="D503" s="103"/>
      <c r="E503" s="103"/>
      <c r="F503" s="103"/>
      <c r="G503" s="103"/>
      <c r="H503" s="103"/>
      <c r="I503" s="103"/>
      <c r="J503" s="103"/>
      <c r="K503" s="103"/>
      <c r="L503" s="103"/>
      <c r="M503" s="103"/>
      <c r="N503" s="103"/>
      <c r="O503" s="103"/>
      <c r="P503" s="103"/>
      <c r="Q503" s="103"/>
      <c r="R503" s="103"/>
      <c r="S503" s="103"/>
      <c r="T503" s="103"/>
      <c r="U503" s="103"/>
      <c r="V503" s="103"/>
      <c r="W503" s="103"/>
      <c r="X503" s="103"/>
      <c r="Y503" s="103"/>
      <c r="Z503" s="103"/>
    </row>
    <row r="504" ht="15.75" customHeight="1">
      <c r="A504" s="103"/>
      <c r="B504" s="103"/>
      <c r="C504" s="103"/>
      <c r="D504" s="103"/>
      <c r="E504" s="103"/>
      <c r="F504" s="103"/>
      <c r="G504" s="103"/>
      <c r="H504" s="103"/>
      <c r="I504" s="103"/>
      <c r="J504" s="103"/>
      <c r="K504" s="103"/>
      <c r="L504" s="103"/>
      <c r="M504" s="103"/>
      <c r="N504" s="103"/>
      <c r="O504" s="103"/>
      <c r="P504" s="103"/>
      <c r="Q504" s="103"/>
      <c r="R504" s="103"/>
      <c r="S504" s="103"/>
      <c r="T504" s="103"/>
      <c r="U504" s="103"/>
      <c r="V504" s="103"/>
      <c r="W504" s="103"/>
      <c r="X504" s="103"/>
      <c r="Y504" s="103"/>
      <c r="Z504" s="103"/>
    </row>
    <row r="505" ht="15.75" customHeight="1">
      <c r="A505" s="103"/>
      <c r="B505" s="103"/>
      <c r="C505" s="103"/>
      <c r="D505" s="103"/>
      <c r="E505" s="103"/>
      <c r="F505" s="103"/>
      <c r="G505" s="103"/>
      <c r="H505" s="103"/>
      <c r="I505" s="103"/>
      <c r="J505" s="103"/>
      <c r="K505" s="103"/>
      <c r="L505" s="103"/>
      <c r="M505" s="103"/>
      <c r="N505" s="103"/>
      <c r="O505" s="103"/>
      <c r="P505" s="103"/>
      <c r="Q505" s="103"/>
      <c r="R505" s="103"/>
      <c r="S505" s="103"/>
      <c r="T505" s="103"/>
      <c r="U505" s="103"/>
      <c r="V505" s="103"/>
      <c r="W505" s="103"/>
      <c r="X505" s="103"/>
      <c r="Y505" s="103"/>
      <c r="Z505" s="103"/>
    </row>
    <row r="506" ht="15.75" customHeight="1">
      <c r="A506" s="103"/>
      <c r="B506" s="103"/>
      <c r="C506" s="103"/>
      <c r="D506" s="103"/>
      <c r="E506" s="103"/>
      <c r="F506" s="103"/>
      <c r="G506" s="103"/>
      <c r="H506" s="103"/>
      <c r="I506" s="103"/>
      <c r="J506" s="103"/>
      <c r="K506" s="103"/>
      <c r="L506" s="103"/>
      <c r="M506" s="103"/>
      <c r="N506" s="103"/>
      <c r="O506" s="103"/>
      <c r="P506" s="103"/>
      <c r="Q506" s="103"/>
      <c r="R506" s="103"/>
      <c r="S506" s="103"/>
      <c r="T506" s="103"/>
      <c r="U506" s="103"/>
      <c r="V506" s="103"/>
      <c r="W506" s="103"/>
      <c r="X506" s="103"/>
      <c r="Y506" s="103"/>
      <c r="Z506" s="103"/>
    </row>
    <row r="507" ht="15.75" customHeight="1">
      <c r="A507" s="103"/>
      <c r="B507" s="103"/>
      <c r="C507" s="103"/>
      <c r="D507" s="103"/>
      <c r="E507" s="103"/>
      <c r="F507" s="103"/>
      <c r="G507" s="103"/>
      <c r="H507" s="103"/>
      <c r="I507" s="103"/>
      <c r="J507" s="103"/>
      <c r="K507" s="103"/>
      <c r="L507" s="103"/>
      <c r="M507" s="103"/>
      <c r="N507" s="103"/>
      <c r="O507" s="103"/>
      <c r="P507" s="103"/>
      <c r="Q507" s="103"/>
      <c r="R507" s="103"/>
      <c r="S507" s="103"/>
      <c r="T507" s="103"/>
      <c r="U507" s="103"/>
      <c r="V507" s="103"/>
      <c r="W507" s="103"/>
      <c r="X507" s="103"/>
      <c r="Y507" s="103"/>
      <c r="Z507" s="103"/>
    </row>
    <row r="508" ht="15.75" customHeight="1">
      <c r="A508" s="103"/>
      <c r="B508" s="103"/>
      <c r="C508" s="103"/>
      <c r="D508" s="103"/>
      <c r="E508" s="103"/>
      <c r="F508" s="103"/>
      <c r="G508" s="103"/>
      <c r="H508" s="103"/>
      <c r="I508" s="103"/>
      <c r="J508" s="103"/>
      <c r="K508" s="103"/>
      <c r="L508" s="103"/>
      <c r="M508" s="103"/>
      <c r="N508" s="103"/>
      <c r="O508" s="103"/>
      <c r="P508" s="103"/>
      <c r="Q508" s="103"/>
      <c r="R508" s="103"/>
      <c r="S508" s="103"/>
      <c r="T508" s="103"/>
      <c r="U508" s="103"/>
      <c r="V508" s="103"/>
      <c r="W508" s="103"/>
      <c r="X508" s="103"/>
      <c r="Y508" s="103"/>
      <c r="Z508" s="103"/>
    </row>
    <row r="509" ht="15.75" customHeight="1">
      <c r="A509" s="103"/>
      <c r="B509" s="103"/>
      <c r="C509" s="103"/>
      <c r="D509" s="103"/>
      <c r="E509" s="103"/>
      <c r="F509" s="103"/>
      <c r="G509" s="103"/>
      <c r="H509" s="103"/>
      <c r="I509" s="103"/>
      <c r="J509" s="103"/>
      <c r="K509" s="103"/>
      <c r="L509" s="103"/>
      <c r="M509" s="103"/>
      <c r="N509" s="103"/>
      <c r="O509" s="103"/>
      <c r="P509" s="103"/>
      <c r="Q509" s="103"/>
      <c r="R509" s="103"/>
      <c r="S509" s="103"/>
      <c r="T509" s="103"/>
      <c r="U509" s="103"/>
      <c r="V509" s="103"/>
      <c r="W509" s="103"/>
      <c r="X509" s="103"/>
      <c r="Y509" s="103"/>
      <c r="Z509" s="103"/>
    </row>
    <row r="510" ht="15.75" customHeight="1">
      <c r="A510" s="103"/>
      <c r="B510" s="103"/>
      <c r="C510" s="103"/>
      <c r="D510" s="103"/>
      <c r="E510" s="103"/>
      <c r="F510" s="103"/>
      <c r="G510" s="103"/>
      <c r="H510" s="103"/>
      <c r="I510" s="103"/>
      <c r="J510" s="103"/>
      <c r="K510" s="103"/>
      <c r="L510" s="103"/>
      <c r="M510" s="103"/>
      <c r="N510" s="103"/>
      <c r="O510" s="103"/>
      <c r="P510" s="103"/>
      <c r="Q510" s="103"/>
      <c r="R510" s="103"/>
      <c r="S510" s="103"/>
      <c r="T510" s="103"/>
      <c r="U510" s="103"/>
      <c r="V510" s="103"/>
      <c r="W510" s="103"/>
      <c r="X510" s="103"/>
      <c r="Y510" s="103"/>
      <c r="Z510" s="103"/>
    </row>
    <row r="511" ht="15.75" customHeight="1">
      <c r="A511" s="103"/>
      <c r="B511" s="103"/>
      <c r="C511" s="103"/>
      <c r="D511" s="103"/>
      <c r="E511" s="103"/>
      <c r="F511" s="103"/>
      <c r="G511" s="103"/>
      <c r="H511" s="103"/>
      <c r="I511" s="103"/>
      <c r="J511" s="103"/>
      <c r="K511" s="103"/>
      <c r="L511" s="103"/>
      <c r="M511" s="103"/>
      <c r="N511" s="103"/>
      <c r="O511" s="103"/>
      <c r="P511" s="103"/>
      <c r="Q511" s="103"/>
      <c r="R511" s="103"/>
      <c r="S511" s="103"/>
      <c r="T511" s="103"/>
      <c r="U511" s="103"/>
      <c r="V511" s="103"/>
      <c r="W511" s="103"/>
      <c r="X511" s="103"/>
      <c r="Y511" s="103"/>
      <c r="Z511" s="103"/>
    </row>
    <row r="512" ht="15.75" customHeight="1">
      <c r="A512" s="103"/>
      <c r="B512" s="103"/>
      <c r="C512" s="103"/>
      <c r="D512" s="103"/>
      <c r="E512" s="103"/>
      <c r="F512" s="103"/>
      <c r="G512" s="103"/>
      <c r="H512" s="103"/>
      <c r="I512" s="103"/>
      <c r="J512" s="103"/>
      <c r="K512" s="103"/>
      <c r="L512" s="103"/>
      <c r="M512" s="103"/>
      <c r="N512" s="103"/>
      <c r="O512" s="103"/>
      <c r="P512" s="103"/>
      <c r="Q512" s="103"/>
      <c r="R512" s="103"/>
      <c r="S512" s="103"/>
      <c r="T512" s="103"/>
      <c r="U512" s="103"/>
      <c r="V512" s="103"/>
      <c r="W512" s="103"/>
      <c r="X512" s="103"/>
      <c r="Y512" s="103"/>
      <c r="Z512" s="103"/>
    </row>
    <row r="513" ht="15.75" customHeight="1">
      <c r="A513" s="103"/>
      <c r="B513" s="103"/>
      <c r="C513" s="103"/>
      <c r="D513" s="103"/>
      <c r="E513" s="103"/>
      <c r="F513" s="103"/>
      <c r="G513" s="103"/>
      <c r="H513" s="103"/>
      <c r="I513" s="103"/>
      <c r="J513" s="103"/>
      <c r="K513" s="103"/>
      <c r="L513" s="103"/>
      <c r="M513" s="103"/>
      <c r="N513" s="103"/>
      <c r="O513" s="103"/>
      <c r="P513" s="103"/>
      <c r="Q513" s="103"/>
      <c r="R513" s="103"/>
      <c r="S513" s="103"/>
      <c r="T513" s="103"/>
      <c r="U513" s="103"/>
      <c r="V513" s="103"/>
      <c r="W513" s="103"/>
      <c r="X513" s="103"/>
      <c r="Y513" s="103"/>
      <c r="Z513" s="103"/>
    </row>
    <row r="514" ht="15.75" customHeight="1">
      <c r="A514" s="103"/>
      <c r="B514" s="103"/>
      <c r="C514" s="103"/>
      <c r="D514" s="103"/>
      <c r="E514" s="103"/>
      <c r="F514" s="103"/>
      <c r="G514" s="103"/>
      <c r="H514" s="103"/>
      <c r="I514" s="103"/>
      <c r="J514" s="103"/>
      <c r="K514" s="103"/>
      <c r="L514" s="103"/>
      <c r="M514" s="103"/>
      <c r="N514" s="103"/>
      <c r="O514" s="103"/>
      <c r="P514" s="103"/>
      <c r="Q514" s="103"/>
      <c r="R514" s="103"/>
      <c r="S514" s="103"/>
      <c r="T514" s="103"/>
      <c r="U514" s="103"/>
      <c r="V514" s="103"/>
      <c r="W514" s="103"/>
      <c r="X514" s="103"/>
      <c r="Y514" s="103"/>
      <c r="Z514" s="103"/>
    </row>
    <row r="515" ht="15.75" customHeight="1">
      <c r="A515" s="103"/>
      <c r="B515" s="103"/>
      <c r="C515" s="103"/>
      <c r="D515" s="103"/>
      <c r="E515" s="103"/>
      <c r="F515" s="103"/>
      <c r="G515" s="103"/>
      <c r="H515" s="103"/>
      <c r="I515" s="103"/>
      <c r="J515" s="103"/>
      <c r="K515" s="103"/>
      <c r="L515" s="103"/>
      <c r="M515" s="103"/>
      <c r="N515" s="103"/>
      <c r="O515" s="103"/>
      <c r="P515" s="103"/>
      <c r="Q515" s="103"/>
      <c r="R515" s="103"/>
      <c r="S515" s="103"/>
      <c r="T515" s="103"/>
      <c r="U515" s="103"/>
      <c r="V515" s="103"/>
      <c r="W515" s="103"/>
      <c r="X515" s="103"/>
      <c r="Y515" s="103"/>
      <c r="Z515" s="103"/>
    </row>
    <row r="516" ht="15.75" customHeight="1">
      <c r="A516" s="103"/>
      <c r="B516" s="103"/>
      <c r="C516" s="103"/>
      <c r="D516" s="103"/>
      <c r="E516" s="103"/>
      <c r="F516" s="103"/>
      <c r="G516" s="103"/>
      <c r="H516" s="103"/>
      <c r="I516" s="103"/>
      <c r="J516" s="103"/>
      <c r="K516" s="103"/>
      <c r="L516" s="103"/>
      <c r="M516" s="103"/>
      <c r="N516" s="103"/>
      <c r="O516" s="103"/>
      <c r="P516" s="103"/>
      <c r="Q516" s="103"/>
      <c r="R516" s="103"/>
      <c r="S516" s="103"/>
      <c r="T516" s="103"/>
      <c r="U516" s="103"/>
      <c r="V516" s="103"/>
      <c r="W516" s="103"/>
      <c r="X516" s="103"/>
      <c r="Y516" s="103"/>
      <c r="Z516" s="103"/>
    </row>
    <row r="517" ht="15.75" customHeight="1">
      <c r="A517" s="103"/>
      <c r="B517" s="103"/>
      <c r="C517" s="103"/>
      <c r="D517" s="103"/>
      <c r="E517" s="103"/>
      <c r="F517" s="103"/>
      <c r="G517" s="103"/>
      <c r="H517" s="103"/>
      <c r="I517" s="103"/>
      <c r="J517" s="103"/>
      <c r="K517" s="103"/>
      <c r="L517" s="103"/>
      <c r="M517" s="103"/>
      <c r="N517" s="103"/>
      <c r="O517" s="103"/>
      <c r="P517" s="103"/>
      <c r="Q517" s="103"/>
      <c r="R517" s="103"/>
      <c r="S517" s="103"/>
      <c r="T517" s="103"/>
      <c r="U517" s="103"/>
      <c r="V517" s="103"/>
      <c r="W517" s="103"/>
      <c r="X517" s="103"/>
      <c r="Y517" s="103"/>
      <c r="Z517" s="103"/>
    </row>
    <row r="518" ht="15.75" customHeight="1">
      <c r="A518" s="103"/>
      <c r="B518" s="103"/>
      <c r="C518" s="103"/>
      <c r="D518" s="103"/>
      <c r="E518" s="103"/>
      <c r="F518" s="103"/>
      <c r="G518" s="103"/>
      <c r="H518" s="103"/>
      <c r="I518" s="103"/>
      <c r="J518" s="103"/>
      <c r="K518" s="103"/>
      <c r="L518" s="103"/>
      <c r="M518" s="103"/>
      <c r="N518" s="103"/>
      <c r="O518" s="103"/>
      <c r="P518" s="103"/>
      <c r="Q518" s="103"/>
      <c r="R518" s="103"/>
      <c r="S518" s="103"/>
      <c r="T518" s="103"/>
      <c r="U518" s="103"/>
      <c r="V518" s="103"/>
      <c r="W518" s="103"/>
      <c r="X518" s="103"/>
      <c r="Y518" s="103"/>
      <c r="Z518" s="103"/>
    </row>
    <row r="519" ht="15.75" customHeight="1">
      <c r="A519" s="103"/>
      <c r="B519" s="103"/>
      <c r="C519" s="103"/>
      <c r="D519" s="103"/>
      <c r="E519" s="103"/>
      <c r="F519" s="103"/>
      <c r="G519" s="103"/>
      <c r="H519" s="103"/>
      <c r="I519" s="103"/>
      <c r="J519" s="103"/>
      <c r="K519" s="103"/>
      <c r="L519" s="103"/>
      <c r="M519" s="103"/>
      <c r="N519" s="103"/>
      <c r="O519" s="103"/>
      <c r="P519" s="103"/>
      <c r="Q519" s="103"/>
      <c r="R519" s="103"/>
      <c r="S519" s="103"/>
      <c r="T519" s="103"/>
      <c r="U519" s="103"/>
      <c r="V519" s="103"/>
      <c r="W519" s="103"/>
      <c r="X519" s="103"/>
      <c r="Y519" s="103"/>
      <c r="Z519" s="103"/>
    </row>
    <row r="520" ht="15.75" customHeight="1">
      <c r="A520" s="103"/>
      <c r="B520" s="103"/>
      <c r="C520" s="103"/>
      <c r="D520" s="103"/>
      <c r="E520" s="103"/>
      <c r="F520" s="103"/>
      <c r="G520" s="103"/>
      <c r="H520" s="103"/>
      <c r="I520" s="103"/>
      <c r="J520" s="103"/>
      <c r="K520" s="103"/>
      <c r="L520" s="103"/>
      <c r="M520" s="103"/>
      <c r="N520" s="103"/>
      <c r="O520" s="103"/>
      <c r="P520" s="103"/>
      <c r="Q520" s="103"/>
      <c r="R520" s="103"/>
      <c r="S520" s="103"/>
      <c r="T520" s="103"/>
      <c r="U520" s="103"/>
      <c r="V520" s="103"/>
      <c r="W520" s="103"/>
      <c r="X520" s="103"/>
      <c r="Y520" s="103"/>
      <c r="Z520" s="103"/>
    </row>
    <row r="521" ht="15.75" customHeight="1">
      <c r="A521" s="103"/>
      <c r="B521" s="103"/>
      <c r="C521" s="103"/>
      <c r="D521" s="103"/>
      <c r="E521" s="103"/>
      <c r="F521" s="103"/>
      <c r="G521" s="103"/>
      <c r="H521" s="103"/>
      <c r="I521" s="103"/>
      <c r="J521" s="103"/>
      <c r="K521" s="103"/>
      <c r="L521" s="103"/>
      <c r="M521" s="103"/>
      <c r="N521" s="103"/>
      <c r="O521" s="103"/>
      <c r="P521" s="103"/>
      <c r="Q521" s="103"/>
      <c r="R521" s="103"/>
      <c r="S521" s="103"/>
      <c r="T521" s="103"/>
      <c r="U521" s="103"/>
      <c r="V521" s="103"/>
      <c r="W521" s="103"/>
      <c r="X521" s="103"/>
      <c r="Y521" s="103"/>
      <c r="Z521" s="103"/>
    </row>
    <row r="522" ht="15.75" customHeight="1">
      <c r="A522" s="103"/>
      <c r="B522" s="103"/>
      <c r="C522" s="103"/>
      <c r="D522" s="103"/>
      <c r="E522" s="103"/>
      <c r="F522" s="103"/>
      <c r="G522" s="103"/>
      <c r="H522" s="103"/>
      <c r="I522" s="103"/>
      <c r="J522" s="103"/>
      <c r="K522" s="103"/>
      <c r="L522" s="103"/>
      <c r="M522" s="103"/>
      <c r="N522" s="103"/>
      <c r="O522" s="103"/>
      <c r="P522" s="103"/>
      <c r="Q522" s="103"/>
      <c r="R522" s="103"/>
      <c r="S522" s="103"/>
      <c r="T522" s="103"/>
      <c r="U522" s="103"/>
      <c r="V522" s="103"/>
      <c r="W522" s="103"/>
      <c r="X522" s="103"/>
      <c r="Y522" s="103"/>
      <c r="Z522" s="103"/>
    </row>
    <row r="523" ht="15.75" customHeight="1">
      <c r="A523" s="103"/>
      <c r="B523" s="103"/>
      <c r="C523" s="103"/>
      <c r="D523" s="103"/>
      <c r="E523" s="103"/>
      <c r="F523" s="103"/>
      <c r="G523" s="103"/>
      <c r="H523" s="103"/>
      <c r="I523" s="103"/>
      <c r="J523" s="103"/>
      <c r="K523" s="103"/>
      <c r="L523" s="103"/>
      <c r="M523" s="103"/>
      <c r="N523" s="103"/>
      <c r="O523" s="103"/>
      <c r="P523" s="103"/>
      <c r="Q523" s="103"/>
      <c r="R523" s="103"/>
      <c r="S523" s="103"/>
      <c r="T523" s="103"/>
      <c r="U523" s="103"/>
      <c r="V523" s="103"/>
      <c r="W523" s="103"/>
      <c r="X523" s="103"/>
      <c r="Y523" s="103"/>
      <c r="Z523" s="103"/>
    </row>
    <row r="524" ht="15.75" customHeight="1">
      <c r="A524" s="103"/>
      <c r="B524" s="103"/>
      <c r="C524" s="103"/>
      <c r="D524" s="103"/>
      <c r="E524" s="103"/>
      <c r="F524" s="103"/>
      <c r="G524" s="103"/>
      <c r="H524" s="103"/>
      <c r="I524" s="103"/>
      <c r="J524" s="103"/>
      <c r="K524" s="103"/>
      <c r="L524" s="103"/>
      <c r="M524" s="103"/>
      <c r="N524" s="103"/>
      <c r="O524" s="103"/>
      <c r="P524" s="103"/>
      <c r="Q524" s="103"/>
      <c r="R524" s="103"/>
      <c r="S524" s="103"/>
      <c r="T524" s="103"/>
      <c r="U524" s="103"/>
      <c r="V524" s="103"/>
      <c r="W524" s="103"/>
      <c r="X524" s="103"/>
      <c r="Y524" s="103"/>
      <c r="Z524" s="103"/>
    </row>
    <row r="525" ht="15.75" customHeight="1">
      <c r="A525" s="103"/>
      <c r="B525" s="103"/>
      <c r="C525" s="103"/>
      <c r="D525" s="103"/>
      <c r="E525" s="103"/>
      <c r="F525" s="103"/>
      <c r="G525" s="103"/>
      <c r="H525" s="103"/>
      <c r="I525" s="103"/>
      <c r="J525" s="103"/>
      <c r="K525" s="103"/>
      <c r="L525" s="103"/>
      <c r="M525" s="103"/>
      <c r="N525" s="103"/>
      <c r="O525" s="103"/>
      <c r="P525" s="103"/>
      <c r="Q525" s="103"/>
      <c r="R525" s="103"/>
      <c r="S525" s="103"/>
      <c r="T525" s="103"/>
      <c r="U525" s="103"/>
      <c r="V525" s="103"/>
      <c r="W525" s="103"/>
      <c r="X525" s="103"/>
      <c r="Y525" s="103"/>
      <c r="Z525" s="103"/>
    </row>
    <row r="526" ht="15.75" customHeight="1">
      <c r="A526" s="103"/>
      <c r="B526" s="103"/>
      <c r="C526" s="103"/>
      <c r="D526" s="103"/>
      <c r="E526" s="103"/>
      <c r="F526" s="103"/>
      <c r="G526" s="103"/>
      <c r="H526" s="103"/>
      <c r="I526" s="103"/>
      <c r="J526" s="103"/>
      <c r="K526" s="103"/>
      <c r="L526" s="103"/>
      <c r="M526" s="103"/>
      <c r="N526" s="103"/>
      <c r="O526" s="103"/>
      <c r="P526" s="103"/>
      <c r="Q526" s="103"/>
      <c r="R526" s="103"/>
      <c r="S526" s="103"/>
      <c r="T526" s="103"/>
      <c r="U526" s="103"/>
      <c r="V526" s="103"/>
      <c r="W526" s="103"/>
      <c r="X526" s="103"/>
      <c r="Y526" s="103"/>
      <c r="Z526" s="103"/>
    </row>
    <row r="527" ht="15.75" customHeight="1">
      <c r="A527" s="103"/>
      <c r="B527" s="103"/>
      <c r="C527" s="103"/>
      <c r="D527" s="103"/>
      <c r="E527" s="103"/>
      <c r="F527" s="103"/>
      <c r="G527" s="103"/>
      <c r="H527" s="103"/>
      <c r="I527" s="103"/>
      <c r="J527" s="103"/>
      <c r="K527" s="103"/>
      <c r="L527" s="103"/>
      <c r="M527" s="103"/>
      <c r="N527" s="103"/>
      <c r="O527" s="103"/>
      <c r="P527" s="103"/>
      <c r="Q527" s="103"/>
      <c r="R527" s="103"/>
      <c r="S527" s="103"/>
      <c r="T527" s="103"/>
      <c r="U527" s="103"/>
      <c r="V527" s="103"/>
      <c r="W527" s="103"/>
      <c r="X527" s="103"/>
      <c r="Y527" s="103"/>
      <c r="Z527" s="103"/>
    </row>
    <row r="528" ht="15.75" customHeight="1">
      <c r="A528" s="103"/>
      <c r="B528" s="103"/>
      <c r="C528" s="103"/>
      <c r="D528" s="103"/>
      <c r="E528" s="103"/>
      <c r="F528" s="103"/>
      <c r="G528" s="103"/>
      <c r="H528" s="103"/>
      <c r="I528" s="103"/>
      <c r="J528" s="103"/>
      <c r="K528" s="103"/>
      <c r="L528" s="103"/>
      <c r="M528" s="103"/>
      <c r="N528" s="103"/>
      <c r="O528" s="103"/>
      <c r="P528" s="103"/>
      <c r="Q528" s="103"/>
      <c r="R528" s="103"/>
      <c r="S528" s="103"/>
      <c r="T528" s="103"/>
      <c r="U528" s="103"/>
      <c r="V528" s="103"/>
      <c r="W528" s="103"/>
      <c r="X528" s="103"/>
      <c r="Y528" s="103"/>
      <c r="Z528" s="103"/>
    </row>
    <row r="529" ht="15.75" customHeight="1">
      <c r="A529" s="103"/>
      <c r="B529" s="103"/>
      <c r="C529" s="103"/>
      <c r="D529" s="103"/>
      <c r="E529" s="103"/>
      <c r="F529" s="103"/>
      <c r="G529" s="103"/>
      <c r="H529" s="103"/>
      <c r="I529" s="103"/>
      <c r="J529" s="103"/>
      <c r="K529" s="103"/>
      <c r="L529" s="103"/>
      <c r="M529" s="103"/>
      <c r="N529" s="103"/>
      <c r="O529" s="103"/>
      <c r="P529" s="103"/>
      <c r="Q529" s="103"/>
      <c r="R529" s="103"/>
      <c r="S529" s="103"/>
      <c r="T529" s="103"/>
      <c r="U529" s="103"/>
      <c r="V529" s="103"/>
      <c r="W529" s="103"/>
      <c r="X529" s="103"/>
      <c r="Y529" s="103"/>
      <c r="Z529" s="103"/>
    </row>
    <row r="530" ht="15.75" customHeight="1">
      <c r="A530" s="103"/>
      <c r="B530" s="103"/>
      <c r="C530" s="103"/>
      <c r="D530" s="103"/>
      <c r="E530" s="103"/>
      <c r="F530" s="103"/>
      <c r="G530" s="103"/>
      <c r="H530" s="103"/>
      <c r="I530" s="103"/>
      <c r="J530" s="103"/>
      <c r="K530" s="103"/>
      <c r="L530" s="103"/>
      <c r="M530" s="103"/>
      <c r="N530" s="103"/>
      <c r="O530" s="103"/>
      <c r="P530" s="103"/>
      <c r="Q530" s="103"/>
      <c r="R530" s="103"/>
      <c r="S530" s="103"/>
      <c r="T530" s="103"/>
      <c r="U530" s="103"/>
      <c r="V530" s="103"/>
      <c r="W530" s="103"/>
      <c r="X530" s="103"/>
      <c r="Y530" s="103"/>
      <c r="Z530" s="103"/>
    </row>
    <row r="531" ht="15.75" customHeight="1">
      <c r="A531" s="103"/>
      <c r="B531" s="103"/>
      <c r="C531" s="103"/>
      <c r="D531" s="103"/>
      <c r="E531" s="103"/>
      <c r="F531" s="103"/>
      <c r="G531" s="103"/>
      <c r="H531" s="103"/>
      <c r="I531" s="103"/>
      <c r="J531" s="103"/>
      <c r="K531" s="103"/>
      <c r="L531" s="103"/>
      <c r="M531" s="103"/>
      <c r="N531" s="103"/>
      <c r="O531" s="103"/>
      <c r="P531" s="103"/>
      <c r="Q531" s="103"/>
      <c r="R531" s="103"/>
      <c r="S531" s="103"/>
      <c r="T531" s="103"/>
      <c r="U531" s="103"/>
      <c r="V531" s="103"/>
      <c r="W531" s="103"/>
      <c r="X531" s="103"/>
      <c r="Y531" s="103"/>
      <c r="Z531" s="103"/>
    </row>
    <row r="532" ht="15.75" customHeight="1">
      <c r="A532" s="103"/>
      <c r="B532" s="103"/>
      <c r="C532" s="103"/>
      <c r="D532" s="103"/>
      <c r="E532" s="103"/>
      <c r="F532" s="103"/>
      <c r="G532" s="103"/>
      <c r="H532" s="103"/>
      <c r="I532" s="103"/>
      <c r="J532" s="103"/>
      <c r="K532" s="103"/>
      <c r="L532" s="103"/>
      <c r="M532" s="103"/>
      <c r="N532" s="103"/>
      <c r="O532" s="103"/>
      <c r="P532" s="103"/>
      <c r="Q532" s="103"/>
      <c r="R532" s="103"/>
      <c r="S532" s="103"/>
      <c r="T532" s="103"/>
      <c r="U532" s="103"/>
      <c r="V532" s="103"/>
      <c r="W532" s="103"/>
      <c r="X532" s="103"/>
      <c r="Y532" s="103"/>
      <c r="Z532" s="103"/>
    </row>
    <row r="533" ht="15.75" customHeight="1">
      <c r="A533" s="103"/>
      <c r="B533" s="103"/>
      <c r="C533" s="103"/>
      <c r="D533" s="103"/>
      <c r="E533" s="103"/>
      <c r="F533" s="103"/>
      <c r="G533" s="103"/>
      <c r="H533" s="103"/>
      <c r="I533" s="103"/>
      <c r="J533" s="103"/>
      <c r="K533" s="103"/>
      <c r="L533" s="103"/>
      <c r="M533" s="103"/>
      <c r="N533" s="103"/>
      <c r="O533" s="103"/>
      <c r="P533" s="103"/>
      <c r="Q533" s="103"/>
      <c r="R533" s="103"/>
      <c r="S533" s="103"/>
      <c r="T533" s="103"/>
      <c r="U533" s="103"/>
      <c r="V533" s="103"/>
      <c r="W533" s="103"/>
      <c r="X533" s="103"/>
      <c r="Y533" s="103"/>
      <c r="Z533" s="103"/>
    </row>
    <row r="534" ht="15.75" customHeight="1">
      <c r="A534" s="103"/>
      <c r="B534" s="103"/>
      <c r="C534" s="103"/>
      <c r="D534" s="103"/>
      <c r="E534" s="103"/>
      <c r="F534" s="103"/>
      <c r="G534" s="103"/>
      <c r="H534" s="103"/>
      <c r="I534" s="103"/>
      <c r="J534" s="103"/>
      <c r="K534" s="103"/>
      <c r="L534" s="103"/>
      <c r="M534" s="103"/>
      <c r="N534" s="103"/>
      <c r="O534" s="103"/>
      <c r="P534" s="103"/>
      <c r="Q534" s="103"/>
      <c r="R534" s="103"/>
      <c r="S534" s="103"/>
      <c r="T534" s="103"/>
      <c r="U534" s="103"/>
      <c r="V534" s="103"/>
      <c r="W534" s="103"/>
      <c r="X534" s="103"/>
      <c r="Y534" s="103"/>
      <c r="Z534" s="103"/>
    </row>
    <row r="535" ht="15.75" customHeight="1">
      <c r="A535" s="103"/>
      <c r="B535" s="103"/>
      <c r="C535" s="103"/>
      <c r="D535" s="103"/>
      <c r="E535" s="103"/>
      <c r="F535" s="103"/>
      <c r="G535" s="103"/>
      <c r="H535" s="103"/>
      <c r="I535" s="103"/>
      <c r="J535" s="103"/>
      <c r="K535" s="103"/>
      <c r="L535" s="103"/>
      <c r="M535" s="103"/>
      <c r="N535" s="103"/>
      <c r="O535" s="103"/>
      <c r="P535" s="103"/>
      <c r="Q535" s="103"/>
      <c r="R535" s="103"/>
      <c r="S535" s="103"/>
      <c r="T535" s="103"/>
      <c r="U535" s="103"/>
      <c r="V535" s="103"/>
      <c r="W535" s="103"/>
      <c r="X535" s="103"/>
      <c r="Y535" s="103"/>
      <c r="Z535" s="103"/>
    </row>
    <row r="536" ht="15.75" customHeight="1">
      <c r="A536" s="103"/>
      <c r="B536" s="103"/>
      <c r="C536" s="103"/>
      <c r="D536" s="103"/>
      <c r="E536" s="103"/>
      <c r="F536" s="103"/>
      <c r="G536" s="103"/>
      <c r="H536" s="103"/>
      <c r="I536" s="103"/>
      <c r="J536" s="103"/>
      <c r="K536" s="103"/>
      <c r="L536" s="103"/>
      <c r="M536" s="103"/>
      <c r="N536" s="103"/>
      <c r="O536" s="103"/>
      <c r="P536" s="103"/>
      <c r="Q536" s="103"/>
      <c r="R536" s="103"/>
      <c r="S536" s="103"/>
      <c r="T536" s="103"/>
      <c r="U536" s="103"/>
      <c r="V536" s="103"/>
      <c r="W536" s="103"/>
      <c r="X536" s="103"/>
      <c r="Y536" s="103"/>
      <c r="Z536" s="103"/>
    </row>
    <row r="537" ht="15.75" customHeight="1">
      <c r="A537" s="103"/>
      <c r="B537" s="103"/>
      <c r="C537" s="103"/>
      <c r="D537" s="103"/>
      <c r="E537" s="103"/>
      <c r="F537" s="103"/>
      <c r="G537" s="103"/>
      <c r="H537" s="103"/>
      <c r="I537" s="103"/>
      <c r="J537" s="103"/>
      <c r="K537" s="103"/>
      <c r="L537" s="103"/>
      <c r="M537" s="103"/>
      <c r="N537" s="103"/>
      <c r="O537" s="103"/>
      <c r="P537" s="103"/>
      <c r="Q537" s="103"/>
      <c r="R537" s="103"/>
      <c r="S537" s="103"/>
      <c r="T537" s="103"/>
      <c r="U537" s="103"/>
      <c r="V537" s="103"/>
      <c r="W537" s="103"/>
      <c r="X537" s="103"/>
      <c r="Y537" s="103"/>
      <c r="Z537" s="103"/>
    </row>
    <row r="538" ht="15.75" customHeight="1">
      <c r="A538" s="103"/>
      <c r="B538" s="103"/>
      <c r="C538" s="103"/>
      <c r="D538" s="103"/>
      <c r="E538" s="103"/>
      <c r="F538" s="103"/>
      <c r="G538" s="103"/>
      <c r="H538" s="103"/>
      <c r="I538" s="103"/>
      <c r="J538" s="103"/>
      <c r="K538" s="103"/>
      <c r="L538" s="103"/>
      <c r="M538" s="103"/>
      <c r="N538" s="103"/>
      <c r="O538" s="103"/>
      <c r="P538" s="103"/>
      <c r="Q538" s="103"/>
      <c r="R538" s="103"/>
      <c r="S538" s="103"/>
      <c r="T538" s="103"/>
      <c r="U538" s="103"/>
      <c r="V538" s="103"/>
      <c r="W538" s="103"/>
      <c r="X538" s="103"/>
      <c r="Y538" s="103"/>
      <c r="Z538" s="103"/>
    </row>
    <row r="539" ht="15.75" customHeight="1">
      <c r="A539" s="103"/>
      <c r="B539" s="103"/>
      <c r="C539" s="103"/>
      <c r="D539" s="103"/>
      <c r="E539" s="103"/>
      <c r="F539" s="103"/>
      <c r="G539" s="103"/>
      <c r="H539" s="103"/>
      <c r="I539" s="103"/>
      <c r="J539" s="103"/>
      <c r="K539" s="103"/>
      <c r="L539" s="103"/>
      <c r="M539" s="103"/>
      <c r="N539" s="103"/>
      <c r="O539" s="103"/>
      <c r="P539" s="103"/>
      <c r="Q539" s="103"/>
      <c r="R539" s="103"/>
      <c r="S539" s="103"/>
      <c r="T539" s="103"/>
      <c r="U539" s="103"/>
      <c r="V539" s="103"/>
      <c r="W539" s="103"/>
      <c r="X539" s="103"/>
      <c r="Y539" s="103"/>
      <c r="Z539" s="103"/>
    </row>
    <row r="540" ht="15.75" customHeight="1">
      <c r="A540" s="103"/>
      <c r="B540" s="103"/>
      <c r="C540" s="103"/>
      <c r="D540" s="103"/>
      <c r="E540" s="103"/>
      <c r="F540" s="103"/>
      <c r="G540" s="103"/>
      <c r="H540" s="103"/>
      <c r="I540" s="103"/>
      <c r="J540" s="103"/>
      <c r="K540" s="103"/>
      <c r="L540" s="103"/>
      <c r="M540" s="103"/>
      <c r="N540" s="103"/>
      <c r="O540" s="103"/>
      <c r="P540" s="103"/>
      <c r="Q540" s="103"/>
      <c r="R540" s="103"/>
      <c r="S540" s="103"/>
      <c r="T540" s="103"/>
      <c r="U540" s="103"/>
      <c r="V540" s="103"/>
      <c r="W540" s="103"/>
      <c r="X540" s="103"/>
      <c r="Y540" s="103"/>
      <c r="Z540" s="103"/>
    </row>
    <row r="541" ht="15.75" customHeight="1">
      <c r="A541" s="103"/>
      <c r="B541" s="103"/>
      <c r="C541" s="103"/>
      <c r="D541" s="103"/>
      <c r="E541" s="103"/>
      <c r="F541" s="103"/>
      <c r="G541" s="103"/>
      <c r="H541" s="103"/>
      <c r="I541" s="103"/>
      <c r="J541" s="103"/>
      <c r="K541" s="103"/>
      <c r="L541" s="103"/>
      <c r="M541" s="103"/>
      <c r="N541" s="103"/>
      <c r="O541" s="103"/>
      <c r="P541" s="103"/>
      <c r="Q541" s="103"/>
      <c r="R541" s="103"/>
      <c r="S541" s="103"/>
      <c r="T541" s="103"/>
      <c r="U541" s="103"/>
      <c r="V541" s="103"/>
      <c r="W541" s="103"/>
      <c r="X541" s="103"/>
      <c r="Y541" s="103"/>
      <c r="Z541" s="103"/>
    </row>
    <row r="542" ht="15.75" customHeight="1">
      <c r="A542" s="103"/>
      <c r="B542" s="103"/>
      <c r="C542" s="103"/>
      <c r="D542" s="103"/>
      <c r="E542" s="103"/>
      <c r="F542" s="103"/>
      <c r="G542" s="103"/>
      <c r="H542" s="103"/>
      <c r="I542" s="103"/>
      <c r="J542" s="103"/>
      <c r="K542" s="103"/>
      <c r="L542" s="103"/>
      <c r="M542" s="103"/>
      <c r="N542" s="103"/>
      <c r="O542" s="103"/>
      <c r="P542" s="103"/>
      <c r="Q542" s="103"/>
      <c r="R542" s="103"/>
      <c r="S542" s="103"/>
      <c r="T542" s="103"/>
      <c r="U542" s="103"/>
      <c r="V542" s="103"/>
      <c r="W542" s="103"/>
      <c r="X542" s="103"/>
      <c r="Y542" s="103"/>
      <c r="Z542" s="103"/>
    </row>
    <row r="543" ht="15.75" customHeight="1">
      <c r="A543" s="103"/>
      <c r="B543" s="103"/>
      <c r="C543" s="103"/>
      <c r="D543" s="103"/>
      <c r="E543" s="103"/>
      <c r="F543" s="103"/>
      <c r="G543" s="103"/>
      <c r="H543" s="103"/>
      <c r="I543" s="103"/>
      <c r="J543" s="103"/>
      <c r="K543" s="103"/>
      <c r="L543" s="103"/>
      <c r="M543" s="103"/>
      <c r="N543" s="103"/>
      <c r="O543" s="103"/>
      <c r="P543" s="103"/>
      <c r="Q543" s="103"/>
      <c r="R543" s="103"/>
      <c r="S543" s="103"/>
      <c r="T543" s="103"/>
      <c r="U543" s="103"/>
      <c r="V543" s="103"/>
      <c r="W543" s="103"/>
      <c r="X543" s="103"/>
      <c r="Y543" s="103"/>
      <c r="Z543" s="103"/>
    </row>
    <row r="544" ht="15.75" customHeight="1">
      <c r="A544" s="103"/>
      <c r="B544" s="103"/>
      <c r="C544" s="103"/>
      <c r="D544" s="103"/>
      <c r="E544" s="103"/>
      <c r="F544" s="103"/>
      <c r="G544" s="103"/>
      <c r="H544" s="103"/>
      <c r="I544" s="103"/>
      <c r="J544" s="103"/>
      <c r="K544" s="103"/>
      <c r="L544" s="103"/>
      <c r="M544" s="103"/>
      <c r="N544" s="103"/>
      <c r="O544" s="103"/>
      <c r="P544" s="103"/>
      <c r="Q544" s="103"/>
      <c r="R544" s="103"/>
      <c r="S544" s="103"/>
      <c r="T544" s="103"/>
      <c r="U544" s="103"/>
      <c r="V544" s="103"/>
      <c r="W544" s="103"/>
      <c r="X544" s="103"/>
      <c r="Y544" s="103"/>
      <c r="Z544" s="103"/>
    </row>
    <row r="545" ht="15.75" customHeight="1">
      <c r="A545" s="103"/>
      <c r="B545" s="103"/>
      <c r="C545" s="103"/>
      <c r="D545" s="103"/>
      <c r="E545" s="103"/>
      <c r="F545" s="103"/>
      <c r="G545" s="103"/>
      <c r="H545" s="103"/>
      <c r="I545" s="103"/>
      <c r="J545" s="103"/>
      <c r="K545" s="103"/>
      <c r="L545" s="103"/>
      <c r="M545" s="103"/>
      <c r="N545" s="103"/>
      <c r="O545" s="103"/>
      <c r="P545" s="103"/>
      <c r="Q545" s="103"/>
      <c r="R545" s="103"/>
      <c r="S545" s="103"/>
      <c r="T545" s="103"/>
      <c r="U545" s="103"/>
      <c r="V545" s="103"/>
      <c r="W545" s="103"/>
      <c r="X545" s="103"/>
      <c r="Y545" s="103"/>
      <c r="Z545" s="103"/>
    </row>
    <row r="546" ht="15.75" customHeight="1">
      <c r="A546" s="103"/>
      <c r="B546" s="103"/>
      <c r="C546" s="103"/>
      <c r="D546" s="103"/>
      <c r="E546" s="103"/>
      <c r="F546" s="103"/>
      <c r="G546" s="103"/>
      <c r="H546" s="103"/>
      <c r="I546" s="103"/>
      <c r="J546" s="103"/>
      <c r="K546" s="103"/>
      <c r="L546" s="103"/>
      <c r="M546" s="103"/>
      <c r="N546" s="103"/>
      <c r="O546" s="103"/>
      <c r="P546" s="103"/>
      <c r="Q546" s="103"/>
      <c r="R546" s="103"/>
      <c r="S546" s="103"/>
      <c r="T546" s="103"/>
      <c r="U546" s="103"/>
      <c r="V546" s="103"/>
      <c r="W546" s="103"/>
      <c r="X546" s="103"/>
      <c r="Y546" s="103"/>
      <c r="Z546" s="103"/>
    </row>
    <row r="547" ht="15.75" customHeight="1">
      <c r="A547" s="103"/>
      <c r="B547" s="103"/>
      <c r="C547" s="103"/>
      <c r="D547" s="103"/>
      <c r="E547" s="103"/>
      <c r="F547" s="103"/>
      <c r="G547" s="103"/>
      <c r="H547" s="103"/>
      <c r="I547" s="103"/>
      <c r="J547" s="103"/>
      <c r="K547" s="103"/>
      <c r="L547" s="103"/>
      <c r="M547" s="103"/>
      <c r="N547" s="103"/>
      <c r="O547" s="103"/>
      <c r="P547" s="103"/>
      <c r="Q547" s="103"/>
      <c r="R547" s="103"/>
      <c r="S547" s="103"/>
      <c r="T547" s="103"/>
      <c r="U547" s="103"/>
      <c r="V547" s="103"/>
      <c r="W547" s="103"/>
      <c r="X547" s="103"/>
      <c r="Y547" s="103"/>
      <c r="Z547" s="103"/>
    </row>
    <row r="548" ht="15.75" customHeight="1">
      <c r="A548" s="103"/>
      <c r="B548" s="103"/>
      <c r="C548" s="103"/>
      <c r="D548" s="103"/>
      <c r="E548" s="103"/>
      <c r="F548" s="103"/>
      <c r="G548" s="103"/>
      <c r="H548" s="103"/>
      <c r="I548" s="103"/>
      <c r="J548" s="103"/>
      <c r="K548" s="103"/>
      <c r="L548" s="103"/>
      <c r="M548" s="103"/>
      <c r="N548" s="103"/>
      <c r="O548" s="103"/>
      <c r="P548" s="103"/>
      <c r="Q548" s="103"/>
      <c r="R548" s="103"/>
      <c r="S548" s="103"/>
      <c r="T548" s="103"/>
      <c r="U548" s="103"/>
      <c r="V548" s="103"/>
      <c r="W548" s="103"/>
      <c r="X548" s="103"/>
      <c r="Y548" s="103"/>
      <c r="Z548" s="103"/>
    </row>
    <row r="549" ht="15.75" customHeight="1">
      <c r="A549" s="103"/>
      <c r="B549" s="103"/>
      <c r="C549" s="103"/>
      <c r="D549" s="103"/>
      <c r="E549" s="103"/>
      <c r="F549" s="103"/>
      <c r="G549" s="103"/>
      <c r="H549" s="103"/>
      <c r="I549" s="103"/>
      <c r="J549" s="103"/>
      <c r="K549" s="103"/>
      <c r="L549" s="103"/>
      <c r="M549" s="103"/>
      <c r="N549" s="103"/>
      <c r="O549" s="103"/>
      <c r="P549" s="103"/>
      <c r="Q549" s="103"/>
      <c r="R549" s="103"/>
      <c r="S549" s="103"/>
      <c r="T549" s="103"/>
      <c r="U549" s="103"/>
      <c r="V549" s="103"/>
      <c r="W549" s="103"/>
      <c r="X549" s="103"/>
      <c r="Y549" s="103"/>
      <c r="Z549" s="103"/>
    </row>
    <row r="550" ht="15.75" customHeight="1">
      <c r="A550" s="103"/>
      <c r="B550" s="103"/>
      <c r="C550" s="103"/>
      <c r="D550" s="103"/>
      <c r="E550" s="103"/>
      <c r="F550" s="103"/>
      <c r="G550" s="103"/>
      <c r="H550" s="103"/>
      <c r="I550" s="103"/>
      <c r="J550" s="103"/>
      <c r="K550" s="103"/>
      <c r="L550" s="103"/>
      <c r="M550" s="103"/>
      <c r="N550" s="103"/>
      <c r="O550" s="103"/>
      <c r="P550" s="103"/>
      <c r="Q550" s="103"/>
      <c r="R550" s="103"/>
      <c r="S550" s="103"/>
      <c r="T550" s="103"/>
      <c r="U550" s="103"/>
      <c r="V550" s="103"/>
      <c r="W550" s="103"/>
      <c r="X550" s="103"/>
      <c r="Y550" s="103"/>
      <c r="Z550" s="103"/>
    </row>
    <row r="551" ht="15.75" customHeight="1">
      <c r="A551" s="103"/>
      <c r="B551" s="103"/>
      <c r="C551" s="103"/>
      <c r="D551" s="103"/>
      <c r="E551" s="103"/>
      <c r="F551" s="103"/>
      <c r="G551" s="103"/>
      <c r="H551" s="103"/>
      <c r="I551" s="103"/>
      <c r="J551" s="103"/>
      <c r="K551" s="103"/>
      <c r="L551" s="103"/>
      <c r="M551" s="103"/>
      <c r="N551" s="103"/>
      <c r="O551" s="103"/>
      <c r="P551" s="103"/>
      <c r="Q551" s="103"/>
      <c r="R551" s="103"/>
      <c r="S551" s="103"/>
      <c r="T551" s="103"/>
      <c r="U551" s="103"/>
      <c r="V551" s="103"/>
      <c r="W551" s="103"/>
      <c r="X551" s="103"/>
      <c r="Y551" s="103"/>
      <c r="Z551" s="103"/>
    </row>
    <row r="552" ht="15.75" customHeight="1">
      <c r="A552" s="103"/>
      <c r="B552" s="103"/>
      <c r="C552" s="103"/>
      <c r="D552" s="103"/>
      <c r="E552" s="103"/>
      <c r="F552" s="103"/>
      <c r="G552" s="103"/>
      <c r="H552" s="103"/>
      <c r="I552" s="103"/>
      <c r="J552" s="103"/>
      <c r="K552" s="103"/>
      <c r="L552" s="103"/>
      <c r="M552" s="103"/>
      <c r="N552" s="103"/>
      <c r="O552" s="103"/>
      <c r="P552" s="103"/>
      <c r="Q552" s="103"/>
      <c r="R552" s="103"/>
      <c r="S552" s="103"/>
      <c r="T552" s="103"/>
      <c r="U552" s="103"/>
      <c r="V552" s="103"/>
      <c r="W552" s="103"/>
      <c r="X552" s="103"/>
      <c r="Y552" s="103"/>
      <c r="Z552" s="103"/>
    </row>
    <row r="553" ht="15.75" customHeight="1">
      <c r="A553" s="103"/>
      <c r="B553" s="103"/>
      <c r="C553" s="103"/>
      <c r="D553" s="103"/>
      <c r="E553" s="103"/>
      <c r="F553" s="103"/>
      <c r="G553" s="103"/>
      <c r="H553" s="103"/>
      <c r="I553" s="103"/>
      <c r="J553" s="103"/>
      <c r="K553" s="103"/>
      <c r="L553" s="103"/>
      <c r="M553" s="103"/>
      <c r="N553" s="103"/>
      <c r="O553" s="103"/>
      <c r="P553" s="103"/>
      <c r="Q553" s="103"/>
      <c r="R553" s="103"/>
      <c r="S553" s="103"/>
      <c r="T553" s="103"/>
      <c r="U553" s="103"/>
      <c r="V553" s="103"/>
      <c r="W553" s="103"/>
      <c r="X553" s="103"/>
      <c r="Y553" s="103"/>
      <c r="Z553" s="103"/>
    </row>
    <row r="554" ht="15.75" customHeight="1">
      <c r="A554" s="103"/>
      <c r="B554" s="103"/>
      <c r="C554" s="103"/>
      <c r="D554" s="103"/>
      <c r="E554" s="103"/>
      <c r="F554" s="103"/>
      <c r="G554" s="103"/>
      <c r="H554" s="103"/>
      <c r="I554" s="103"/>
      <c r="J554" s="103"/>
      <c r="K554" s="103"/>
      <c r="L554" s="103"/>
      <c r="M554" s="103"/>
      <c r="N554" s="103"/>
      <c r="O554" s="103"/>
      <c r="P554" s="103"/>
      <c r="Q554" s="103"/>
      <c r="R554" s="103"/>
      <c r="S554" s="103"/>
      <c r="T554" s="103"/>
      <c r="U554" s="103"/>
      <c r="V554" s="103"/>
      <c r="W554" s="103"/>
      <c r="X554" s="103"/>
      <c r="Y554" s="103"/>
      <c r="Z554" s="103"/>
    </row>
    <row r="555" ht="15.75" customHeight="1">
      <c r="A555" s="103"/>
      <c r="B555" s="103"/>
      <c r="C555" s="103"/>
      <c r="D555" s="103"/>
      <c r="E555" s="103"/>
      <c r="F555" s="103"/>
      <c r="G555" s="103"/>
      <c r="H555" s="103"/>
      <c r="I555" s="103"/>
      <c r="J555" s="103"/>
      <c r="K555" s="103"/>
      <c r="L555" s="103"/>
      <c r="M555" s="103"/>
      <c r="N555" s="103"/>
      <c r="O555" s="103"/>
      <c r="P555" s="103"/>
      <c r="Q555" s="103"/>
      <c r="R555" s="103"/>
      <c r="S555" s="103"/>
      <c r="T555" s="103"/>
      <c r="U555" s="103"/>
      <c r="V555" s="103"/>
      <c r="W555" s="103"/>
      <c r="X555" s="103"/>
      <c r="Y555" s="103"/>
      <c r="Z555" s="103"/>
    </row>
    <row r="556" ht="15.75" customHeight="1">
      <c r="A556" s="103"/>
      <c r="B556" s="103"/>
      <c r="C556" s="103"/>
      <c r="D556" s="103"/>
      <c r="E556" s="103"/>
      <c r="F556" s="103"/>
      <c r="G556" s="103"/>
      <c r="H556" s="103"/>
      <c r="I556" s="103"/>
      <c r="J556" s="103"/>
      <c r="K556" s="103"/>
      <c r="L556" s="103"/>
      <c r="M556" s="103"/>
      <c r="N556" s="103"/>
      <c r="O556" s="103"/>
      <c r="P556" s="103"/>
      <c r="Q556" s="103"/>
      <c r="R556" s="103"/>
      <c r="S556" s="103"/>
      <c r="T556" s="103"/>
      <c r="U556" s="103"/>
      <c r="V556" s="103"/>
      <c r="W556" s="103"/>
      <c r="X556" s="103"/>
      <c r="Y556" s="103"/>
      <c r="Z556" s="103"/>
    </row>
    <row r="557" ht="15.75" customHeight="1">
      <c r="A557" s="103"/>
      <c r="B557" s="103"/>
      <c r="C557" s="103"/>
      <c r="D557" s="103"/>
      <c r="E557" s="103"/>
      <c r="F557" s="103"/>
      <c r="G557" s="103"/>
      <c r="H557" s="103"/>
      <c r="I557" s="103"/>
      <c r="J557" s="103"/>
      <c r="K557" s="103"/>
      <c r="L557" s="103"/>
      <c r="M557" s="103"/>
      <c r="N557" s="103"/>
      <c r="O557" s="103"/>
      <c r="P557" s="103"/>
      <c r="Q557" s="103"/>
      <c r="R557" s="103"/>
      <c r="S557" s="103"/>
      <c r="T557" s="103"/>
      <c r="U557" s="103"/>
      <c r="V557" s="103"/>
      <c r="W557" s="103"/>
      <c r="X557" s="103"/>
      <c r="Y557" s="103"/>
      <c r="Z557" s="103"/>
    </row>
    <row r="558" ht="15.75" customHeight="1">
      <c r="A558" s="103"/>
      <c r="B558" s="103"/>
      <c r="C558" s="103"/>
      <c r="D558" s="103"/>
      <c r="E558" s="103"/>
      <c r="F558" s="103"/>
      <c r="G558" s="103"/>
      <c r="H558" s="103"/>
      <c r="I558" s="103"/>
      <c r="J558" s="103"/>
      <c r="K558" s="103"/>
      <c r="L558" s="103"/>
      <c r="M558" s="103"/>
      <c r="N558" s="103"/>
      <c r="O558" s="103"/>
      <c r="P558" s="103"/>
      <c r="Q558" s="103"/>
      <c r="R558" s="103"/>
      <c r="S558" s="103"/>
      <c r="T558" s="103"/>
      <c r="U558" s="103"/>
      <c r="V558" s="103"/>
      <c r="W558" s="103"/>
      <c r="X558" s="103"/>
      <c r="Y558" s="103"/>
      <c r="Z558" s="103"/>
    </row>
    <row r="559" ht="15.75" customHeight="1">
      <c r="A559" s="103"/>
      <c r="B559" s="103"/>
      <c r="C559" s="103"/>
      <c r="D559" s="103"/>
      <c r="E559" s="103"/>
      <c r="F559" s="103"/>
      <c r="G559" s="103"/>
      <c r="H559" s="103"/>
      <c r="I559" s="103"/>
      <c r="J559" s="103"/>
      <c r="K559" s="103"/>
      <c r="L559" s="103"/>
      <c r="M559" s="103"/>
      <c r="N559" s="103"/>
      <c r="O559" s="103"/>
      <c r="P559" s="103"/>
      <c r="Q559" s="103"/>
      <c r="R559" s="103"/>
      <c r="S559" s="103"/>
      <c r="T559" s="103"/>
      <c r="U559" s="103"/>
      <c r="V559" s="103"/>
      <c r="W559" s="103"/>
      <c r="X559" s="103"/>
      <c r="Y559" s="103"/>
      <c r="Z559" s="103"/>
    </row>
    <row r="560" ht="15.75" customHeight="1">
      <c r="A560" s="103"/>
      <c r="B560" s="103"/>
      <c r="C560" s="103"/>
      <c r="D560" s="103"/>
      <c r="E560" s="103"/>
      <c r="F560" s="103"/>
      <c r="G560" s="103"/>
      <c r="H560" s="103"/>
      <c r="I560" s="103"/>
      <c r="J560" s="103"/>
      <c r="K560" s="103"/>
      <c r="L560" s="103"/>
      <c r="M560" s="103"/>
      <c r="N560" s="103"/>
      <c r="O560" s="103"/>
      <c r="P560" s="103"/>
      <c r="Q560" s="103"/>
      <c r="R560" s="103"/>
      <c r="S560" s="103"/>
      <c r="T560" s="103"/>
      <c r="U560" s="103"/>
      <c r="V560" s="103"/>
      <c r="W560" s="103"/>
      <c r="X560" s="103"/>
      <c r="Y560" s="103"/>
      <c r="Z560" s="103"/>
    </row>
    <row r="561" ht="15.75" customHeight="1">
      <c r="A561" s="103"/>
      <c r="B561" s="103"/>
      <c r="C561" s="103"/>
      <c r="D561" s="103"/>
      <c r="E561" s="103"/>
      <c r="F561" s="103"/>
      <c r="G561" s="103"/>
      <c r="H561" s="103"/>
      <c r="I561" s="103"/>
      <c r="J561" s="103"/>
      <c r="K561" s="103"/>
      <c r="L561" s="103"/>
      <c r="M561" s="103"/>
      <c r="N561" s="103"/>
      <c r="O561" s="103"/>
      <c r="P561" s="103"/>
      <c r="Q561" s="103"/>
      <c r="R561" s="103"/>
      <c r="S561" s="103"/>
      <c r="T561" s="103"/>
      <c r="U561" s="103"/>
      <c r="V561" s="103"/>
      <c r="W561" s="103"/>
      <c r="X561" s="103"/>
      <c r="Y561" s="103"/>
      <c r="Z561" s="103"/>
    </row>
    <row r="562" ht="15.75" customHeight="1">
      <c r="A562" s="103"/>
      <c r="B562" s="103"/>
      <c r="C562" s="103"/>
      <c r="D562" s="103"/>
      <c r="E562" s="103"/>
      <c r="F562" s="103"/>
      <c r="G562" s="103"/>
      <c r="H562" s="103"/>
      <c r="I562" s="103"/>
      <c r="J562" s="103"/>
      <c r="K562" s="103"/>
      <c r="L562" s="103"/>
      <c r="M562" s="103"/>
      <c r="N562" s="103"/>
      <c r="O562" s="103"/>
      <c r="P562" s="103"/>
      <c r="Q562" s="103"/>
      <c r="R562" s="103"/>
      <c r="S562" s="103"/>
      <c r="T562" s="103"/>
      <c r="U562" s="103"/>
      <c r="V562" s="103"/>
      <c r="W562" s="103"/>
      <c r="X562" s="103"/>
      <c r="Y562" s="103"/>
      <c r="Z562" s="103"/>
    </row>
    <row r="563" ht="15.75" customHeight="1">
      <c r="A563" s="103"/>
      <c r="B563" s="103"/>
      <c r="C563" s="103"/>
      <c r="D563" s="103"/>
      <c r="E563" s="103"/>
      <c r="F563" s="103"/>
      <c r="G563" s="103"/>
      <c r="H563" s="103"/>
      <c r="I563" s="103"/>
      <c r="J563" s="103"/>
      <c r="K563" s="103"/>
      <c r="L563" s="103"/>
      <c r="M563" s="103"/>
      <c r="N563" s="103"/>
      <c r="O563" s="103"/>
      <c r="P563" s="103"/>
      <c r="Q563" s="103"/>
      <c r="R563" s="103"/>
      <c r="S563" s="103"/>
      <c r="T563" s="103"/>
      <c r="U563" s="103"/>
      <c r="V563" s="103"/>
      <c r="W563" s="103"/>
      <c r="X563" s="103"/>
      <c r="Y563" s="103"/>
      <c r="Z563" s="103"/>
    </row>
    <row r="564" ht="15.75" customHeight="1">
      <c r="A564" s="103"/>
      <c r="B564" s="103"/>
      <c r="C564" s="103"/>
      <c r="D564" s="103"/>
      <c r="E564" s="103"/>
      <c r="F564" s="103"/>
      <c r="G564" s="103"/>
      <c r="H564" s="103"/>
      <c r="I564" s="103"/>
      <c r="J564" s="103"/>
      <c r="K564" s="103"/>
      <c r="L564" s="103"/>
      <c r="M564" s="103"/>
      <c r="N564" s="103"/>
      <c r="O564" s="103"/>
      <c r="P564" s="103"/>
      <c r="Q564" s="103"/>
      <c r="R564" s="103"/>
      <c r="S564" s="103"/>
      <c r="T564" s="103"/>
      <c r="U564" s="103"/>
      <c r="V564" s="103"/>
      <c r="W564" s="103"/>
      <c r="X564" s="103"/>
      <c r="Y564" s="103"/>
      <c r="Z564" s="103"/>
    </row>
    <row r="565" ht="15.75" customHeight="1">
      <c r="A565" s="103"/>
      <c r="B565" s="103"/>
      <c r="C565" s="103"/>
      <c r="D565" s="103"/>
      <c r="E565" s="103"/>
      <c r="F565" s="103"/>
      <c r="G565" s="103"/>
      <c r="H565" s="103"/>
      <c r="I565" s="103"/>
      <c r="J565" s="103"/>
      <c r="K565" s="103"/>
      <c r="L565" s="103"/>
      <c r="M565" s="103"/>
      <c r="N565" s="103"/>
      <c r="O565" s="103"/>
      <c r="P565" s="103"/>
      <c r="Q565" s="103"/>
      <c r="R565" s="103"/>
      <c r="S565" s="103"/>
      <c r="T565" s="103"/>
      <c r="U565" s="103"/>
      <c r="V565" s="103"/>
      <c r="W565" s="103"/>
      <c r="X565" s="103"/>
      <c r="Y565" s="103"/>
      <c r="Z565" s="103"/>
    </row>
    <row r="566" ht="15.75" customHeight="1">
      <c r="A566" s="103"/>
      <c r="B566" s="103"/>
      <c r="C566" s="103"/>
      <c r="D566" s="103"/>
      <c r="E566" s="103"/>
      <c r="F566" s="103"/>
      <c r="G566" s="103"/>
      <c r="H566" s="103"/>
      <c r="I566" s="103"/>
      <c r="J566" s="103"/>
      <c r="K566" s="103"/>
      <c r="L566" s="103"/>
      <c r="M566" s="103"/>
      <c r="N566" s="103"/>
      <c r="O566" s="103"/>
      <c r="P566" s="103"/>
      <c r="Q566" s="103"/>
      <c r="R566" s="103"/>
      <c r="S566" s="103"/>
      <c r="T566" s="103"/>
      <c r="U566" s="103"/>
      <c r="V566" s="103"/>
      <c r="W566" s="103"/>
      <c r="X566" s="103"/>
      <c r="Y566" s="103"/>
      <c r="Z566" s="103"/>
    </row>
    <row r="567" ht="15.75" customHeight="1">
      <c r="A567" s="103"/>
      <c r="B567" s="103"/>
      <c r="C567" s="103"/>
      <c r="D567" s="103"/>
      <c r="E567" s="103"/>
      <c r="F567" s="103"/>
      <c r="G567" s="103"/>
      <c r="H567" s="103"/>
      <c r="I567" s="103"/>
      <c r="J567" s="103"/>
      <c r="K567" s="103"/>
      <c r="L567" s="103"/>
      <c r="M567" s="103"/>
      <c r="N567" s="103"/>
      <c r="O567" s="103"/>
      <c r="P567" s="103"/>
      <c r="Q567" s="103"/>
      <c r="R567" s="103"/>
      <c r="S567" s="103"/>
      <c r="T567" s="103"/>
      <c r="U567" s="103"/>
      <c r="V567" s="103"/>
      <c r="W567" s="103"/>
      <c r="X567" s="103"/>
      <c r="Y567" s="103"/>
      <c r="Z567" s="103"/>
    </row>
    <row r="568" ht="15.75" customHeight="1">
      <c r="A568" s="103"/>
      <c r="B568" s="103"/>
      <c r="C568" s="103"/>
      <c r="D568" s="103"/>
      <c r="E568" s="103"/>
      <c r="F568" s="103"/>
      <c r="G568" s="103"/>
      <c r="H568" s="103"/>
      <c r="I568" s="103"/>
      <c r="J568" s="103"/>
      <c r="K568" s="103"/>
      <c r="L568" s="103"/>
      <c r="M568" s="103"/>
      <c r="N568" s="103"/>
      <c r="O568" s="103"/>
      <c r="P568" s="103"/>
      <c r="Q568" s="103"/>
      <c r="R568" s="103"/>
      <c r="S568" s="103"/>
      <c r="T568" s="103"/>
      <c r="U568" s="103"/>
      <c r="V568" s="103"/>
      <c r="W568" s="103"/>
      <c r="X568" s="103"/>
      <c r="Y568" s="103"/>
      <c r="Z568" s="103"/>
    </row>
    <row r="569" ht="15.75" customHeight="1">
      <c r="A569" s="103"/>
      <c r="B569" s="103"/>
      <c r="C569" s="103"/>
      <c r="D569" s="103"/>
      <c r="E569" s="103"/>
      <c r="F569" s="103"/>
      <c r="G569" s="103"/>
      <c r="H569" s="103"/>
      <c r="I569" s="103"/>
      <c r="J569" s="103"/>
      <c r="K569" s="103"/>
      <c r="L569" s="103"/>
      <c r="M569" s="103"/>
      <c r="N569" s="103"/>
      <c r="O569" s="103"/>
      <c r="P569" s="103"/>
      <c r="Q569" s="103"/>
      <c r="R569" s="103"/>
      <c r="S569" s="103"/>
      <c r="T569" s="103"/>
      <c r="U569" s="103"/>
      <c r="V569" s="103"/>
      <c r="W569" s="103"/>
      <c r="X569" s="103"/>
      <c r="Y569" s="103"/>
      <c r="Z569" s="103"/>
    </row>
    <row r="570" ht="15.75" customHeight="1">
      <c r="A570" s="103"/>
      <c r="B570" s="103"/>
      <c r="C570" s="103"/>
      <c r="D570" s="103"/>
      <c r="E570" s="103"/>
      <c r="F570" s="103"/>
      <c r="G570" s="103"/>
      <c r="H570" s="103"/>
      <c r="I570" s="103"/>
      <c r="J570" s="103"/>
      <c r="K570" s="103"/>
      <c r="L570" s="103"/>
      <c r="M570" s="103"/>
      <c r="N570" s="103"/>
      <c r="O570" s="103"/>
      <c r="P570" s="103"/>
      <c r="Q570" s="103"/>
      <c r="R570" s="103"/>
      <c r="S570" s="103"/>
      <c r="T570" s="103"/>
      <c r="U570" s="103"/>
      <c r="V570" s="103"/>
      <c r="W570" s="103"/>
      <c r="X570" s="103"/>
      <c r="Y570" s="103"/>
      <c r="Z570" s="103"/>
    </row>
    <row r="571" ht="15.75" customHeight="1">
      <c r="A571" s="103"/>
      <c r="B571" s="103"/>
      <c r="C571" s="103"/>
      <c r="D571" s="103"/>
      <c r="E571" s="103"/>
      <c r="F571" s="103"/>
      <c r="G571" s="103"/>
      <c r="H571" s="103"/>
      <c r="I571" s="103"/>
      <c r="J571" s="103"/>
      <c r="K571" s="103"/>
      <c r="L571" s="103"/>
      <c r="M571" s="103"/>
      <c r="N571" s="103"/>
      <c r="O571" s="103"/>
      <c r="P571" s="103"/>
      <c r="Q571" s="103"/>
      <c r="R571" s="103"/>
      <c r="S571" s="103"/>
      <c r="T571" s="103"/>
      <c r="U571" s="103"/>
      <c r="V571" s="103"/>
      <c r="W571" s="103"/>
      <c r="X571" s="103"/>
      <c r="Y571" s="103"/>
      <c r="Z571" s="103"/>
    </row>
    <row r="572" ht="15.75" customHeight="1">
      <c r="A572" s="103"/>
      <c r="B572" s="103"/>
      <c r="C572" s="103"/>
      <c r="D572" s="103"/>
      <c r="E572" s="103"/>
      <c r="F572" s="103"/>
      <c r="G572" s="103"/>
      <c r="H572" s="103"/>
      <c r="I572" s="103"/>
      <c r="J572" s="103"/>
      <c r="K572" s="103"/>
      <c r="L572" s="103"/>
      <c r="M572" s="103"/>
      <c r="N572" s="103"/>
      <c r="O572" s="103"/>
      <c r="P572" s="103"/>
      <c r="Q572" s="103"/>
      <c r="R572" s="103"/>
      <c r="S572" s="103"/>
      <c r="T572" s="103"/>
      <c r="U572" s="103"/>
      <c r="V572" s="103"/>
      <c r="W572" s="103"/>
      <c r="X572" s="103"/>
      <c r="Y572" s="103"/>
      <c r="Z572" s="103"/>
    </row>
    <row r="573" ht="15.75" customHeight="1">
      <c r="A573" s="103"/>
      <c r="B573" s="103"/>
      <c r="C573" s="103"/>
      <c r="D573" s="103"/>
      <c r="E573" s="103"/>
      <c r="F573" s="103"/>
      <c r="G573" s="103"/>
      <c r="H573" s="103"/>
      <c r="I573" s="103"/>
      <c r="J573" s="103"/>
      <c r="K573" s="103"/>
      <c r="L573" s="103"/>
      <c r="M573" s="103"/>
      <c r="N573" s="103"/>
      <c r="O573" s="103"/>
      <c r="P573" s="103"/>
      <c r="Q573" s="103"/>
      <c r="R573" s="103"/>
      <c r="S573" s="103"/>
      <c r="T573" s="103"/>
      <c r="U573" s="103"/>
      <c r="V573" s="103"/>
      <c r="W573" s="103"/>
      <c r="X573" s="103"/>
      <c r="Y573" s="103"/>
      <c r="Z573" s="103"/>
    </row>
    <row r="574" ht="15.75" customHeight="1">
      <c r="A574" s="103"/>
      <c r="B574" s="103"/>
      <c r="C574" s="103"/>
      <c r="D574" s="103"/>
      <c r="E574" s="103"/>
      <c r="F574" s="103"/>
      <c r="G574" s="103"/>
      <c r="H574" s="103"/>
      <c r="I574" s="103"/>
      <c r="J574" s="103"/>
      <c r="K574" s="103"/>
      <c r="L574" s="103"/>
      <c r="M574" s="103"/>
      <c r="N574" s="103"/>
      <c r="O574" s="103"/>
      <c r="P574" s="103"/>
      <c r="Q574" s="103"/>
      <c r="R574" s="103"/>
      <c r="S574" s="103"/>
      <c r="T574" s="103"/>
      <c r="U574" s="103"/>
      <c r="V574" s="103"/>
      <c r="W574" s="103"/>
      <c r="X574" s="103"/>
      <c r="Y574" s="103"/>
      <c r="Z574" s="103"/>
    </row>
    <row r="575" ht="15.75" customHeight="1">
      <c r="A575" s="103"/>
      <c r="B575" s="103"/>
      <c r="C575" s="103"/>
      <c r="D575" s="103"/>
      <c r="E575" s="103"/>
      <c r="F575" s="103"/>
      <c r="G575" s="103"/>
      <c r="H575" s="103"/>
      <c r="I575" s="103"/>
      <c r="J575" s="103"/>
      <c r="K575" s="103"/>
      <c r="L575" s="103"/>
      <c r="M575" s="103"/>
      <c r="N575" s="103"/>
      <c r="O575" s="103"/>
      <c r="P575" s="103"/>
      <c r="Q575" s="103"/>
      <c r="R575" s="103"/>
      <c r="S575" s="103"/>
      <c r="T575" s="103"/>
      <c r="U575" s="103"/>
      <c r="V575" s="103"/>
      <c r="W575" s="103"/>
      <c r="X575" s="103"/>
      <c r="Y575" s="103"/>
      <c r="Z575" s="103"/>
    </row>
    <row r="576" ht="15.75" customHeight="1">
      <c r="A576" s="103"/>
      <c r="B576" s="103"/>
      <c r="C576" s="103"/>
      <c r="D576" s="103"/>
      <c r="E576" s="103"/>
      <c r="F576" s="103"/>
      <c r="G576" s="103"/>
      <c r="H576" s="103"/>
      <c r="I576" s="103"/>
      <c r="J576" s="103"/>
      <c r="K576" s="103"/>
      <c r="L576" s="103"/>
      <c r="M576" s="103"/>
      <c r="N576" s="103"/>
      <c r="O576" s="103"/>
      <c r="P576" s="103"/>
      <c r="Q576" s="103"/>
      <c r="R576" s="103"/>
      <c r="S576" s="103"/>
      <c r="T576" s="103"/>
      <c r="U576" s="103"/>
      <c r="V576" s="103"/>
      <c r="W576" s="103"/>
      <c r="X576" s="103"/>
      <c r="Y576" s="103"/>
      <c r="Z576" s="103"/>
    </row>
    <row r="577" ht="15.75" customHeight="1">
      <c r="A577" s="103"/>
      <c r="B577" s="103"/>
      <c r="C577" s="103"/>
      <c r="D577" s="103"/>
      <c r="E577" s="103"/>
      <c r="F577" s="103"/>
      <c r="G577" s="103"/>
      <c r="H577" s="103"/>
      <c r="I577" s="103"/>
      <c r="J577" s="103"/>
      <c r="K577" s="103"/>
      <c r="L577" s="103"/>
      <c r="M577" s="103"/>
      <c r="N577" s="103"/>
      <c r="O577" s="103"/>
      <c r="P577" s="103"/>
      <c r="Q577" s="103"/>
      <c r="R577" s="103"/>
      <c r="S577" s="103"/>
      <c r="T577" s="103"/>
      <c r="U577" s="103"/>
      <c r="V577" s="103"/>
      <c r="W577" s="103"/>
      <c r="X577" s="103"/>
      <c r="Y577" s="103"/>
      <c r="Z577" s="103"/>
    </row>
    <row r="578" ht="15.75" customHeight="1">
      <c r="A578" s="103"/>
      <c r="B578" s="103"/>
      <c r="C578" s="103"/>
      <c r="D578" s="103"/>
      <c r="E578" s="103"/>
      <c r="F578" s="103"/>
      <c r="G578" s="103"/>
      <c r="H578" s="103"/>
      <c r="I578" s="103"/>
      <c r="J578" s="103"/>
      <c r="K578" s="103"/>
      <c r="L578" s="103"/>
      <c r="M578" s="103"/>
      <c r="N578" s="103"/>
      <c r="O578" s="103"/>
      <c r="P578" s="103"/>
      <c r="Q578" s="103"/>
      <c r="R578" s="103"/>
      <c r="S578" s="103"/>
      <c r="T578" s="103"/>
      <c r="U578" s="103"/>
      <c r="V578" s="103"/>
      <c r="W578" s="103"/>
      <c r="X578" s="103"/>
      <c r="Y578" s="103"/>
      <c r="Z578" s="103"/>
    </row>
    <row r="579" ht="15.75" customHeight="1">
      <c r="A579" s="103"/>
      <c r="B579" s="103"/>
      <c r="C579" s="103"/>
      <c r="D579" s="103"/>
      <c r="E579" s="103"/>
      <c r="F579" s="103"/>
      <c r="G579" s="103"/>
      <c r="H579" s="103"/>
      <c r="I579" s="103"/>
      <c r="J579" s="103"/>
      <c r="K579" s="103"/>
      <c r="L579" s="103"/>
      <c r="M579" s="103"/>
      <c r="N579" s="103"/>
      <c r="O579" s="103"/>
      <c r="P579" s="103"/>
      <c r="Q579" s="103"/>
      <c r="R579" s="103"/>
      <c r="S579" s="103"/>
      <c r="T579" s="103"/>
      <c r="U579" s="103"/>
      <c r="V579" s="103"/>
      <c r="W579" s="103"/>
      <c r="X579" s="103"/>
      <c r="Y579" s="103"/>
      <c r="Z579" s="103"/>
    </row>
    <row r="580" ht="15.75" customHeight="1">
      <c r="A580" s="103"/>
      <c r="B580" s="103"/>
      <c r="C580" s="103"/>
      <c r="D580" s="103"/>
      <c r="E580" s="103"/>
      <c r="F580" s="103"/>
      <c r="G580" s="103"/>
      <c r="H580" s="103"/>
      <c r="I580" s="103"/>
      <c r="J580" s="103"/>
      <c r="K580" s="103"/>
      <c r="L580" s="103"/>
      <c r="M580" s="103"/>
      <c r="N580" s="103"/>
      <c r="O580" s="103"/>
      <c r="P580" s="103"/>
      <c r="Q580" s="103"/>
      <c r="R580" s="103"/>
      <c r="S580" s="103"/>
      <c r="T580" s="103"/>
      <c r="U580" s="103"/>
      <c r="V580" s="103"/>
      <c r="W580" s="103"/>
      <c r="X580" s="103"/>
      <c r="Y580" s="103"/>
      <c r="Z580" s="103"/>
    </row>
    <row r="581" ht="15.75" customHeight="1">
      <c r="A581" s="103"/>
      <c r="B581" s="103"/>
      <c r="C581" s="103"/>
      <c r="D581" s="103"/>
      <c r="E581" s="103"/>
      <c r="F581" s="103"/>
      <c r="G581" s="103"/>
      <c r="H581" s="103"/>
      <c r="I581" s="103"/>
      <c r="J581" s="103"/>
      <c r="K581" s="103"/>
      <c r="L581" s="103"/>
      <c r="M581" s="103"/>
      <c r="N581" s="103"/>
      <c r="O581" s="103"/>
      <c r="P581" s="103"/>
      <c r="Q581" s="103"/>
      <c r="R581" s="103"/>
      <c r="S581" s="103"/>
      <c r="T581" s="103"/>
      <c r="U581" s="103"/>
      <c r="V581" s="103"/>
      <c r="W581" s="103"/>
      <c r="X581" s="103"/>
      <c r="Y581" s="103"/>
      <c r="Z581" s="103"/>
    </row>
    <row r="582" ht="15.75" customHeight="1">
      <c r="A582" s="103"/>
      <c r="B582" s="103"/>
      <c r="C582" s="103"/>
      <c r="D582" s="103"/>
      <c r="E582" s="103"/>
      <c r="F582" s="103"/>
      <c r="G582" s="103"/>
      <c r="H582" s="103"/>
      <c r="I582" s="103"/>
      <c r="J582" s="103"/>
      <c r="K582" s="103"/>
      <c r="L582" s="103"/>
      <c r="M582" s="103"/>
      <c r="N582" s="103"/>
      <c r="O582" s="103"/>
      <c r="P582" s="103"/>
      <c r="Q582" s="103"/>
      <c r="R582" s="103"/>
      <c r="S582" s="103"/>
      <c r="T582" s="103"/>
      <c r="U582" s="103"/>
      <c r="V582" s="103"/>
      <c r="W582" s="103"/>
      <c r="X582" s="103"/>
      <c r="Y582" s="103"/>
      <c r="Z582" s="103"/>
    </row>
    <row r="583" ht="15.75" customHeight="1">
      <c r="A583" s="103"/>
      <c r="B583" s="103"/>
      <c r="C583" s="103"/>
      <c r="D583" s="103"/>
      <c r="E583" s="103"/>
      <c r="F583" s="103"/>
      <c r="G583" s="103"/>
      <c r="H583" s="103"/>
      <c r="I583" s="103"/>
      <c r="J583" s="103"/>
      <c r="K583" s="103"/>
      <c r="L583" s="103"/>
      <c r="M583" s="103"/>
      <c r="N583" s="103"/>
      <c r="O583" s="103"/>
      <c r="P583" s="103"/>
      <c r="Q583" s="103"/>
      <c r="R583" s="103"/>
      <c r="S583" s="103"/>
      <c r="T583" s="103"/>
      <c r="U583" s="103"/>
      <c r="V583" s="103"/>
      <c r="W583" s="103"/>
      <c r="X583" s="103"/>
      <c r="Y583" s="103"/>
      <c r="Z583" s="103"/>
    </row>
    <row r="584" ht="15.75" customHeight="1">
      <c r="A584" s="103"/>
      <c r="B584" s="103"/>
      <c r="C584" s="103"/>
      <c r="D584" s="103"/>
      <c r="E584" s="103"/>
      <c r="F584" s="103"/>
      <c r="G584" s="103"/>
      <c r="H584" s="103"/>
      <c r="I584" s="103"/>
      <c r="J584" s="103"/>
      <c r="K584" s="103"/>
      <c r="L584" s="103"/>
      <c r="M584" s="103"/>
      <c r="N584" s="103"/>
      <c r="O584" s="103"/>
      <c r="P584" s="103"/>
      <c r="Q584" s="103"/>
      <c r="R584" s="103"/>
      <c r="S584" s="103"/>
      <c r="T584" s="103"/>
      <c r="U584" s="103"/>
      <c r="V584" s="103"/>
      <c r="W584" s="103"/>
      <c r="X584" s="103"/>
      <c r="Y584" s="103"/>
      <c r="Z584" s="103"/>
    </row>
    <row r="585" ht="15.75" customHeight="1">
      <c r="A585" s="103"/>
      <c r="B585" s="103"/>
      <c r="C585" s="103"/>
      <c r="D585" s="103"/>
      <c r="E585" s="103"/>
      <c r="F585" s="103"/>
      <c r="G585" s="103"/>
      <c r="H585" s="103"/>
      <c r="I585" s="103"/>
      <c r="J585" s="103"/>
      <c r="K585" s="103"/>
      <c r="L585" s="103"/>
      <c r="M585" s="103"/>
      <c r="N585" s="103"/>
      <c r="O585" s="103"/>
      <c r="P585" s="103"/>
      <c r="Q585" s="103"/>
      <c r="R585" s="103"/>
      <c r="S585" s="103"/>
      <c r="T585" s="103"/>
      <c r="U585" s="103"/>
      <c r="V585" s="103"/>
      <c r="W585" s="103"/>
      <c r="X585" s="103"/>
      <c r="Y585" s="103"/>
      <c r="Z585" s="103"/>
    </row>
    <row r="586" ht="15.75" customHeight="1">
      <c r="A586" s="103"/>
      <c r="B586" s="103"/>
      <c r="C586" s="103"/>
      <c r="D586" s="103"/>
      <c r="E586" s="103"/>
      <c r="F586" s="103"/>
      <c r="G586" s="103"/>
      <c r="H586" s="103"/>
      <c r="I586" s="103"/>
      <c r="J586" s="103"/>
      <c r="K586" s="103"/>
      <c r="L586" s="103"/>
      <c r="M586" s="103"/>
      <c r="N586" s="103"/>
      <c r="O586" s="103"/>
      <c r="P586" s="103"/>
      <c r="Q586" s="103"/>
      <c r="R586" s="103"/>
      <c r="S586" s="103"/>
      <c r="T586" s="103"/>
      <c r="U586" s="103"/>
      <c r="V586" s="103"/>
      <c r="W586" s="103"/>
      <c r="X586" s="103"/>
      <c r="Y586" s="103"/>
      <c r="Z586" s="103"/>
    </row>
    <row r="587" ht="15.75" customHeight="1">
      <c r="A587" s="103"/>
      <c r="B587" s="103"/>
      <c r="C587" s="103"/>
      <c r="D587" s="103"/>
      <c r="E587" s="103"/>
      <c r="F587" s="103"/>
      <c r="G587" s="103"/>
      <c r="H587" s="103"/>
      <c r="I587" s="103"/>
      <c r="J587" s="103"/>
      <c r="K587" s="103"/>
      <c r="L587" s="103"/>
      <c r="M587" s="103"/>
      <c r="N587" s="103"/>
      <c r="O587" s="103"/>
      <c r="P587" s="103"/>
      <c r="Q587" s="103"/>
      <c r="R587" s="103"/>
      <c r="S587" s="103"/>
      <c r="T587" s="103"/>
      <c r="U587" s="103"/>
      <c r="V587" s="103"/>
      <c r="W587" s="103"/>
      <c r="X587" s="103"/>
      <c r="Y587" s="103"/>
      <c r="Z587" s="103"/>
    </row>
    <row r="588" ht="15.75" customHeight="1">
      <c r="A588" s="103"/>
      <c r="B588" s="103"/>
      <c r="C588" s="103"/>
      <c r="D588" s="103"/>
      <c r="E588" s="103"/>
      <c r="F588" s="103"/>
      <c r="G588" s="103"/>
      <c r="H588" s="103"/>
      <c r="I588" s="103"/>
      <c r="J588" s="103"/>
      <c r="K588" s="103"/>
      <c r="L588" s="103"/>
      <c r="M588" s="103"/>
      <c r="N588" s="103"/>
      <c r="O588" s="103"/>
      <c r="P588" s="103"/>
      <c r="Q588" s="103"/>
      <c r="R588" s="103"/>
      <c r="S588" s="103"/>
      <c r="T588" s="103"/>
      <c r="U588" s="103"/>
      <c r="V588" s="103"/>
      <c r="W588" s="103"/>
      <c r="X588" s="103"/>
      <c r="Y588" s="103"/>
      <c r="Z588" s="103"/>
    </row>
    <row r="589" ht="15.75" customHeight="1">
      <c r="A589" s="103"/>
      <c r="B589" s="103"/>
      <c r="C589" s="103"/>
      <c r="D589" s="103"/>
      <c r="E589" s="103"/>
      <c r="F589" s="103"/>
      <c r="G589" s="103"/>
      <c r="H589" s="103"/>
      <c r="I589" s="103"/>
      <c r="J589" s="103"/>
      <c r="K589" s="103"/>
      <c r="L589" s="103"/>
      <c r="M589" s="103"/>
      <c r="N589" s="103"/>
      <c r="O589" s="103"/>
      <c r="P589" s="103"/>
      <c r="Q589" s="103"/>
      <c r="R589" s="103"/>
      <c r="S589" s="103"/>
      <c r="T589" s="103"/>
      <c r="U589" s="103"/>
      <c r="V589" s="103"/>
      <c r="W589" s="103"/>
      <c r="X589" s="103"/>
      <c r="Y589" s="103"/>
      <c r="Z589" s="103"/>
    </row>
    <row r="590" ht="15.75" customHeight="1">
      <c r="A590" s="103"/>
      <c r="B590" s="103"/>
      <c r="C590" s="103"/>
      <c r="D590" s="103"/>
      <c r="E590" s="103"/>
      <c r="F590" s="103"/>
      <c r="G590" s="103"/>
      <c r="H590" s="103"/>
      <c r="I590" s="103"/>
      <c r="J590" s="103"/>
      <c r="K590" s="103"/>
      <c r="L590" s="103"/>
      <c r="M590" s="103"/>
      <c r="N590" s="103"/>
      <c r="O590" s="103"/>
      <c r="P590" s="103"/>
      <c r="Q590" s="103"/>
      <c r="R590" s="103"/>
      <c r="S590" s="103"/>
      <c r="T590" s="103"/>
      <c r="U590" s="103"/>
      <c r="V590" s="103"/>
      <c r="W590" s="103"/>
      <c r="X590" s="103"/>
      <c r="Y590" s="103"/>
      <c r="Z590" s="103"/>
    </row>
    <row r="591" ht="15.75" customHeight="1">
      <c r="A591" s="103"/>
      <c r="B591" s="103"/>
      <c r="C591" s="103"/>
      <c r="D591" s="103"/>
      <c r="E591" s="103"/>
      <c r="F591" s="103"/>
      <c r="G591" s="103"/>
      <c r="H591" s="103"/>
      <c r="I591" s="103"/>
      <c r="J591" s="103"/>
      <c r="K591" s="103"/>
      <c r="L591" s="103"/>
      <c r="M591" s="103"/>
      <c r="N591" s="103"/>
      <c r="O591" s="103"/>
      <c r="P591" s="103"/>
      <c r="Q591" s="103"/>
      <c r="R591" s="103"/>
      <c r="S591" s="103"/>
      <c r="T591" s="103"/>
      <c r="U591" s="103"/>
      <c r="V591" s="103"/>
      <c r="W591" s="103"/>
      <c r="X591" s="103"/>
      <c r="Y591" s="103"/>
      <c r="Z591" s="103"/>
    </row>
    <row r="592" ht="15.75" customHeight="1">
      <c r="A592" s="103"/>
      <c r="B592" s="103"/>
      <c r="C592" s="103"/>
      <c r="D592" s="103"/>
      <c r="E592" s="103"/>
      <c r="F592" s="103"/>
      <c r="G592" s="103"/>
      <c r="H592" s="103"/>
      <c r="I592" s="103"/>
      <c r="J592" s="103"/>
      <c r="K592" s="103"/>
      <c r="L592" s="103"/>
      <c r="M592" s="103"/>
      <c r="N592" s="103"/>
      <c r="O592" s="103"/>
      <c r="P592" s="103"/>
      <c r="Q592" s="103"/>
      <c r="R592" s="103"/>
      <c r="S592" s="103"/>
      <c r="T592" s="103"/>
      <c r="U592" s="103"/>
      <c r="V592" s="103"/>
      <c r="W592" s="103"/>
      <c r="X592" s="103"/>
      <c r="Y592" s="103"/>
      <c r="Z592" s="103"/>
    </row>
    <row r="593" ht="15.75" customHeight="1">
      <c r="A593" s="103"/>
      <c r="B593" s="103"/>
      <c r="C593" s="103"/>
      <c r="D593" s="103"/>
      <c r="E593" s="103"/>
      <c r="F593" s="103"/>
      <c r="G593" s="103"/>
      <c r="H593" s="103"/>
      <c r="I593" s="103"/>
      <c r="J593" s="103"/>
      <c r="K593" s="103"/>
      <c r="L593" s="103"/>
      <c r="M593" s="103"/>
      <c r="N593" s="103"/>
      <c r="O593" s="103"/>
      <c r="P593" s="103"/>
      <c r="Q593" s="103"/>
      <c r="R593" s="103"/>
      <c r="S593" s="103"/>
      <c r="T593" s="103"/>
      <c r="U593" s="103"/>
      <c r="V593" s="103"/>
      <c r="W593" s="103"/>
      <c r="X593" s="103"/>
      <c r="Y593" s="103"/>
      <c r="Z593" s="103"/>
    </row>
    <row r="594" ht="15.75" customHeight="1">
      <c r="A594" s="103"/>
      <c r="B594" s="103"/>
      <c r="C594" s="103"/>
      <c r="D594" s="103"/>
      <c r="E594" s="103"/>
      <c r="F594" s="103"/>
      <c r="G594" s="103"/>
      <c r="H594" s="103"/>
      <c r="I594" s="103"/>
      <c r="J594" s="103"/>
      <c r="K594" s="103"/>
      <c r="L594" s="103"/>
      <c r="M594" s="103"/>
      <c r="N594" s="103"/>
      <c r="O594" s="103"/>
      <c r="P594" s="103"/>
      <c r="Q594" s="103"/>
      <c r="R594" s="103"/>
      <c r="S594" s="103"/>
      <c r="T594" s="103"/>
      <c r="U594" s="103"/>
      <c r="V594" s="103"/>
      <c r="W594" s="103"/>
      <c r="X594" s="103"/>
      <c r="Y594" s="103"/>
      <c r="Z594" s="103"/>
    </row>
    <row r="595" ht="15.75" customHeight="1">
      <c r="A595" s="103"/>
      <c r="B595" s="103"/>
      <c r="C595" s="103"/>
      <c r="D595" s="103"/>
      <c r="E595" s="103"/>
      <c r="F595" s="103"/>
      <c r="G595" s="103"/>
      <c r="H595" s="103"/>
      <c r="I595" s="103"/>
      <c r="J595" s="103"/>
      <c r="K595" s="103"/>
      <c r="L595" s="103"/>
      <c r="M595" s="103"/>
      <c r="N595" s="103"/>
      <c r="O595" s="103"/>
      <c r="P595" s="103"/>
      <c r="Q595" s="103"/>
      <c r="R595" s="103"/>
      <c r="S595" s="103"/>
      <c r="T595" s="103"/>
      <c r="U595" s="103"/>
      <c r="V595" s="103"/>
      <c r="W595" s="103"/>
      <c r="X595" s="103"/>
      <c r="Y595" s="103"/>
      <c r="Z595" s="103"/>
    </row>
    <row r="596" ht="15.75" customHeight="1">
      <c r="A596" s="103"/>
      <c r="B596" s="103"/>
      <c r="C596" s="103"/>
      <c r="D596" s="103"/>
      <c r="E596" s="103"/>
      <c r="F596" s="103"/>
      <c r="G596" s="103"/>
      <c r="H596" s="103"/>
      <c r="I596" s="103"/>
      <c r="J596" s="103"/>
      <c r="K596" s="103"/>
      <c r="L596" s="103"/>
      <c r="M596" s="103"/>
      <c r="N596" s="103"/>
      <c r="O596" s="103"/>
      <c r="P596" s="103"/>
      <c r="Q596" s="103"/>
      <c r="R596" s="103"/>
      <c r="S596" s="103"/>
      <c r="T596" s="103"/>
      <c r="U596" s="103"/>
      <c r="V596" s="103"/>
      <c r="W596" s="103"/>
      <c r="X596" s="103"/>
      <c r="Y596" s="103"/>
      <c r="Z596" s="103"/>
    </row>
    <row r="597" ht="15.75" customHeight="1">
      <c r="A597" s="103"/>
      <c r="B597" s="103"/>
      <c r="C597" s="103"/>
      <c r="D597" s="103"/>
      <c r="E597" s="103"/>
      <c r="F597" s="103"/>
      <c r="G597" s="103"/>
      <c r="H597" s="103"/>
      <c r="I597" s="103"/>
      <c r="J597" s="103"/>
      <c r="K597" s="103"/>
      <c r="L597" s="103"/>
      <c r="M597" s="103"/>
      <c r="N597" s="103"/>
      <c r="O597" s="103"/>
      <c r="P597" s="103"/>
      <c r="Q597" s="103"/>
      <c r="R597" s="103"/>
      <c r="S597" s="103"/>
      <c r="T597" s="103"/>
      <c r="U597" s="103"/>
      <c r="V597" s="103"/>
      <c r="W597" s="103"/>
      <c r="X597" s="103"/>
      <c r="Y597" s="103"/>
      <c r="Z597" s="103"/>
    </row>
    <row r="598" ht="15.75" customHeight="1">
      <c r="A598" s="103"/>
      <c r="B598" s="103"/>
      <c r="C598" s="103"/>
      <c r="D598" s="103"/>
      <c r="E598" s="103"/>
      <c r="F598" s="103"/>
      <c r="G598" s="103"/>
      <c r="H598" s="103"/>
      <c r="I598" s="103"/>
      <c r="J598" s="103"/>
      <c r="K598" s="103"/>
      <c r="L598" s="103"/>
      <c r="M598" s="103"/>
      <c r="N598" s="103"/>
      <c r="O598" s="103"/>
      <c r="P598" s="103"/>
      <c r="Q598" s="103"/>
      <c r="R598" s="103"/>
      <c r="S598" s="103"/>
      <c r="T598" s="103"/>
      <c r="U598" s="103"/>
      <c r="V598" s="103"/>
      <c r="W598" s="103"/>
      <c r="X598" s="103"/>
      <c r="Y598" s="103"/>
      <c r="Z598" s="103"/>
    </row>
    <row r="599" ht="15.75" customHeight="1">
      <c r="A599" s="103"/>
      <c r="B599" s="103"/>
      <c r="C599" s="103"/>
      <c r="D599" s="103"/>
      <c r="E599" s="103"/>
      <c r="F599" s="103"/>
      <c r="G599" s="103"/>
      <c r="H599" s="103"/>
      <c r="I599" s="103"/>
      <c r="J599" s="103"/>
      <c r="K599" s="103"/>
      <c r="L599" s="103"/>
      <c r="M599" s="103"/>
      <c r="N599" s="103"/>
      <c r="O599" s="103"/>
      <c r="P599" s="103"/>
      <c r="Q599" s="103"/>
      <c r="R599" s="103"/>
      <c r="S599" s="103"/>
      <c r="T599" s="103"/>
      <c r="U599" s="103"/>
      <c r="V599" s="103"/>
      <c r="W599" s="103"/>
      <c r="X599" s="103"/>
      <c r="Y599" s="103"/>
      <c r="Z599" s="103"/>
    </row>
    <row r="600" ht="15.75" customHeight="1">
      <c r="A600" s="103"/>
      <c r="B600" s="103"/>
      <c r="C600" s="103"/>
      <c r="D600" s="103"/>
      <c r="E600" s="103"/>
      <c r="F600" s="103"/>
      <c r="G600" s="103"/>
      <c r="H600" s="103"/>
      <c r="I600" s="103"/>
      <c r="J600" s="103"/>
      <c r="K600" s="103"/>
      <c r="L600" s="103"/>
      <c r="M600" s="103"/>
      <c r="N600" s="103"/>
      <c r="O600" s="103"/>
      <c r="P600" s="103"/>
      <c r="Q600" s="103"/>
      <c r="R600" s="103"/>
      <c r="S600" s="103"/>
      <c r="T600" s="103"/>
      <c r="U600" s="103"/>
      <c r="V600" s="103"/>
      <c r="W600" s="103"/>
      <c r="X600" s="103"/>
      <c r="Y600" s="103"/>
      <c r="Z600" s="103"/>
    </row>
    <row r="601" ht="15.75" customHeight="1">
      <c r="A601" s="103"/>
      <c r="B601" s="103"/>
      <c r="C601" s="103"/>
      <c r="D601" s="103"/>
      <c r="E601" s="103"/>
      <c r="F601" s="103"/>
      <c r="G601" s="103"/>
      <c r="H601" s="103"/>
      <c r="I601" s="103"/>
      <c r="J601" s="103"/>
      <c r="K601" s="103"/>
      <c r="L601" s="103"/>
      <c r="M601" s="103"/>
      <c r="N601" s="103"/>
      <c r="O601" s="103"/>
      <c r="P601" s="103"/>
      <c r="Q601" s="103"/>
      <c r="R601" s="103"/>
      <c r="S601" s="103"/>
      <c r="T601" s="103"/>
      <c r="U601" s="103"/>
      <c r="V601" s="103"/>
      <c r="W601" s="103"/>
      <c r="X601" s="103"/>
      <c r="Y601" s="103"/>
      <c r="Z601" s="103"/>
    </row>
    <row r="602" ht="15.75" customHeight="1">
      <c r="A602" s="103"/>
      <c r="B602" s="103"/>
      <c r="C602" s="103"/>
      <c r="D602" s="103"/>
      <c r="E602" s="103"/>
      <c r="F602" s="103"/>
      <c r="G602" s="103"/>
      <c r="H602" s="103"/>
      <c r="I602" s="103"/>
      <c r="J602" s="103"/>
      <c r="K602" s="103"/>
      <c r="L602" s="103"/>
      <c r="M602" s="103"/>
      <c r="N602" s="103"/>
      <c r="O602" s="103"/>
      <c r="P602" s="103"/>
      <c r="Q602" s="103"/>
      <c r="R602" s="103"/>
      <c r="S602" s="103"/>
      <c r="T602" s="103"/>
      <c r="U602" s="103"/>
      <c r="V602" s="103"/>
      <c r="W602" s="103"/>
      <c r="X602" s="103"/>
      <c r="Y602" s="103"/>
      <c r="Z602" s="103"/>
    </row>
    <row r="603" ht="15.75" customHeight="1">
      <c r="A603" s="103"/>
      <c r="B603" s="103"/>
      <c r="C603" s="103"/>
      <c r="D603" s="103"/>
      <c r="E603" s="103"/>
      <c r="F603" s="103"/>
      <c r="G603" s="103"/>
      <c r="H603" s="103"/>
      <c r="I603" s="103"/>
      <c r="J603" s="103"/>
      <c r="K603" s="103"/>
      <c r="L603" s="103"/>
      <c r="M603" s="103"/>
      <c r="N603" s="103"/>
      <c r="O603" s="103"/>
      <c r="P603" s="103"/>
      <c r="Q603" s="103"/>
      <c r="R603" s="103"/>
      <c r="S603" s="103"/>
      <c r="T603" s="103"/>
      <c r="U603" s="103"/>
      <c r="V603" s="103"/>
      <c r="W603" s="103"/>
      <c r="X603" s="103"/>
      <c r="Y603" s="103"/>
      <c r="Z603" s="103"/>
    </row>
    <row r="604" ht="15.75" customHeight="1">
      <c r="A604" s="103"/>
      <c r="B604" s="103"/>
      <c r="C604" s="103"/>
      <c r="D604" s="103"/>
      <c r="E604" s="103"/>
      <c r="F604" s="103"/>
      <c r="G604" s="103"/>
      <c r="H604" s="103"/>
      <c r="I604" s="103"/>
      <c r="J604" s="103"/>
      <c r="K604" s="103"/>
      <c r="L604" s="103"/>
      <c r="M604" s="103"/>
      <c r="N604" s="103"/>
      <c r="O604" s="103"/>
      <c r="P604" s="103"/>
      <c r="Q604" s="103"/>
      <c r="R604" s="103"/>
      <c r="S604" s="103"/>
      <c r="T604" s="103"/>
      <c r="U604" s="103"/>
      <c r="V604" s="103"/>
      <c r="W604" s="103"/>
      <c r="X604" s="103"/>
      <c r="Y604" s="103"/>
      <c r="Z604" s="103"/>
    </row>
    <row r="605" ht="15.75" customHeight="1">
      <c r="A605" s="103"/>
      <c r="B605" s="103"/>
      <c r="C605" s="103"/>
      <c r="D605" s="103"/>
      <c r="E605" s="103"/>
      <c r="F605" s="103"/>
      <c r="G605" s="103"/>
      <c r="H605" s="103"/>
      <c r="I605" s="103"/>
      <c r="J605" s="103"/>
      <c r="K605" s="103"/>
      <c r="L605" s="103"/>
      <c r="M605" s="103"/>
      <c r="N605" s="103"/>
      <c r="O605" s="103"/>
      <c r="P605" s="103"/>
      <c r="Q605" s="103"/>
      <c r="R605" s="103"/>
      <c r="S605" s="103"/>
      <c r="T605" s="103"/>
      <c r="U605" s="103"/>
      <c r="V605" s="103"/>
      <c r="W605" s="103"/>
      <c r="X605" s="103"/>
      <c r="Y605" s="103"/>
      <c r="Z605" s="103"/>
    </row>
    <row r="606" ht="15.75" customHeight="1">
      <c r="A606" s="103"/>
      <c r="B606" s="103"/>
      <c r="C606" s="103"/>
      <c r="D606" s="103"/>
      <c r="E606" s="103"/>
      <c r="F606" s="103"/>
      <c r="G606" s="103"/>
      <c r="H606" s="103"/>
      <c r="I606" s="103"/>
      <c r="J606" s="103"/>
      <c r="K606" s="103"/>
      <c r="L606" s="103"/>
      <c r="M606" s="103"/>
      <c r="N606" s="103"/>
      <c r="O606" s="103"/>
      <c r="P606" s="103"/>
      <c r="Q606" s="103"/>
      <c r="R606" s="103"/>
      <c r="S606" s="103"/>
      <c r="T606" s="103"/>
      <c r="U606" s="103"/>
      <c r="V606" s="103"/>
      <c r="W606" s="103"/>
      <c r="X606" s="103"/>
      <c r="Y606" s="103"/>
      <c r="Z606" s="103"/>
    </row>
    <row r="607" ht="15.75" customHeight="1">
      <c r="A607" s="103"/>
      <c r="B607" s="103"/>
      <c r="C607" s="103"/>
      <c r="D607" s="103"/>
      <c r="E607" s="103"/>
      <c r="F607" s="103"/>
      <c r="G607" s="103"/>
      <c r="H607" s="103"/>
      <c r="I607" s="103"/>
      <c r="J607" s="103"/>
      <c r="K607" s="103"/>
      <c r="L607" s="103"/>
      <c r="M607" s="103"/>
      <c r="N607" s="103"/>
      <c r="O607" s="103"/>
      <c r="P607" s="103"/>
      <c r="Q607" s="103"/>
      <c r="R607" s="103"/>
      <c r="S607" s="103"/>
      <c r="T607" s="103"/>
      <c r="U607" s="103"/>
      <c r="V607" s="103"/>
      <c r="W607" s="103"/>
      <c r="X607" s="103"/>
      <c r="Y607" s="103"/>
      <c r="Z607" s="103"/>
    </row>
    <row r="608" ht="15.75" customHeight="1">
      <c r="A608" s="103"/>
      <c r="B608" s="103"/>
      <c r="C608" s="103"/>
      <c r="D608" s="103"/>
      <c r="E608" s="103"/>
      <c r="F608" s="103"/>
      <c r="G608" s="103"/>
      <c r="H608" s="103"/>
      <c r="I608" s="103"/>
      <c r="J608" s="103"/>
      <c r="K608" s="103"/>
      <c r="L608" s="103"/>
      <c r="M608" s="103"/>
      <c r="N608" s="103"/>
      <c r="O608" s="103"/>
      <c r="P608" s="103"/>
      <c r="Q608" s="103"/>
      <c r="R608" s="103"/>
      <c r="S608" s="103"/>
      <c r="T608" s="103"/>
      <c r="U608" s="103"/>
      <c r="V608" s="103"/>
      <c r="W608" s="103"/>
      <c r="X608" s="103"/>
      <c r="Y608" s="103"/>
      <c r="Z608" s="103"/>
    </row>
    <row r="609" ht="15.75" customHeight="1">
      <c r="A609" s="103"/>
      <c r="B609" s="103"/>
      <c r="C609" s="103"/>
      <c r="D609" s="103"/>
      <c r="E609" s="103"/>
      <c r="F609" s="103"/>
      <c r="G609" s="103"/>
      <c r="H609" s="103"/>
      <c r="I609" s="103"/>
      <c r="J609" s="103"/>
      <c r="K609" s="103"/>
      <c r="L609" s="103"/>
      <c r="M609" s="103"/>
      <c r="N609" s="103"/>
      <c r="O609" s="103"/>
      <c r="P609" s="103"/>
      <c r="Q609" s="103"/>
      <c r="R609" s="103"/>
      <c r="S609" s="103"/>
      <c r="T609" s="103"/>
      <c r="U609" s="103"/>
      <c r="V609" s="103"/>
      <c r="W609" s="103"/>
      <c r="X609" s="103"/>
      <c r="Y609" s="103"/>
      <c r="Z609" s="103"/>
    </row>
    <row r="610" ht="15.75" customHeight="1">
      <c r="A610" s="103"/>
      <c r="B610" s="103"/>
      <c r="C610" s="103"/>
      <c r="D610" s="103"/>
      <c r="E610" s="103"/>
      <c r="F610" s="103"/>
      <c r="G610" s="103"/>
      <c r="H610" s="103"/>
      <c r="I610" s="103"/>
      <c r="J610" s="103"/>
      <c r="K610" s="103"/>
      <c r="L610" s="103"/>
      <c r="M610" s="103"/>
      <c r="N610" s="103"/>
      <c r="O610" s="103"/>
      <c r="P610" s="103"/>
      <c r="Q610" s="103"/>
      <c r="R610" s="103"/>
      <c r="S610" s="103"/>
      <c r="T610" s="103"/>
      <c r="U610" s="103"/>
      <c r="V610" s="103"/>
      <c r="W610" s="103"/>
      <c r="X610" s="103"/>
      <c r="Y610" s="103"/>
      <c r="Z610" s="103"/>
    </row>
    <row r="611" ht="15.75" customHeight="1">
      <c r="A611" s="103"/>
      <c r="B611" s="103"/>
      <c r="C611" s="103"/>
      <c r="D611" s="103"/>
      <c r="E611" s="103"/>
      <c r="F611" s="103"/>
      <c r="G611" s="103"/>
      <c r="H611" s="103"/>
      <c r="I611" s="103"/>
      <c r="J611" s="103"/>
      <c r="K611" s="103"/>
      <c r="L611" s="103"/>
      <c r="M611" s="103"/>
      <c r="N611" s="103"/>
      <c r="O611" s="103"/>
      <c r="P611" s="103"/>
      <c r="Q611" s="103"/>
      <c r="R611" s="103"/>
      <c r="S611" s="103"/>
      <c r="T611" s="103"/>
      <c r="U611" s="103"/>
      <c r="V611" s="103"/>
      <c r="W611" s="103"/>
      <c r="X611" s="103"/>
      <c r="Y611" s="103"/>
      <c r="Z611" s="103"/>
    </row>
    <row r="612" ht="15.75" customHeight="1">
      <c r="A612" s="103"/>
      <c r="B612" s="103"/>
      <c r="C612" s="103"/>
      <c r="D612" s="103"/>
      <c r="E612" s="103"/>
      <c r="F612" s="103"/>
      <c r="G612" s="103"/>
      <c r="H612" s="103"/>
      <c r="I612" s="103"/>
      <c r="J612" s="103"/>
      <c r="K612" s="103"/>
      <c r="L612" s="103"/>
      <c r="M612" s="103"/>
      <c r="N612" s="103"/>
      <c r="O612" s="103"/>
      <c r="P612" s="103"/>
      <c r="Q612" s="103"/>
      <c r="R612" s="103"/>
      <c r="S612" s="103"/>
      <c r="T612" s="103"/>
      <c r="U612" s="103"/>
      <c r="V612" s="103"/>
      <c r="W612" s="103"/>
      <c r="X612" s="103"/>
      <c r="Y612" s="103"/>
      <c r="Z612" s="103"/>
    </row>
    <row r="613" ht="15.75" customHeight="1">
      <c r="A613" s="103"/>
      <c r="B613" s="103"/>
      <c r="C613" s="103"/>
      <c r="D613" s="103"/>
      <c r="E613" s="103"/>
      <c r="F613" s="103"/>
      <c r="G613" s="103"/>
      <c r="H613" s="103"/>
      <c r="I613" s="103"/>
      <c r="J613" s="103"/>
      <c r="K613" s="103"/>
      <c r="L613" s="103"/>
      <c r="M613" s="103"/>
      <c r="N613" s="103"/>
      <c r="O613" s="103"/>
      <c r="P613" s="103"/>
      <c r="Q613" s="103"/>
      <c r="R613" s="103"/>
      <c r="S613" s="103"/>
      <c r="T613" s="103"/>
      <c r="U613" s="103"/>
      <c r="V613" s="103"/>
      <c r="W613" s="103"/>
      <c r="X613" s="103"/>
      <c r="Y613" s="103"/>
      <c r="Z613" s="103"/>
    </row>
    <row r="614" ht="15.75" customHeight="1">
      <c r="A614" s="103"/>
      <c r="B614" s="103"/>
      <c r="C614" s="103"/>
      <c r="D614" s="103"/>
      <c r="E614" s="103"/>
      <c r="F614" s="103"/>
      <c r="G614" s="103"/>
      <c r="H614" s="103"/>
      <c r="I614" s="103"/>
      <c r="J614" s="103"/>
      <c r="K614" s="103"/>
      <c r="L614" s="103"/>
      <c r="M614" s="103"/>
      <c r="N614" s="103"/>
      <c r="O614" s="103"/>
      <c r="P614" s="103"/>
      <c r="Q614" s="103"/>
      <c r="R614" s="103"/>
      <c r="S614" s="103"/>
      <c r="T614" s="103"/>
      <c r="U614" s="103"/>
      <c r="V614" s="103"/>
      <c r="W614" s="103"/>
      <c r="X614" s="103"/>
      <c r="Y614" s="103"/>
      <c r="Z614" s="103"/>
    </row>
    <row r="615" ht="15.75" customHeight="1">
      <c r="A615" s="103"/>
      <c r="B615" s="103"/>
      <c r="C615" s="103"/>
      <c r="D615" s="103"/>
      <c r="E615" s="103"/>
      <c r="F615" s="103"/>
      <c r="G615" s="103"/>
      <c r="H615" s="103"/>
      <c r="I615" s="103"/>
      <c r="J615" s="103"/>
      <c r="K615" s="103"/>
      <c r="L615" s="103"/>
      <c r="M615" s="103"/>
      <c r="N615" s="103"/>
      <c r="O615" s="103"/>
      <c r="P615" s="103"/>
      <c r="Q615" s="103"/>
      <c r="R615" s="103"/>
      <c r="S615" s="103"/>
      <c r="T615" s="103"/>
      <c r="U615" s="103"/>
      <c r="V615" s="103"/>
      <c r="W615" s="103"/>
      <c r="X615" s="103"/>
      <c r="Y615" s="103"/>
      <c r="Z615" s="103"/>
    </row>
    <row r="616" ht="15.75" customHeight="1">
      <c r="A616" s="103"/>
      <c r="B616" s="103"/>
      <c r="C616" s="103"/>
      <c r="D616" s="103"/>
      <c r="E616" s="103"/>
      <c r="F616" s="103"/>
      <c r="G616" s="103"/>
      <c r="H616" s="103"/>
      <c r="I616" s="103"/>
      <c r="J616" s="103"/>
      <c r="K616" s="103"/>
      <c r="L616" s="103"/>
      <c r="M616" s="103"/>
      <c r="N616" s="103"/>
      <c r="O616" s="103"/>
      <c r="P616" s="103"/>
      <c r="Q616" s="103"/>
      <c r="R616" s="103"/>
      <c r="S616" s="103"/>
      <c r="T616" s="103"/>
      <c r="U616" s="103"/>
      <c r="V616" s="103"/>
      <c r="W616" s="103"/>
      <c r="X616" s="103"/>
      <c r="Y616" s="103"/>
      <c r="Z616" s="103"/>
    </row>
    <row r="617" ht="15.75" customHeight="1">
      <c r="A617" s="103"/>
      <c r="B617" s="103"/>
      <c r="C617" s="103"/>
      <c r="D617" s="103"/>
      <c r="E617" s="103"/>
      <c r="F617" s="103"/>
      <c r="G617" s="103"/>
      <c r="H617" s="103"/>
      <c r="I617" s="103"/>
      <c r="J617" s="103"/>
      <c r="K617" s="103"/>
      <c r="L617" s="103"/>
      <c r="M617" s="103"/>
      <c r="N617" s="103"/>
      <c r="O617" s="103"/>
      <c r="P617" s="103"/>
      <c r="Q617" s="103"/>
      <c r="R617" s="103"/>
      <c r="S617" s="103"/>
      <c r="T617" s="103"/>
      <c r="U617" s="103"/>
      <c r="V617" s="103"/>
      <c r="W617" s="103"/>
      <c r="X617" s="103"/>
      <c r="Y617" s="103"/>
      <c r="Z617" s="103"/>
    </row>
    <row r="618" ht="15.75" customHeight="1">
      <c r="A618" s="103"/>
      <c r="B618" s="103"/>
      <c r="C618" s="103"/>
      <c r="D618" s="103"/>
      <c r="E618" s="103"/>
      <c r="F618" s="103"/>
      <c r="G618" s="103"/>
      <c r="H618" s="103"/>
      <c r="I618" s="103"/>
      <c r="J618" s="103"/>
      <c r="K618" s="103"/>
      <c r="L618" s="103"/>
      <c r="M618" s="103"/>
      <c r="N618" s="103"/>
      <c r="O618" s="103"/>
      <c r="P618" s="103"/>
      <c r="Q618" s="103"/>
      <c r="R618" s="103"/>
      <c r="S618" s="103"/>
      <c r="T618" s="103"/>
      <c r="U618" s="103"/>
      <c r="V618" s="103"/>
      <c r="W618" s="103"/>
      <c r="X618" s="103"/>
      <c r="Y618" s="103"/>
      <c r="Z618" s="103"/>
    </row>
    <row r="619" ht="15.75" customHeight="1">
      <c r="A619" s="103"/>
      <c r="B619" s="103"/>
      <c r="C619" s="103"/>
      <c r="D619" s="103"/>
      <c r="E619" s="103"/>
      <c r="F619" s="103"/>
      <c r="G619" s="103"/>
      <c r="H619" s="103"/>
      <c r="I619" s="103"/>
      <c r="J619" s="103"/>
      <c r="K619" s="103"/>
      <c r="L619" s="103"/>
      <c r="M619" s="103"/>
      <c r="N619" s="103"/>
      <c r="O619" s="103"/>
      <c r="P619" s="103"/>
      <c r="Q619" s="103"/>
      <c r="R619" s="103"/>
      <c r="S619" s="103"/>
      <c r="T619" s="103"/>
      <c r="U619" s="103"/>
      <c r="V619" s="103"/>
      <c r="W619" s="103"/>
      <c r="X619" s="103"/>
      <c r="Y619" s="103"/>
      <c r="Z619" s="103"/>
    </row>
    <row r="620" ht="15.75" customHeight="1">
      <c r="A620" s="103"/>
      <c r="B620" s="103"/>
      <c r="C620" s="103"/>
      <c r="D620" s="103"/>
      <c r="E620" s="103"/>
      <c r="F620" s="103"/>
      <c r="G620" s="103"/>
      <c r="H620" s="103"/>
      <c r="I620" s="103"/>
      <c r="J620" s="103"/>
      <c r="K620" s="103"/>
      <c r="L620" s="103"/>
      <c r="M620" s="103"/>
      <c r="N620" s="103"/>
      <c r="O620" s="103"/>
      <c r="P620" s="103"/>
      <c r="Q620" s="103"/>
      <c r="R620" s="103"/>
      <c r="S620" s="103"/>
      <c r="T620" s="103"/>
      <c r="U620" s="103"/>
      <c r="V620" s="103"/>
      <c r="W620" s="103"/>
      <c r="X620" s="103"/>
      <c r="Y620" s="103"/>
      <c r="Z620" s="103"/>
    </row>
    <row r="621" ht="15.75" customHeight="1">
      <c r="A621" s="103"/>
      <c r="B621" s="103"/>
      <c r="C621" s="103"/>
      <c r="D621" s="103"/>
      <c r="E621" s="103"/>
      <c r="F621" s="103"/>
      <c r="G621" s="103"/>
      <c r="H621" s="103"/>
      <c r="I621" s="103"/>
      <c r="J621" s="103"/>
      <c r="K621" s="103"/>
      <c r="L621" s="103"/>
      <c r="M621" s="103"/>
      <c r="N621" s="103"/>
      <c r="O621" s="103"/>
      <c r="P621" s="103"/>
      <c r="Q621" s="103"/>
      <c r="R621" s="103"/>
      <c r="S621" s="103"/>
      <c r="T621" s="103"/>
      <c r="U621" s="103"/>
      <c r="V621" s="103"/>
      <c r="W621" s="103"/>
      <c r="X621" s="103"/>
      <c r="Y621" s="103"/>
      <c r="Z621" s="103"/>
    </row>
    <row r="622" ht="15.75" customHeight="1">
      <c r="A622" s="103"/>
      <c r="B622" s="103"/>
      <c r="C622" s="103"/>
      <c r="D622" s="103"/>
      <c r="E622" s="103"/>
      <c r="F622" s="103"/>
      <c r="G622" s="103"/>
      <c r="H622" s="103"/>
      <c r="I622" s="103"/>
      <c r="J622" s="103"/>
      <c r="K622" s="103"/>
      <c r="L622" s="103"/>
      <c r="M622" s="103"/>
      <c r="N622" s="103"/>
      <c r="O622" s="103"/>
      <c r="P622" s="103"/>
      <c r="Q622" s="103"/>
      <c r="R622" s="103"/>
      <c r="S622" s="103"/>
      <c r="T622" s="103"/>
      <c r="U622" s="103"/>
      <c r="V622" s="103"/>
      <c r="W622" s="103"/>
      <c r="X622" s="103"/>
      <c r="Y622" s="103"/>
      <c r="Z622" s="103"/>
    </row>
    <row r="623" ht="15.75" customHeight="1">
      <c r="A623" s="103"/>
      <c r="B623" s="103"/>
      <c r="C623" s="103"/>
      <c r="D623" s="103"/>
      <c r="E623" s="103"/>
      <c r="F623" s="103"/>
      <c r="G623" s="103"/>
      <c r="H623" s="103"/>
      <c r="I623" s="103"/>
      <c r="J623" s="103"/>
      <c r="K623" s="103"/>
      <c r="L623" s="103"/>
      <c r="M623" s="103"/>
      <c r="N623" s="103"/>
      <c r="O623" s="103"/>
      <c r="P623" s="103"/>
      <c r="Q623" s="103"/>
      <c r="R623" s="103"/>
      <c r="S623" s="103"/>
      <c r="T623" s="103"/>
      <c r="U623" s="103"/>
      <c r="V623" s="103"/>
      <c r="W623" s="103"/>
      <c r="X623" s="103"/>
      <c r="Y623" s="103"/>
      <c r="Z623" s="103"/>
    </row>
    <row r="624" ht="15.75" customHeight="1">
      <c r="A624" s="103"/>
      <c r="B624" s="103"/>
      <c r="C624" s="103"/>
      <c r="D624" s="103"/>
      <c r="E624" s="103"/>
      <c r="F624" s="103"/>
      <c r="G624" s="103"/>
      <c r="H624" s="103"/>
      <c r="I624" s="103"/>
      <c r="J624" s="103"/>
      <c r="K624" s="103"/>
      <c r="L624" s="103"/>
      <c r="M624" s="103"/>
      <c r="N624" s="103"/>
      <c r="O624" s="103"/>
      <c r="P624" s="103"/>
      <c r="Q624" s="103"/>
      <c r="R624" s="103"/>
      <c r="S624" s="103"/>
      <c r="T624" s="103"/>
      <c r="U624" s="103"/>
      <c r="V624" s="103"/>
      <c r="W624" s="103"/>
      <c r="X624" s="103"/>
      <c r="Y624" s="103"/>
      <c r="Z624" s="103"/>
    </row>
    <row r="625" ht="15.75" customHeight="1">
      <c r="A625" s="103"/>
      <c r="B625" s="103"/>
      <c r="C625" s="103"/>
      <c r="D625" s="103"/>
      <c r="E625" s="103"/>
      <c r="F625" s="103"/>
      <c r="G625" s="103"/>
      <c r="H625" s="103"/>
      <c r="I625" s="103"/>
      <c r="J625" s="103"/>
      <c r="K625" s="103"/>
      <c r="L625" s="103"/>
      <c r="M625" s="103"/>
      <c r="N625" s="103"/>
      <c r="O625" s="103"/>
      <c r="P625" s="103"/>
      <c r="Q625" s="103"/>
      <c r="R625" s="103"/>
      <c r="S625" s="103"/>
      <c r="T625" s="103"/>
      <c r="U625" s="103"/>
      <c r="V625" s="103"/>
      <c r="W625" s="103"/>
      <c r="X625" s="103"/>
      <c r="Y625" s="103"/>
      <c r="Z625" s="103"/>
    </row>
    <row r="626" ht="15.75" customHeight="1">
      <c r="A626" s="103"/>
      <c r="B626" s="103"/>
      <c r="C626" s="103"/>
      <c r="D626" s="103"/>
      <c r="E626" s="103"/>
      <c r="F626" s="103"/>
      <c r="G626" s="103"/>
      <c r="H626" s="103"/>
      <c r="I626" s="103"/>
      <c r="J626" s="103"/>
      <c r="K626" s="103"/>
      <c r="L626" s="103"/>
      <c r="M626" s="103"/>
      <c r="N626" s="103"/>
      <c r="O626" s="103"/>
      <c r="P626" s="103"/>
      <c r="Q626" s="103"/>
      <c r="R626" s="103"/>
      <c r="S626" s="103"/>
      <c r="T626" s="103"/>
      <c r="U626" s="103"/>
      <c r="V626" s="103"/>
      <c r="W626" s="103"/>
      <c r="X626" s="103"/>
      <c r="Y626" s="103"/>
      <c r="Z626" s="103"/>
    </row>
    <row r="627" ht="15.75" customHeight="1">
      <c r="A627" s="103"/>
      <c r="B627" s="103"/>
      <c r="C627" s="103"/>
      <c r="D627" s="103"/>
      <c r="E627" s="103"/>
      <c r="F627" s="103"/>
      <c r="G627" s="103"/>
      <c r="H627" s="103"/>
      <c r="I627" s="103"/>
      <c r="J627" s="103"/>
      <c r="K627" s="103"/>
      <c r="L627" s="103"/>
      <c r="M627" s="103"/>
      <c r="N627" s="103"/>
      <c r="O627" s="103"/>
      <c r="P627" s="103"/>
      <c r="Q627" s="103"/>
      <c r="R627" s="103"/>
      <c r="S627" s="103"/>
      <c r="T627" s="103"/>
      <c r="U627" s="103"/>
      <c r="V627" s="103"/>
      <c r="W627" s="103"/>
      <c r="X627" s="103"/>
      <c r="Y627" s="103"/>
      <c r="Z627" s="103"/>
    </row>
    <row r="628" ht="15.75" customHeight="1">
      <c r="A628" s="103"/>
      <c r="B628" s="103"/>
      <c r="C628" s="103"/>
      <c r="D628" s="103"/>
      <c r="E628" s="103"/>
      <c r="F628" s="103"/>
      <c r="G628" s="103"/>
      <c r="H628" s="103"/>
      <c r="I628" s="103"/>
      <c r="J628" s="103"/>
      <c r="K628" s="103"/>
      <c r="L628" s="103"/>
      <c r="M628" s="103"/>
      <c r="N628" s="103"/>
      <c r="O628" s="103"/>
      <c r="P628" s="103"/>
      <c r="Q628" s="103"/>
      <c r="R628" s="103"/>
      <c r="S628" s="103"/>
      <c r="T628" s="103"/>
      <c r="U628" s="103"/>
      <c r="V628" s="103"/>
      <c r="W628" s="103"/>
      <c r="X628" s="103"/>
      <c r="Y628" s="103"/>
      <c r="Z628" s="103"/>
    </row>
    <row r="629" ht="15.75" customHeight="1">
      <c r="A629" s="103"/>
      <c r="B629" s="103"/>
      <c r="C629" s="103"/>
      <c r="D629" s="103"/>
      <c r="E629" s="103"/>
      <c r="F629" s="103"/>
      <c r="G629" s="103"/>
      <c r="H629" s="103"/>
      <c r="I629" s="103"/>
      <c r="J629" s="103"/>
      <c r="K629" s="103"/>
      <c r="L629" s="103"/>
      <c r="M629" s="103"/>
      <c r="N629" s="103"/>
      <c r="O629" s="103"/>
      <c r="P629" s="103"/>
      <c r="Q629" s="103"/>
      <c r="R629" s="103"/>
      <c r="S629" s="103"/>
      <c r="T629" s="103"/>
      <c r="U629" s="103"/>
      <c r="V629" s="103"/>
      <c r="W629" s="103"/>
      <c r="X629" s="103"/>
      <c r="Y629" s="103"/>
      <c r="Z629" s="103"/>
    </row>
    <row r="630" ht="15.75" customHeight="1">
      <c r="A630" s="103"/>
      <c r="B630" s="103"/>
      <c r="C630" s="103"/>
      <c r="D630" s="103"/>
      <c r="E630" s="103"/>
      <c r="F630" s="103"/>
      <c r="G630" s="103"/>
      <c r="H630" s="103"/>
      <c r="I630" s="103"/>
      <c r="J630" s="103"/>
      <c r="K630" s="103"/>
      <c r="L630" s="103"/>
      <c r="M630" s="103"/>
      <c r="N630" s="103"/>
      <c r="O630" s="103"/>
      <c r="P630" s="103"/>
      <c r="Q630" s="103"/>
      <c r="R630" s="103"/>
      <c r="S630" s="103"/>
      <c r="T630" s="103"/>
      <c r="U630" s="103"/>
      <c r="V630" s="103"/>
      <c r="W630" s="103"/>
      <c r="X630" s="103"/>
      <c r="Y630" s="103"/>
      <c r="Z630" s="103"/>
    </row>
    <row r="631" ht="15.75" customHeight="1">
      <c r="A631" s="103"/>
      <c r="B631" s="103"/>
      <c r="C631" s="103"/>
      <c r="D631" s="103"/>
      <c r="E631" s="103"/>
      <c r="F631" s="103"/>
      <c r="G631" s="103"/>
      <c r="H631" s="103"/>
      <c r="I631" s="103"/>
      <c r="J631" s="103"/>
      <c r="K631" s="103"/>
      <c r="L631" s="103"/>
      <c r="M631" s="103"/>
      <c r="N631" s="103"/>
      <c r="O631" s="103"/>
      <c r="P631" s="103"/>
      <c r="Q631" s="103"/>
      <c r="R631" s="103"/>
      <c r="S631" s="103"/>
      <c r="T631" s="103"/>
      <c r="U631" s="103"/>
      <c r="V631" s="103"/>
      <c r="W631" s="103"/>
      <c r="X631" s="103"/>
      <c r="Y631" s="103"/>
      <c r="Z631" s="103"/>
    </row>
    <row r="632" ht="15.75" customHeight="1">
      <c r="A632" s="103"/>
      <c r="B632" s="103"/>
      <c r="C632" s="103"/>
      <c r="D632" s="103"/>
      <c r="E632" s="103"/>
      <c r="F632" s="103"/>
      <c r="G632" s="103"/>
      <c r="H632" s="103"/>
      <c r="I632" s="103"/>
      <c r="J632" s="103"/>
      <c r="K632" s="103"/>
      <c r="L632" s="103"/>
      <c r="M632" s="103"/>
      <c r="N632" s="103"/>
      <c r="O632" s="103"/>
      <c r="P632" s="103"/>
      <c r="Q632" s="103"/>
      <c r="R632" s="103"/>
      <c r="S632" s="103"/>
      <c r="T632" s="103"/>
      <c r="U632" s="103"/>
      <c r="V632" s="103"/>
      <c r="W632" s="103"/>
      <c r="X632" s="103"/>
      <c r="Y632" s="103"/>
      <c r="Z632" s="103"/>
    </row>
    <row r="633" ht="15.75" customHeight="1">
      <c r="A633" s="103"/>
      <c r="B633" s="103"/>
      <c r="C633" s="103"/>
      <c r="D633" s="103"/>
      <c r="E633" s="103"/>
      <c r="F633" s="103"/>
      <c r="G633" s="103"/>
      <c r="H633" s="103"/>
      <c r="I633" s="103"/>
      <c r="J633" s="103"/>
      <c r="K633" s="103"/>
      <c r="L633" s="103"/>
      <c r="M633" s="103"/>
      <c r="N633" s="103"/>
      <c r="O633" s="103"/>
      <c r="P633" s="103"/>
      <c r="Q633" s="103"/>
      <c r="R633" s="103"/>
      <c r="S633" s="103"/>
      <c r="T633" s="103"/>
      <c r="U633" s="103"/>
      <c r="V633" s="103"/>
      <c r="W633" s="103"/>
      <c r="X633" s="103"/>
      <c r="Y633" s="103"/>
      <c r="Z633" s="103"/>
    </row>
    <row r="634" ht="15.75" customHeight="1">
      <c r="A634" s="103"/>
      <c r="B634" s="103"/>
      <c r="C634" s="103"/>
      <c r="D634" s="103"/>
      <c r="E634" s="103"/>
      <c r="F634" s="103"/>
      <c r="G634" s="103"/>
      <c r="H634" s="103"/>
      <c r="I634" s="103"/>
      <c r="J634" s="103"/>
      <c r="K634" s="103"/>
      <c r="L634" s="103"/>
      <c r="M634" s="103"/>
      <c r="N634" s="103"/>
      <c r="O634" s="103"/>
      <c r="P634" s="103"/>
      <c r="Q634" s="103"/>
      <c r="R634" s="103"/>
      <c r="S634" s="103"/>
      <c r="T634" s="103"/>
      <c r="U634" s="103"/>
      <c r="V634" s="103"/>
      <c r="W634" s="103"/>
      <c r="X634" s="103"/>
      <c r="Y634" s="103"/>
      <c r="Z634" s="103"/>
    </row>
    <row r="635" ht="15.75" customHeight="1">
      <c r="A635" s="103"/>
      <c r="B635" s="103"/>
      <c r="C635" s="103"/>
      <c r="D635" s="103"/>
      <c r="E635" s="103"/>
      <c r="F635" s="103"/>
      <c r="G635" s="103"/>
      <c r="H635" s="103"/>
      <c r="I635" s="103"/>
      <c r="J635" s="103"/>
      <c r="K635" s="103"/>
      <c r="L635" s="103"/>
      <c r="M635" s="103"/>
      <c r="N635" s="103"/>
      <c r="O635" s="103"/>
      <c r="P635" s="103"/>
      <c r="Q635" s="103"/>
      <c r="R635" s="103"/>
      <c r="S635" s="103"/>
      <c r="T635" s="103"/>
      <c r="U635" s="103"/>
      <c r="V635" s="103"/>
      <c r="W635" s="103"/>
      <c r="X635" s="103"/>
      <c r="Y635" s="103"/>
      <c r="Z635" s="103"/>
    </row>
    <row r="636" ht="15.75" customHeight="1">
      <c r="A636" s="103"/>
      <c r="B636" s="103"/>
      <c r="C636" s="103"/>
      <c r="D636" s="103"/>
      <c r="E636" s="103"/>
      <c r="F636" s="103"/>
      <c r="G636" s="103"/>
      <c r="H636" s="103"/>
      <c r="I636" s="103"/>
      <c r="J636" s="103"/>
      <c r="K636" s="103"/>
      <c r="L636" s="103"/>
      <c r="M636" s="103"/>
      <c r="N636" s="103"/>
      <c r="O636" s="103"/>
      <c r="P636" s="103"/>
      <c r="Q636" s="103"/>
      <c r="R636" s="103"/>
      <c r="S636" s="103"/>
      <c r="T636" s="103"/>
      <c r="U636" s="103"/>
      <c r="V636" s="103"/>
      <c r="W636" s="103"/>
      <c r="X636" s="103"/>
      <c r="Y636" s="103"/>
      <c r="Z636" s="103"/>
    </row>
    <row r="637" ht="15.75" customHeight="1">
      <c r="A637" s="103"/>
      <c r="B637" s="103"/>
      <c r="C637" s="103"/>
      <c r="D637" s="103"/>
      <c r="E637" s="103"/>
      <c r="F637" s="103"/>
      <c r="G637" s="103"/>
      <c r="H637" s="103"/>
      <c r="I637" s="103"/>
      <c r="J637" s="103"/>
      <c r="K637" s="103"/>
      <c r="L637" s="103"/>
      <c r="M637" s="103"/>
      <c r="N637" s="103"/>
      <c r="O637" s="103"/>
      <c r="P637" s="103"/>
      <c r="Q637" s="103"/>
      <c r="R637" s="103"/>
      <c r="S637" s="103"/>
      <c r="T637" s="103"/>
      <c r="U637" s="103"/>
      <c r="V637" s="103"/>
      <c r="W637" s="103"/>
      <c r="X637" s="103"/>
      <c r="Y637" s="103"/>
      <c r="Z637" s="103"/>
    </row>
    <row r="638" ht="15.75" customHeight="1">
      <c r="A638" s="103"/>
      <c r="B638" s="103"/>
      <c r="C638" s="103"/>
      <c r="D638" s="103"/>
      <c r="E638" s="103"/>
      <c r="F638" s="103"/>
      <c r="G638" s="103"/>
      <c r="H638" s="103"/>
      <c r="I638" s="103"/>
      <c r="J638" s="103"/>
      <c r="K638" s="103"/>
      <c r="L638" s="103"/>
      <c r="M638" s="103"/>
      <c r="N638" s="103"/>
      <c r="O638" s="103"/>
      <c r="P638" s="103"/>
      <c r="Q638" s="103"/>
      <c r="R638" s="103"/>
      <c r="S638" s="103"/>
      <c r="T638" s="103"/>
      <c r="U638" s="103"/>
      <c r="V638" s="103"/>
      <c r="W638" s="103"/>
      <c r="X638" s="103"/>
      <c r="Y638" s="103"/>
      <c r="Z638" s="103"/>
    </row>
    <row r="639" ht="15.75" customHeight="1">
      <c r="A639" s="103"/>
      <c r="B639" s="103"/>
      <c r="C639" s="103"/>
      <c r="D639" s="103"/>
      <c r="E639" s="103"/>
      <c r="F639" s="103"/>
      <c r="G639" s="103"/>
      <c r="H639" s="103"/>
      <c r="I639" s="103"/>
      <c r="J639" s="103"/>
      <c r="K639" s="103"/>
      <c r="L639" s="103"/>
      <c r="M639" s="103"/>
      <c r="N639" s="103"/>
      <c r="O639" s="103"/>
      <c r="P639" s="103"/>
      <c r="Q639" s="103"/>
      <c r="R639" s="103"/>
      <c r="S639" s="103"/>
      <c r="T639" s="103"/>
      <c r="U639" s="103"/>
      <c r="V639" s="103"/>
      <c r="W639" s="103"/>
      <c r="X639" s="103"/>
      <c r="Y639" s="103"/>
      <c r="Z639" s="103"/>
    </row>
    <row r="640" ht="15.75" customHeight="1">
      <c r="A640" s="103"/>
      <c r="B640" s="103"/>
      <c r="C640" s="103"/>
      <c r="D640" s="103"/>
      <c r="E640" s="103"/>
      <c r="F640" s="103"/>
      <c r="G640" s="103"/>
      <c r="H640" s="103"/>
      <c r="I640" s="103"/>
      <c r="J640" s="103"/>
      <c r="K640" s="103"/>
      <c r="L640" s="103"/>
      <c r="M640" s="103"/>
      <c r="N640" s="103"/>
      <c r="O640" s="103"/>
      <c r="P640" s="103"/>
      <c r="Q640" s="103"/>
      <c r="R640" s="103"/>
      <c r="S640" s="103"/>
      <c r="T640" s="103"/>
      <c r="U640" s="103"/>
      <c r="V640" s="103"/>
      <c r="W640" s="103"/>
      <c r="X640" s="103"/>
      <c r="Y640" s="103"/>
      <c r="Z640" s="103"/>
    </row>
    <row r="641" ht="15.75" customHeight="1">
      <c r="A641" s="103"/>
      <c r="B641" s="103"/>
      <c r="C641" s="103"/>
      <c r="D641" s="103"/>
      <c r="E641" s="103"/>
      <c r="F641" s="103"/>
      <c r="G641" s="103"/>
      <c r="H641" s="103"/>
      <c r="I641" s="103"/>
      <c r="J641" s="103"/>
      <c r="K641" s="103"/>
      <c r="L641" s="103"/>
      <c r="M641" s="103"/>
      <c r="N641" s="103"/>
      <c r="O641" s="103"/>
      <c r="P641" s="103"/>
      <c r="Q641" s="103"/>
      <c r="R641" s="103"/>
      <c r="S641" s="103"/>
      <c r="T641" s="103"/>
      <c r="U641" s="103"/>
      <c r="V641" s="103"/>
      <c r="W641" s="103"/>
      <c r="X641" s="103"/>
      <c r="Y641" s="103"/>
      <c r="Z641" s="103"/>
    </row>
    <row r="642" ht="15.75" customHeight="1">
      <c r="A642" s="103"/>
      <c r="B642" s="103"/>
      <c r="C642" s="103"/>
      <c r="D642" s="103"/>
      <c r="E642" s="103"/>
      <c r="F642" s="103"/>
      <c r="G642" s="103"/>
      <c r="H642" s="103"/>
      <c r="I642" s="103"/>
      <c r="J642" s="103"/>
      <c r="K642" s="103"/>
      <c r="L642" s="103"/>
      <c r="M642" s="103"/>
      <c r="N642" s="103"/>
      <c r="O642" s="103"/>
      <c r="P642" s="103"/>
      <c r="Q642" s="103"/>
      <c r="R642" s="103"/>
      <c r="S642" s="103"/>
      <c r="T642" s="103"/>
      <c r="U642" s="103"/>
      <c r="V642" s="103"/>
      <c r="W642" s="103"/>
      <c r="X642" s="103"/>
      <c r="Y642" s="103"/>
      <c r="Z642" s="103"/>
    </row>
    <row r="643" ht="15.75" customHeight="1">
      <c r="A643" s="103"/>
      <c r="B643" s="103"/>
      <c r="C643" s="103"/>
      <c r="D643" s="103"/>
      <c r="E643" s="103"/>
      <c r="F643" s="103"/>
      <c r="G643" s="103"/>
      <c r="H643" s="103"/>
      <c r="I643" s="103"/>
      <c r="J643" s="103"/>
      <c r="K643" s="103"/>
      <c r="L643" s="103"/>
      <c r="M643" s="103"/>
      <c r="N643" s="103"/>
      <c r="O643" s="103"/>
      <c r="P643" s="103"/>
      <c r="Q643" s="103"/>
      <c r="R643" s="103"/>
      <c r="S643" s="103"/>
      <c r="T643" s="103"/>
      <c r="U643" s="103"/>
      <c r="V643" s="103"/>
      <c r="W643" s="103"/>
      <c r="X643" s="103"/>
      <c r="Y643" s="103"/>
      <c r="Z643" s="103"/>
    </row>
    <row r="644" ht="15.75" customHeight="1">
      <c r="A644" s="103"/>
      <c r="B644" s="103"/>
      <c r="C644" s="103"/>
      <c r="D644" s="103"/>
      <c r="E644" s="103"/>
      <c r="F644" s="103"/>
      <c r="G644" s="103"/>
      <c r="H644" s="103"/>
      <c r="I644" s="103"/>
      <c r="J644" s="103"/>
      <c r="K644" s="103"/>
      <c r="L644" s="103"/>
      <c r="M644" s="103"/>
      <c r="N644" s="103"/>
      <c r="O644" s="103"/>
      <c r="P644" s="103"/>
      <c r="Q644" s="103"/>
      <c r="R644" s="103"/>
      <c r="S644" s="103"/>
      <c r="T644" s="103"/>
      <c r="U644" s="103"/>
      <c r="V644" s="103"/>
      <c r="W644" s="103"/>
      <c r="X644" s="103"/>
      <c r="Y644" s="103"/>
      <c r="Z644" s="103"/>
    </row>
    <row r="645" ht="15.75" customHeight="1">
      <c r="A645" s="103"/>
      <c r="B645" s="103"/>
      <c r="C645" s="103"/>
      <c r="D645" s="103"/>
      <c r="E645" s="103"/>
      <c r="F645" s="103"/>
      <c r="G645" s="103"/>
      <c r="H645" s="103"/>
      <c r="I645" s="103"/>
      <c r="J645" s="103"/>
      <c r="K645" s="103"/>
      <c r="L645" s="103"/>
      <c r="M645" s="103"/>
      <c r="N645" s="103"/>
      <c r="O645" s="103"/>
      <c r="P645" s="103"/>
      <c r="Q645" s="103"/>
      <c r="R645" s="103"/>
      <c r="S645" s="103"/>
      <c r="T645" s="103"/>
      <c r="U645" s="103"/>
      <c r="V645" s="103"/>
      <c r="W645" s="103"/>
      <c r="X645" s="103"/>
      <c r="Y645" s="103"/>
      <c r="Z645" s="103"/>
    </row>
    <row r="646" ht="15.75" customHeight="1">
      <c r="A646" s="103"/>
      <c r="B646" s="103"/>
      <c r="C646" s="103"/>
      <c r="D646" s="103"/>
      <c r="E646" s="103"/>
      <c r="F646" s="103"/>
      <c r="G646" s="103"/>
      <c r="H646" s="103"/>
      <c r="I646" s="103"/>
      <c r="J646" s="103"/>
      <c r="K646" s="103"/>
      <c r="L646" s="103"/>
      <c r="M646" s="103"/>
      <c r="N646" s="103"/>
      <c r="O646" s="103"/>
      <c r="P646" s="103"/>
      <c r="Q646" s="103"/>
      <c r="R646" s="103"/>
      <c r="S646" s="103"/>
      <c r="T646" s="103"/>
      <c r="U646" s="103"/>
      <c r="V646" s="103"/>
      <c r="W646" s="103"/>
      <c r="X646" s="103"/>
      <c r="Y646" s="103"/>
      <c r="Z646" s="103"/>
    </row>
    <row r="647" ht="15.75" customHeight="1">
      <c r="A647" s="103"/>
      <c r="B647" s="103"/>
      <c r="C647" s="103"/>
      <c r="D647" s="103"/>
      <c r="E647" s="103"/>
      <c r="F647" s="103"/>
      <c r="G647" s="103"/>
      <c r="H647" s="103"/>
      <c r="I647" s="103"/>
      <c r="J647" s="103"/>
      <c r="K647" s="103"/>
      <c r="L647" s="103"/>
      <c r="M647" s="103"/>
      <c r="N647" s="103"/>
      <c r="O647" s="103"/>
      <c r="P647" s="103"/>
      <c r="Q647" s="103"/>
      <c r="R647" s="103"/>
      <c r="S647" s="103"/>
      <c r="T647" s="103"/>
      <c r="U647" s="103"/>
      <c r="V647" s="103"/>
      <c r="W647" s="103"/>
      <c r="X647" s="103"/>
      <c r="Y647" s="103"/>
      <c r="Z647" s="103"/>
    </row>
    <row r="648" ht="15.75" customHeight="1">
      <c r="A648" s="103"/>
      <c r="B648" s="103"/>
      <c r="C648" s="103"/>
      <c r="D648" s="103"/>
      <c r="E648" s="103"/>
      <c r="F648" s="103"/>
      <c r="G648" s="103"/>
      <c r="H648" s="103"/>
      <c r="I648" s="103"/>
      <c r="J648" s="103"/>
      <c r="K648" s="103"/>
      <c r="L648" s="103"/>
      <c r="M648" s="103"/>
      <c r="N648" s="103"/>
      <c r="O648" s="103"/>
      <c r="P648" s="103"/>
      <c r="Q648" s="103"/>
      <c r="R648" s="103"/>
      <c r="S648" s="103"/>
      <c r="T648" s="103"/>
      <c r="U648" s="103"/>
      <c r="V648" s="103"/>
      <c r="W648" s="103"/>
      <c r="X648" s="103"/>
      <c r="Y648" s="103"/>
      <c r="Z648" s="103"/>
    </row>
    <row r="649" ht="15.75" customHeight="1">
      <c r="A649" s="103"/>
      <c r="B649" s="103"/>
      <c r="C649" s="103"/>
      <c r="D649" s="103"/>
      <c r="E649" s="103"/>
      <c r="F649" s="103"/>
      <c r="G649" s="103"/>
      <c r="H649" s="103"/>
      <c r="I649" s="103"/>
      <c r="J649" s="103"/>
      <c r="K649" s="103"/>
      <c r="L649" s="103"/>
      <c r="M649" s="103"/>
      <c r="N649" s="103"/>
      <c r="O649" s="103"/>
      <c r="P649" s="103"/>
      <c r="Q649" s="103"/>
      <c r="R649" s="103"/>
      <c r="S649" s="103"/>
      <c r="T649" s="103"/>
      <c r="U649" s="103"/>
      <c r="V649" s="103"/>
      <c r="W649" s="103"/>
      <c r="X649" s="103"/>
      <c r="Y649" s="103"/>
      <c r="Z649" s="103"/>
    </row>
    <row r="650" ht="15.75" customHeight="1">
      <c r="A650" s="103"/>
      <c r="B650" s="103"/>
      <c r="C650" s="103"/>
      <c r="D650" s="103"/>
      <c r="E650" s="103"/>
      <c r="F650" s="103"/>
      <c r="G650" s="103"/>
      <c r="H650" s="103"/>
      <c r="I650" s="103"/>
      <c r="J650" s="103"/>
      <c r="K650" s="103"/>
      <c r="L650" s="103"/>
      <c r="M650" s="103"/>
      <c r="N650" s="103"/>
      <c r="O650" s="103"/>
      <c r="P650" s="103"/>
      <c r="Q650" s="103"/>
      <c r="R650" s="103"/>
      <c r="S650" s="103"/>
      <c r="T650" s="103"/>
      <c r="U650" s="103"/>
      <c r="V650" s="103"/>
      <c r="W650" s="103"/>
      <c r="X650" s="103"/>
      <c r="Y650" s="103"/>
      <c r="Z650" s="103"/>
    </row>
    <row r="651" ht="15.75" customHeight="1">
      <c r="A651" s="103"/>
      <c r="B651" s="103"/>
      <c r="C651" s="103"/>
      <c r="D651" s="103"/>
      <c r="E651" s="103"/>
      <c r="F651" s="103"/>
      <c r="G651" s="103"/>
      <c r="H651" s="103"/>
      <c r="I651" s="103"/>
      <c r="J651" s="103"/>
      <c r="K651" s="103"/>
      <c r="L651" s="103"/>
      <c r="M651" s="103"/>
      <c r="N651" s="103"/>
      <c r="O651" s="103"/>
      <c r="P651" s="103"/>
      <c r="Q651" s="103"/>
      <c r="R651" s="103"/>
      <c r="S651" s="103"/>
      <c r="T651" s="103"/>
      <c r="U651" s="103"/>
      <c r="V651" s="103"/>
      <c r="W651" s="103"/>
      <c r="X651" s="103"/>
      <c r="Y651" s="103"/>
      <c r="Z651" s="103"/>
    </row>
    <row r="652" ht="15.75" customHeight="1">
      <c r="A652" s="103"/>
      <c r="B652" s="103"/>
      <c r="C652" s="103"/>
      <c r="D652" s="103"/>
      <c r="E652" s="103"/>
      <c r="F652" s="103"/>
      <c r="G652" s="103"/>
      <c r="H652" s="103"/>
      <c r="I652" s="103"/>
      <c r="J652" s="103"/>
      <c r="K652" s="103"/>
      <c r="L652" s="103"/>
      <c r="M652" s="103"/>
      <c r="N652" s="103"/>
      <c r="O652" s="103"/>
      <c r="P652" s="103"/>
      <c r="Q652" s="103"/>
      <c r="R652" s="103"/>
      <c r="S652" s="103"/>
      <c r="T652" s="103"/>
      <c r="U652" s="103"/>
      <c r="V652" s="103"/>
      <c r="W652" s="103"/>
      <c r="X652" s="103"/>
      <c r="Y652" s="103"/>
      <c r="Z652" s="103"/>
    </row>
    <row r="653" ht="15.75" customHeight="1">
      <c r="A653" s="103"/>
      <c r="B653" s="103"/>
      <c r="C653" s="103"/>
      <c r="D653" s="103"/>
      <c r="E653" s="103"/>
      <c r="F653" s="103"/>
      <c r="G653" s="103"/>
      <c r="H653" s="103"/>
      <c r="I653" s="103"/>
      <c r="J653" s="103"/>
      <c r="K653" s="103"/>
      <c r="L653" s="103"/>
      <c r="M653" s="103"/>
      <c r="N653" s="103"/>
      <c r="O653" s="103"/>
      <c r="P653" s="103"/>
      <c r="Q653" s="103"/>
      <c r="R653" s="103"/>
      <c r="S653" s="103"/>
      <c r="T653" s="103"/>
      <c r="U653" s="103"/>
      <c r="V653" s="103"/>
      <c r="W653" s="103"/>
      <c r="X653" s="103"/>
      <c r="Y653" s="103"/>
      <c r="Z653" s="103"/>
    </row>
    <row r="654" ht="15.75" customHeight="1">
      <c r="A654" s="103"/>
      <c r="B654" s="103"/>
      <c r="C654" s="103"/>
      <c r="D654" s="103"/>
      <c r="E654" s="103"/>
      <c r="F654" s="103"/>
      <c r="G654" s="103"/>
      <c r="H654" s="103"/>
      <c r="I654" s="103"/>
      <c r="J654" s="103"/>
      <c r="K654" s="103"/>
      <c r="L654" s="103"/>
      <c r="M654" s="103"/>
      <c r="N654" s="103"/>
      <c r="O654" s="103"/>
      <c r="P654" s="103"/>
      <c r="Q654" s="103"/>
      <c r="R654" s="103"/>
      <c r="S654" s="103"/>
      <c r="T654" s="103"/>
      <c r="U654" s="103"/>
      <c r="V654" s="103"/>
      <c r="W654" s="103"/>
      <c r="X654" s="103"/>
      <c r="Y654" s="103"/>
      <c r="Z654" s="103"/>
    </row>
    <row r="655" ht="15.75" customHeight="1">
      <c r="A655" s="103"/>
      <c r="B655" s="103"/>
      <c r="C655" s="103"/>
      <c r="D655" s="103"/>
      <c r="E655" s="103"/>
      <c r="F655" s="103"/>
      <c r="G655" s="103"/>
      <c r="H655" s="103"/>
      <c r="I655" s="103"/>
      <c r="J655" s="103"/>
      <c r="K655" s="103"/>
      <c r="L655" s="103"/>
      <c r="M655" s="103"/>
      <c r="N655" s="103"/>
      <c r="O655" s="103"/>
      <c r="P655" s="103"/>
      <c r="Q655" s="103"/>
      <c r="R655" s="103"/>
      <c r="S655" s="103"/>
      <c r="T655" s="103"/>
      <c r="U655" s="103"/>
      <c r="V655" s="103"/>
      <c r="W655" s="103"/>
      <c r="X655" s="103"/>
      <c r="Y655" s="103"/>
      <c r="Z655" s="103"/>
    </row>
    <row r="656" ht="15.75" customHeight="1">
      <c r="A656" s="103"/>
      <c r="B656" s="103"/>
      <c r="C656" s="103"/>
      <c r="D656" s="103"/>
      <c r="E656" s="103"/>
      <c r="F656" s="103"/>
      <c r="G656" s="103"/>
      <c r="H656" s="103"/>
      <c r="I656" s="103"/>
      <c r="J656" s="103"/>
      <c r="K656" s="103"/>
      <c r="L656" s="103"/>
      <c r="M656" s="103"/>
      <c r="N656" s="103"/>
      <c r="O656" s="103"/>
      <c r="P656" s="103"/>
      <c r="Q656" s="103"/>
      <c r="R656" s="103"/>
      <c r="S656" s="103"/>
      <c r="T656" s="103"/>
      <c r="U656" s="103"/>
      <c r="V656" s="103"/>
      <c r="W656" s="103"/>
      <c r="X656" s="103"/>
      <c r="Y656" s="103"/>
      <c r="Z656" s="103"/>
    </row>
    <row r="657" ht="15.75" customHeight="1">
      <c r="A657" s="103"/>
      <c r="B657" s="103"/>
      <c r="C657" s="103"/>
      <c r="D657" s="103"/>
      <c r="E657" s="103"/>
      <c r="F657" s="103"/>
      <c r="G657" s="103"/>
      <c r="H657" s="103"/>
      <c r="I657" s="103"/>
      <c r="J657" s="103"/>
      <c r="K657" s="103"/>
      <c r="L657" s="103"/>
      <c r="M657" s="103"/>
      <c r="N657" s="103"/>
      <c r="O657" s="103"/>
      <c r="P657" s="103"/>
      <c r="Q657" s="103"/>
      <c r="R657" s="103"/>
      <c r="S657" s="103"/>
      <c r="T657" s="103"/>
      <c r="U657" s="103"/>
      <c r="V657" s="103"/>
      <c r="W657" s="103"/>
      <c r="X657" s="103"/>
      <c r="Y657" s="103"/>
      <c r="Z657" s="103"/>
    </row>
    <row r="658" ht="15.75" customHeight="1">
      <c r="A658" s="103"/>
      <c r="B658" s="103"/>
      <c r="C658" s="103"/>
      <c r="D658" s="103"/>
      <c r="E658" s="103"/>
      <c r="F658" s="103"/>
      <c r="G658" s="103"/>
      <c r="H658" s="103"/>
      <c r="I658" s="103"/>
      <c r="J658" s="103"/>
      <c r="K658" s="103"/>
      <c r="L658" s="103"/>
      <c r="M658" s="103"/>
      <c r="N658" s="103"/>
      <c r="O658" s="103"/>
      <c r="P658" s="103"/>
      <c r="Q658" s="103"/>
      <c r="R658" s="103"/>
      <c r="S658" s="103"/>
      <c r="T658" s="103"/>
      <c r="U658" s="103"/>
      <c r="V658" s="103"/>
      <c r="W658" s="103"/>
      <c r="X658" s="103"/>
      <c r="Y658" s="103"/>
      <c r="Z658" s="103"/>
    </row>
    <row r="659" ht="15.75" customHeight="1">
      <c r="A659" s="103"/>
      <c r="B659" s="103"/>
      <c r="C659" s="103"/>
      <c r="D659" s="103"/>
      <c r="E659" s="103"/>
      <c r="F659" s="103"/>
      <c r="G659" s="103"/>
      <c r="H659" s="103"/>
      <c r="I659" s="103"/>
      <c r="J659" s="103"/>
      <c r="K659" s="103"/>
      <c r="L659" s="103"/>
      <c r="M659" s="103"/>
      <c r="N659" s="103"/>
      <c r="O659" s="103"/>
      <c r="P659" s="103"/>
      <c r="Q659" s="103"/>
      <c r="R659" s="103"/>
      <c r="S659" s="103"/>
      <c r="T659" s="103"/>
      <c r="U659" s="103"/>
      <c r="V659" s="103"/>
      <c r="W659" s="103"/>
      <c r="X659" s="103"/>
      <c r="Y659" s="103"/>
      <c r="Z659" s="103"/>
    </row>
    <row r="660" ht="15.75" customHeight="1">
      <c r="A660" s="103"/>
      <c r="B660" s="103"/>
      <c r="C660" s="103"/>
      <c r="D660" s="103"/>
      <c r="E660" s="103"/>
      <c r="F660" s="103"/>
      <c r="G660" s="103"/>
      <c r="H660" s="103"/>
      <c r="I660" s="103"/>
      <c r="J660" s="103"/>
      <c r="K660" s="103"/>
      <c r="L660" s="103"/>
      <c r="M660" s="103"/>
      <c r="N660" s="103"/>
      <c r="O660" s="103"/>
      <c r="P660" s="103"/>
      <c r="Q660" s="103"/>
      <c r="R660" s="103"/>
      <c r="S660" s="103"/>
      <c r="T660" s="103"/>
      <c r="U660" s="103"/>
      <c r="V660" s="103"/>
      <c r="W660" s="103"/>
      <c r="X660" s="103"/>
      <c r="Y660" s="103"/>
      <c r="Z660" s="103"/>
    </row>
    <row r="661" ht="15.75" customHeight="1">
      <c r="A661" s="103"/>
      <c r="B661" s="103"/>
      <c r="C661" s="103"/>
      <c r="D661" s="103"/>
      <c r="E661" s="103"/>
      <c r="F661" s="103"/>
      <c r="G661" s="103"/>
      <c r="H661" s="103"/>
      <c r="I661" s="103"/>
      <c r="J661" s="103"/>
      <c r="K661" s="103"/>
      <c r="L661" s="103"/>
      <c r="M661" s="103"/>
      <c r="N661" s="103"/>
      <c r="O661" s="103"/>
      <c r="P661" s="103"/>
      <c r="Q661" s="103"/>
      <c r="R661" s="103"/>
      <c r="S661" s="103"/>
      <c r="T661" s="103"/>
      <c r="U661" s="103"/>
      <c r="V661" s="103"/>
      <c r="W661" s="103"/>
      <c r="X661" s="103"/>
      <c r="Y661" s="103"/>
      <c r="Z661" s="103"/>
    </row>
    <row r="662" ht="15.75" customHeight="1">
      <c r="A662" s="103"/>
      <c r="B662" s="103"/>
      <c r="C662" s="103"/>
      <c r="D662" s="103"/>
      <c r="E662" s="103"/>
      <c r="F662" s="103"/>
      <c r="G662" s="103"/>
      <c r="H662" s="103"/>
      <c r="I662" s="103"/>
      <c r="J662" s="103"/>
      <c r="K662" s="103"/>
      <c r="L662" s="103"/>
      <c r="M662" s="103"/>
      <c r="N662" s="103"/>
      <c r="O662" s="103"/>
      <c r="P662" s="103"/>
      <c r="Q662" s="103"/>
      <c r="R662" s="103"/>
      <c r="S662" s="103"/>
      <c r="T662" s="103"/>
      <c r="U662" s="103"/>
      <c r="V662" s="103"/>
      <c r="W662" s="103"/>
      <c r="X662" s="103"/>
      <c r="Y662" s="103"/>
      <c r="Z662" s="103"/>
    </row>
    <row r="663" ht="15.75" customHeight="1">
      <c r="A663" s="103"/>
      <c r="B663" s="103"/>
      <c r="C663" s="103"/>
      <c r="D663" s="103"/>
      <c r="E663" s="103"/>
      <c r="F663" s="103"/>
      <c r="G663" s="103"/>
      <c r="H663" s="103"/>
      <c r="I663" s="103"/>
      <c r="J663" s="103"/>
      <c r="K663" s="103"/>
      <c r="L663" s="103"/>
      <c r="M663" s="103"/>
      <c r="N663" s="103"/>
      <c r="O663" s="103"/>
      <c r="P663" s="103"/>
      <c r="Q663" s="103"/>
      <c r="R663" s="103"/>
      <c r="S663" s="103"/>
      <c r="T663" s="103"/>
      <c r="U663" s="103"/>
      <c r="V663" s="103"/>
      <c r="W663" s="103"/>
      <c r="X663" s="103"/>
      <c r="Y663" s="103"/>
      <c r="Z663" s="103"/>
    </row>
    <row r="664" ht="15.75" customHeight="1">
      <c r="A664" s="103"/>
      <c r="B664" s="103"/>
      <c r="C664" s="103"/>
      <c r="D664" s="103"/>
      <c r="E664" s="103"/>
      <c r="F664" s="103"/>
      <c r="G664" s="103"/>
      <c r="H664" s="103"/>
      <c r="I664" s="103"/>
      <c r="J664" s="103"/>
      <c r="K664" s="103"/>
      <c r="L664" s="103"/>
      <c r="M664" s="103"/>
      <c r="N664" s="103"/>
      <c r="O664" s="103"/>
      <c r="P664" s="103"/>
      <c r="Q664" s="103"/>
      <c r="R664" s="103"/>
      <c r="S664" s="103"/>
      <c r="T664" s="103"/>
      <c r="U664" s="103"/>
      <c r="V664" s="103"/>
      <c r="W664" s="103"/>
      <c r="X664" s="103"/>
      <c r="Y664" s="103"/>
      <c r="Z664" s="103"/>
    </row>
    <row r="665" ht="15.75" customHeight="1">
      <c r="A665" s="103"/>
      <c r="B665" s="103"/>
      <c r="C665" s="103"/>
      <c r="D665" s="103"/>
      <c r="E665" s="103"/>
      <c r="F665" s="103"/>
      <c r="G665" s="103"/>
      <c r="H665" s="103"/>
      <c r="I665" s="103"/>
      <c r="J665" s="103"/>
      <c r="K665" s="103"/>
      <c r="L665" s="103"/>
      <c r="M665" s="103"/>
      <c r="N665" s="103"/>
      <c r="O665" s="103"/>
      <c r="P665" s="103"/>
      <c r="Q665" s="103"/>
      <c r="R665" s="103"/>
      <c r="S665" s="103"/>
      <c r="T665" s="103"/>
      <c r="U665" s="103"/>
      <c r="V665" s="103"/>
      <c r="W665" s="103"/>
      <c r="X665" s="103"/>
      <c r="Y665" s="103"/>
      <c r="Z665" s="103"/>
    </row>
    <row r="666" ht="15.75" customHeight="1">
      <c r="A666" s="103"/>
      <c r="B666" s="103"/>
      <c r="C666" s="103"/>
      <c r="D666" s="103"/>
      <c r="E666" s="103"/>
      <c r="F666" s="103"/>
      <c r="G666" s="103"/>
      <c r="H666" s="103"/>
      <c r="I666" s="103"/>
      <c r="J666" s="103"/>
      <c r="K666" s="103"/>
      <c r="L666" s="103"/>
      <c r="M666" s="103"/>
      <c r="N666" s="103"/>
      <c r="O666" s="103"/>
      <c r="P666" s="103"/>
      <c r="Q666" s="103"/>
      <c r="R666" s="103"/>
      <c r="S666" s="103"/>
      <c r="T666" s="103"/>
      <c r="U666" s="103"/>
      <c r="V666" s="103"/>
      <c r="W666" s="103"/>
      <c r="X666" s="103"/>
      <c r="Y666" s="103"/>
      <c r="Z666" s="103"/>
    </row>
    <row r="667" ht="15.75" customHeight="1">
      <c r="A667" s="103"/>
      <c r="B667" s="103"/>
      <c r="C667" s="103"/>
      <c r="D667" s="103"/>
      <c r="E667" s="103"/>
      <c r="F667" s="103"/>
      <c r="G667" s="103"/>
      <c r="H667" s="103"/>
      <c r="I667" s="103"/>
      <c r="J667" s="103"/>
      <c r="K667" s="103"/>
      <c r="L667" s="103"/>
      <c r="M667" s="103"/>
      <c r="N667" s="103"/>
      <c r="O667" s="103"/>
      <c r="P667" s="103"/>
      <c r="Q667" s="103"/>
      <c r="R667" s="103"/>
      <c r="S667" s="103"/>
      <c r="T667" s="103"/>
      <c r="U667" s="103"/>
      <c r="V667" s="103"/>
      <c r="W667" s="103"/>
      <c r="X667" s="103"/>
      <c r="Y667" s="103"/>
      <c r="Z667" s="103"/>
    </row>
    <row r="668" ht="15.75" customHeight="1">
      <c r="A668" s="103"/>
      <c r="B668" s="103"/>
      <c r="C668" s="103"/>
      <c r="D668" s="103"/>
      <c r="E668" s="103"/>
      <c r="F668" s="103"/>
      <c r="G668" s="103"/>
      <c r="H668" s="103"/>
      <c r="I668" s="103"/>
      <c r="J668" s="103"/>
      <c r="K668" s="103"/>
      <c r="L668" s="103"/>
      <c r="M668" s="103"/>
      <c r="N668" s="103"/>
      <c r="O668" s="103"/>
      <c r="P668" s="103"/>
      <c r="Q668" s="103"/>
      <c r="R668" s="103"/>
      <c r="S668" s="103"/>
      <c r="T668" s="103"/>
      <c r="U668" s="103"/>
      <c r="V668" s="103"/>
      <c r="W668" s="103"/>
      <c r="X668" s="103"/>
      <c r="Y668" s="103"/>
      <c r="Z668" s="103"/>
    </row>
    <row r="669" ht="15.75" customHeight="1">
      <c r="A669" s="103"/>
      <c r="B669" s="103"/>
      <c r="C669" s="103"/>
      <c r="D669" s="103"/>
      <c r="E669" s="103"/>
      <c r="F669" s="103"/>
      <c r="G669" s="103"/>
      <c r="H669" s="103"/>
      <c r="I669" s="103"/>
      <c r="J669" s="103"/>
      <c r="K669" s="103"/>
      <c r="L669" s="103"/>
      <c r="M669" s="103"/>
      <c r="N669" s="103"/>
      <c r="O669" s="103"/>
      <c r="P669" s="103"/>
      <c r="Q669" s="103"/>
      <c r="R669" s="103"/>
      <c r="S669" s="103"/>
      <c r="T669" s="103"/>
      <c r="U669" s="103"/>
      <c r="V669" s="103"/>
      <c r="W669" s="103"/>
      <c r="X669" s="103"/>
      <c r="Y669" s="103"/>
      <c r="Z669" s="103"/>
    </row>
    <row r="670" ht="15.75" customHeight="1">
      <c r="A670" s="103"/>
      <c r="B670" s="103"/>
      <c r="C670" s="103"/>
      <c r="D670" s="103"/>
      <c r="E670" s="103"/>
      <c r="F670" s="103"/>
      <c r="G670" s="103"/>
      <c r="H670" s="103"/>
      <c r="I670" s="103"/>
      <c r="J670" s="103"/>
      <c r="K670" s="103"/>
      <c r="L670" s="103"/>
      <c r="M670" s="103"/>
      <c r="N670" s="103"/>
      <c r="O670" s="103"/>
      <c r="P670" s="103"/>
      <c r="Q670" s="103"/>
      <c r="R670" s="103"/>
      <c r="S670" s="103"/>
      <c r="T670" s="103"/>
      <c r="U670" s="103"/>
      <c r="V670" s="103"/>
      <c r="W670" s="103"/>
      <c r="X670" s="103"/>
      <c r="Y670" s="103"/>
      <c r="Z670" s="103"/>
    </row>
    <row r="671" ht="15.75" customHeight="1">
      <c r="A671" s="103"/>
      <c r="B671" s="103"/>
      <c r="C671" s="103"/>
      <c r="D671" s="103"/>
      <c r="E671" s="103"/>
      <c r="F671" s="103"/>
      <c r="G671" s="103"/>
      <c r="H671" s="103"/>
      <c r="I671" s="103"/>
      <c r="J671" s="103"/>
      <c r="K671" s="103"/>
      <c r="L671" s="103"/>
      <c r="M671" s="103"/>
      <c r="N671" s="103"/>
      <c r="O671" s="103"/>
      <c r="P671" s="103"/>
      <c r="Q671" s="103"/>
      <c r="R671" s="103"/>
      <c r="S671" s="103"/>
      <c r="T671" s="103"/>
      <c r="U671" s="103"/>
      <c r="V671" s="103"/>
      <c r="W671" s="103"/>
      <c r="X671" s="103"/>
      <c r="Y671" s="103"/>
      <c r="Z671" s="103"/>
    </row>
    <row r="672" ht="15.75" customHeight="1">
      <c r="A672" s="103"/>
      <c r="B672" s="103"/>
      <c r="C672" s="103"/>
      <c r="D672" s="103"/>
      <c r="E672" s="103"/>
      <c r="F672" s="103"/>
      <c r="G672" s="103"/>
      <c r="H672" s="103"/>
      <c r="I672" s="103"/>
      <c r="J672" s="103"/>
      <c r="K672" s="103"/>
      <c r="L672" s="103"/>
      <c r="M672" s="103"/>
      <c r="N672" s="103"/>
      <c r="O672" s="103"/>
      <c r="P672" s="103"/>
      <c r="Q672" s="103"/>
      <c r="R672" s="103"/>
      <c r="S672" s="103"/>
      <c r="T672" s="103"/>
      <c r="U672" s="103"/>
      <c r="V672" s="103"/>
      <c r="W672" s="103"/>
      <c r="X672" s="103"/>
      <c r="Y672" s="103"/>
      <c r="Z672" s="103"/>
    </row>
    <row r="673" ht="15.75" customHeight="1">
      <c r="A673" s="103"/>
      <c r="B673" s="103"/>
      <c r="C673" s="103"/>
      <c r="D673" s="103"/>
      <c r="E673" s="103"/>
      <c r="F673" s="103"/>
      <c r="G673" s="103"/>
      <c r="H673" s="103"/>
      <c r="I673" s="103"/>
      <c r="J673" s="103"/>
      <c r="K673" s="103"/>
      <c r="L673" s="103"/>
      <c r="M673" s="103"/>
      <c r="N673" s="103"/>
      <c r="O673" s="103"/>
      <c r="P673" s="103"/>
      <c r="Q673" s="103"/>
      <c r="R673" s="103"/>
      <c r="S673" s="103"/>
      <c r="T673" s="103"/>
      <c r="U673" s="103"/>
      <c r="V673" s="103"/>
      <c r="W673" s="103"/>
      <c r="X673" s="103"/>
      <c r="Y673" s="103"/>
      <c r="Z673" s="103"/>
    </row>
    <row r="674" ht="15.75" customHeight="1">
      <c r="A674" s="103"/>
      <c r="B674" s="103"/>
      <c r="C674" s="103"/>
      <c r="D674" s="103"/>
      <c r="E674" s="103"/>
      <c r="F674" s="103"/>
      <c r="G674" s="103"/>
      <c r="H674" s="103"/>
      <c r="I674" s="103"/>
      <c r="J674" s="103"/>
      <c r="K674" s="103"/>
      <c r="L674" s="103"/>
      <c r="M674" s="103"/>
      <c r="N674" s="103"/>
      <c r="O674" s="103"/>
      <c r="P674" s="103"/>
      <c r="Q674" s="103"/>
      <c r="R674" s="103"/>
      <c r="S674" s="103"/>
      <c r="T674" s="103"/>
      <c r="U674" s="103"/>
      <c r="V674" s="103"/>
      <c r="W674" s="103"/>
      <c r="X674" s="103"/>
      <c r="Y674" s="103"/>
      <c r="Z674" s="103"/>
    </row>
    <row r="675" ht="15.75" customHeight="1">
      <c r="A675" s="103"/>
      <c r="B675" s="103"/>
      <c r="C675" s="103"/>
      <c r="D675" s="103"/>
      <c r="E675" s="103"/>
      <c r="F675" s="103"/>
      <c r="G675" s="103"/>
      <c r="H675" s="103"/>
      <c r="I675" s="103"/>
      <c r="J675" s="103"/>
      <c r="K675" s="103"/>
      <c r="L675" s="103"/>
      <c r="M675" s="103"/>
      <c r="N675" s="103"/>
      <c r="O675" s="103"/>
      <c r="P675" s="103"/>
      <c r="Q675" s="103"/>
      <c r="R675" s="103"/>
      <c r="S675" s="103"/>
      <c r="T675" s="103"/>
      <c r="U675" s="103"/>
      <c r="V675" s="103"/>
      <c r="W675" s="103"/>
      <c r="X675" s="103"/>
      <c r="Y675" s="103"/>
      <c r="Z675" s="103"/>
    </row>
    <row r="676" ht="15.75" customHeight="1">
      <c r="A676" s="103"/>
      <c r="B676" s="103"/>
      <c r="C676" s="103"/>
      <c r="D676" s="103"/>
      <c r="E676" s="103"/>
      <c r="F676" s="103"/>
      <c r="G676" s="103"/>
      <c r="H676" s="103"/>
      <c r="I676" s="103"/>
      <c r="J676" s="103"/>
      <c r="K676" s="103"/>
      <c r="L676" s="103"/>
      <c r="M676" s="103"/>
      <c r="N676" s="103"/>
      <c r="O676" s="103"/>
      <c r="P676" s="103"/>
      <c r="Q676" s="103"/>
      <c r="R676" s="103"/>
      <c r="S676" s="103"/>
      <c r="T676" s="103"/>
      <c r="U676" s="103"/>
      <c r="V676" s="103"/>
      <c r="W676" s="103"/>
      <c r="X676" s="103"/>
      <c r="Y676" s="103"/>
      <c r="Z676" s="103"/>
    </row>
    <row r="677" ht="15.75" customHeight="1">
      <c r="A677" s="103"/>
      <c r="B677" s="103"/>
      <c r="C677" s="103"/>
      <c r="D677" s="103"/>
      <c r="E677" s="103"/>
      <c r="F677" s="103"/>
      <c r="G677" s="103"/>
      <c r="H677" s="103"/>
      <c r="I677" s="103"/>
      <c r="J677" s="103"/>
      <c r="K677" s="103"/>
      <c r="L677" s="103"/>
      <c r="M677" s="103"/>
      <c r="N677" s="103"/>
      <c r="O677" s="103"/>
      <c r="P677" s="103"/>
      <c r="Q677" s="103"/>
      <c r="R677" s="103"/>
      <c r="S677" s="103"/>
      <c r="T677" s="103"/>
      <c r="U677" s="103"/>
      <c r="V677" s="103"/>
      <c r="W677" s="103"/>
      <c r="X677" s="103"/>
      <c r="Y677" s="103"/>
      <c r="Z677" s="103"/>
    </row>
    <row r="678" ht="15.75" customHeight="1">
      <c r="A678" s="103"/>
      <c r="B678" s="103"/>
      <c r="C678" s="103"/>
      <c r="D678" s="103"/>
      <c r="E678" s="103"/>
      <c r="F678" s="103"/>
      <c r="G678" s="103"/>
      <c r="H678" s="103"/>
      <c r="I678" s="103"/>
      <c r="J678" s="103"/>
      <c r="K678" s="103"/>
      <c r="L678" s="103"/>
      <c r="M678" s="103"/>
      <c r="N678" s="103"/>
      <c r="O678" s="103"/>
      <c r="P678" s="103"/>
      <c r="Q678" s="103"/>
      <c r="R678" s="103"/>
      <c r="S678" s="103"/>
      <c r="T678" s="103"/>
      <c r="U678" s="103"/>
      <c r="V678" s="103"/>
      <c r="W678" s="103"/>
      <c r="X678" s="103"/>
      <c r="Y678" s="103"/>
      <c r="Z678" s="103"/>
    </row>
    <row r="679" ht="15.75" customHeight="1">
      <c r="A679" s="103"/>
      <c r="B679" s="103"/>
      <c r="C679" s="103"/>
      <c r="D679" s="103"/>
      <c r="E679" s="103"/>
      <c r="F679" s="103"/>
      <c r="G679" s="103"/>
      <c r="H679" s="103"/>
      <c r="I679" s="103"/>
      <c r="J679" s="103"/>
      <c r="K679" s="103"/>
      <c r="L679" s="103"/>
      <c r="M679" s="103"/>
      <c r="N679" s="103"/>
      <c r="O679" s="103"/>
      <c r="P679" s="103"/>
      <c r="Q679" s="103"/>
      <c r="R679" s="103"/>
      <c r="S679" s="103"/>
      <c r="T679" s="103"/>
      <c r="U679" s="103"/>
      <c r="V679" s="103"/>
      <c r="W679" s="103"/>
      <c r="X679" s="103"/>
      <c r="Y679" s="103"/>
      <c r="Z679" s="103"/>
    </row>
    <row r="680" ht="15.75" customHeight="1">
      <c r="A680" s="103"/>
      <c r="B680" s="103"/>
      <c r="C680" s="103"/>
      <c r="D680" s="103"/>
      <c r="E680" s="103"/>
      <c r="F680" s="103"/>
      <c r="G680" s="103"/>
      <c r="H680" s="103"/>
      <c r="I680" s="103"/>
      <c r="J680" s="103"/>
      <c r="K680" s="103"/>
      <c r="L680" s="103"/>
      <c r="M680" s="103"/>
      <c r="N680" s="103"/>
      <c r="O680" s="103"/>
      <c r="P680" s="103"/>
      <c r="Q680" s="103"/>
      <c r="R680" s="103"/>
      <c r="S680" s="103"/>
      <c r="T680" s="103"/>
      <c r="U680" s="103"/>
      <c r="V680" s="103"/>
      <c r="W680" s="103"/>
      <c r="X680" s="103"/>
      <c r="Y680" s="103"/>
      <c r="Z680" s="103"/>
    </row>
    <row r="681" ht="15.75" customHeight="1">
      <c r="A681" s="103"/>
      <c r="B681" s="103"/>
      <c r="C681" s="103"/>
      <c r="D681" s="103"/>
      <c r="E681" s="103"/>
      <c r="F681" s="103"/>
      <c r="G681" s="103"/>
      <c r="H681" s="103"/>
      <c r="I681" s="103"/>
      <c r="J681" s="103"/>
      <c r="K681" s="103"/>
      <c r="L681" s="103"/>
      <c r="M681" s="103"/>
      <c r="N681" s="103"/>
      <c r="O681" s="103"/>
      <c r="P681" s="103"/>
      <c r="Q681" s="103"/>
      <c r="R681" s="103"/>
      <c r="S681" s="103"/>
      <c r="T681" s="103"/>
      <c r="U681" s="103"/>
      <c r="V681" s="103"/>
      <c r="W681" s="103"/>
      <c r="X681" s="103"/>
      <c r="Y681" s="103"/>
      <c r="Z681" s="103"/>
    </row>
    <row r="682" ht="15.75" customHeight="1">
      <c r="A682" s="103"/>
      <c r="B682" s="103"/>
      <c r="C682" s="103"/>
      <c r="D682" s="103"/>
      <c r="E682" s="103"/>
      <c r="F682" s="103"/>
      <c r="G682" s="103"/>
      <c r="H682" s="103"/>
      <c r="I682" s="103"/>
      <c r="J682" s="103"/>
      <c r="K682" s="103"/>
      <c r="L682" s="103"/>
      <c r="M682" s="103"/>
      <c r="N682" s="103"/>
      <c r="O682" s="103"/>
      <c r="P682" s="103"/>
      <c r="Q682" s="103"/>
      <c r="R682" s="103"/>
      <c r="S682" s="103"/>
      <c r="T682" s="103"/>
      <c r="U682" s="103"/>
      <c r="V682" s="103"/>
      <c r="W682" s="103"/>
      <c r="X682" s="103"/>
      <c r="Y682" s="103"/>
      <c r="Z682" s="103"/>
    </row>
    <row r="683" ht="15.75" customHeight="1">
      <c r="A683" s="103"/>
      <c r="B683" s="103"/>
      <c r="C683" s="103"/>
      <c r="D683" s="103"/>
      <c r="E683" s="103"/>
      <c r="F683" s="103"/>
      <c r="G683" s="103"/>
      <c r="H683" s="103"/>
      <c r="I683" s="103"/>
      <c r="J683" s="103"/>
      <c r="K683" s="103"/>
      <c r="L683" s="103"/>
      <c r="M683" s="103"/>
      <c r="N683" s="103"/>
      <c r="O683" s="103"/>
      <c r="P683" s="103"/>
      <c r="Q683" s="103"/>
      <c r="R683" s="103"/>
      <c r="S683" s="103"/>
      <c r="T683" s="103"/>
      <c r="U683" s="103"/>
      <c r="V683" s="103"/>
      <c r="W683" s="103"/>
      <c r="X683" s="103"/>
      <c r="Y683" s="103"/>
      <c r="Z683" s="103"/>
    </row>
    <row r="684" ht="15.75" customHeight="1">
      <c r="A684" s="103"/>
      <c r="B684" s="103"/>
      <c r="C684" s="103"/>
      <c r="D684" s="103"/>
      <c r="E684" s="103"/>
      <c r="F684" s="103"/>
      <c r="G684" s="103"/>
      <c r="H684" s="103"/>
      <c r="I684" s="103"/>
      <c r="J684" s="103"/>
      <c r="K684" s="103"/>
      <c r="L684" s="103"/>
      <c r="M684" s="103"/>
      <c r="N684" s="103"/>
      <c r="O684" s="103"/>
      <c r="P684" s="103"/>
      <c r="Q684" s="103"/>
      <c r="R684" s="103"/>
      <c r="S684" s="103"/>
      <c r="T684" s="103"/>
      <c r="U684" s="103"/>
      <c r="V684" s="103"/>
      <c r="W684" s="103"/>
      <c r="X684" s="103"/>
      <c r="Y684" s="103"/>
      <c r="Z684" s="103"/>
    </row>
    <row r="685" ht="15.75" customHeight="1">
      <c r="A685" s="103"/>
      <c r="B685" s="103"/>
      <c r="C685" s="103"/>
      <c r="D685" s="103"/>
      <c r="E685" s="103"/>
      <c r="F685" s="103"/>
      <c r="G685" s="103"/>
      <c r="H685" s="103"/>
      <c r="I685" s="103"/>
      <c r="J685" s="103"/>
      <c r="K685" s="103"/>
      <c r="L685" s="103"/>
      <c r="M685" s="103"/>
      <c r="N685" s="103"/>
      <c r="O685" s="103"/>
      <c r="P685" s="103"/>
      <c r="Q685" s="103"/>
      <c r="R685" s="103"/>
      <c r="S685" s="103"/>
      <c r="T685" s="103"/>
      <c r="U685" s="103"/>
      <c r="V685" s="103"/>
      <c r="W685" s="103"/>
      <c r="X685" s="103"/>
      <c r="Y685" s="103"/>
      <c r="Z685" s="103"/>
    </row>
    <row r="686" ht="15.75" customHeight="1">
      <c r="A686" s="103"/>
      <c r="B686" s="103"/>
      <c r="C686" s="103"/>
      <c r="D686" s="103"/>
      <c r="E686" s="103"/>
      <c r="F686" s="103"/>
      <c r="G686" s="103"/>
      <c r="H686" s="103"/>
      <c r="I686" s="103"/>
      <c r="J686" s="103"/>
      <c r="K686" s="103"/>
      <c r="L686" s="103"/>
      <c r="M686" s="103"/>
      <c r="N686" s="103"/>
      <c r="O686" s="103"/>
      <c r="P686" s="103"/>
      <c r="Q686" s="103"/>
      <c r="R686" s="103"/>
      <c r="S686" s="103"/>
      <c r="T686" s="103"/>
      <c r="U686" s="103"/>
      <c r="V686" s="103"/>
      <c r="W686" s="103"/>
      <c r="X686" s="103"/>
      <c r="Y686" s="103"/>
      <c r="Z686" s="103"/>
    </row>
    <row r="687" ht="15.75" customHeight="1">
      <c r="A687" s="103"/>
      <c r="B687" s="103"/>
      <c r="C687" s="103"/>
      <c r="D687" s="103"/>
      <c r="E687" s="103"/>
      <c r="F687" s="103"/>
      <c r="G687" s="103"/>
      <c r="H687" s="103"/>
      <c r="I687" s="103"/>
      <c r="J687" s="103"/>
      <c r="K687" s="103"/>
      <c r="L687" s="103"/>
      <c r="M687" s="103"/>
      <c r="N687" s="103"/>
      <c r="O687" s="103"/>
      <c r="P687" s="103"/>
      <c r="Q687" s="103"/>
      <c r="R687" s="103"/>
      <c r="S687" s="103"/>
      <c r="T687" s="103"/>
      <c r="U687" s="103"/>
      <c r="V687" s="103"/>
      <c r="W687" s="103"/>
      <c r="X687" s="103"/>
      <c r="Y687" s="103"/>
      <c r="Z687" s="103"/>
    </row>
    <row r="688" ht="15.75" customHeight="1">
      <c r="A688" s="103"/>
      <c r="B688" s="103"/>
      <c r="C688" s="103"/>
      <c r="D688" s="103"/>
      <c r="E688" s="103"/>
      <c r="F688" s="103"/>
      <c r="G688" s="103"/>
      <c r="H688" s="103"/>
      <c r="I688" s="103"/>
      <c r="J688" s="103"/>
      <c r="K688" s="103"/>
      <c r="L688" s="103"/>
      <c r="M688" s="103"/>
      <c r="N688" s="103"/>
      <c r="O688" s="103"/>
      <c r="P688" s="103"/>
      <c r="Q688" s="103"/>
      <c r="R688" s="103"/>
      <c r="S688" s="103"/>
      <c r="T688" s="103"/>
      <c r="U688" s="103"/>
      <c r="V688" s="103"/>
      <c r="W688" s="103"/>
      <c r="X688" s="103"/>
      <c r="Y688" s="103"/>
      <c r="Z688" s="103"/>
    </row>
    <row r="689" ht="15.75" customHeight="1">
      <c r="A689" s="103"/>
      <c r="B689" s="103"/>
      <c r="C689" s="103"/>
      <c r="D689" s="103"/>
      <c r="E689" s="103"/>
      <c r="F689" s="103"/>
      <c r="G689" s="103"/>
      <c r="H689" s="103"/>
      <c r="I689" s="103"/>
      <c r="J689" s="103"/>
      <c r="K689" s="103"/>
      <c r="L689" s="103"/>
      <c r="M689" s="103"/>
      <c r="N689" s="103"/>
      <c r="O689" s="103"/>
      <c r="P689" s="103"/>
      <c r="Q689" s="103"/>
      <c r="R689" s="103"/>
      <c r="S689" s="103"/>
      <c r="T689" s="103"/>
      <c r="U689" s="103"/>
      <c r="V689" s="103"/>
      <c r="W689" s="103"/>
      <c r="X689" s="103"/>
      <c r="Y689" s="103"/>
      <c r="Z689" s="103"/>
    </row>
    <row r="690" ht="15.75" customHeight="1">
      <c r="A690" s="103"/>
      <c r="B690" s="103"/>
      <c r="C690" s="103"/>
      <c r="D690" s="103"/>
      <c r="E690" s="103"/>
      <c r="F690" s="103"/>
      <c r="G690" s="103"/>
      <c r="H690" s="103"/>
      <c r="I690" s="103"/>
      <c r="J690" s="103"/>
      <c r="K690" s="103"/>
      <c r="L690" s="103"/>
      <c r="M690" s="103"/>
      <c r="N690" s="103"/>
      <c r="O690" s="103"/>
      <c r="P690" s="103"/>
      <c r="Q690" s="103"/>
      <c r="R690" s="103"/>
      <c r="S690" s="103"/>
      <c r="T690" s="103"/>
      <c r="U690" s="103"/>
      <c r="V690" s="103"/>
      <c r="W690" s="103"/>
      <c r="X690" s="103"/>
      <c r="Y690" s="103"/>
      <c r="Z690" s="103"/>
    </row>
    <row r="691" ht="15.75" customHeight="1">
      <c r="A691" s="103"/>
      <c r="B691" s="103"/>
      <c r="C691" s="103"/>
      <c r="D691" s="103"/>
      <c r="E691" s="103"/>
      <c r="F691" s="103"/>
      <c r="G691" s="103"/>
      <c r="H691" s="103"/>
      <c r="I691" s="103"/>
      <c r="J691" s="103"/>
      <c r="K691" s="103"/>
      <c r="L691" s="103"/>
      <c r="M691" s="103"/>
      <c r="N691" s="103"/>
      <c r="O691" s="103"/>
      <c r="P691" s="103"/>
      <c r="Q691" s="103"/>
      <c r="R691" s="103"/>
      <c r="S691" s="103"/>
      <c r="T691" s="103"/>
      <c r="U691" s="103"/>
      <c r="V691" s="103"/>
      <c r="W691" s="103"/>
      <c r="X691" s="103"/>
      <c r="Y691" s="103"/>
      <c r="Z691" s="103"/>
    </row>
    <row r="692" ht="15.75" customHeight="1">
      <c r="A692" s="103"/>
      <c r="B692" s="103"/>
      <c r="C692" s="103"/>
      <c r="D692" s="103"/>
      <c r="E692" s="103"/>
      <c r="F692" s="103"/>
      <c r="G692" s="103"/>
      <c r="H692" s="103"/>
      <c r="I692" s="103"/>
      <c r="J692" s="103"/>
      <c r="K692" s="103"/>
      <c r="L692" s="103"/>
      <c r="M692" s="103"/>
      <c r="N692" s="103"/>
      <c r="O692" s="103"/>
      <c r="P692" s="103"/>
      <c r="Q692" s="103"/>
      <c r="R692" s="103"/>
      <c r="S692" s="103"/>
      <c r="T692" s="103"/>
      <c r="U692" s="103"/>
      <c r="V692" s="103"/>
      <c r="W692" s="103"/>
      <c r="X692" s="103"/>
      <c r="Y692" s="103"/>
      <c r="Z692" s="103"/>
    </row>
    <row r="693" ht="15.75" customHeight="1">
      <c r="A693" s="103"/>
      <c r="B693" s="103"/>
      <c r="C693" s="103"/>
      <c r="D693" s="103"/>
      <c r="E693" s="103"/>
      <c r="F693" s="103"/>
      <c r="G693" s="103"/>
      <c r="H693" s="103"/>
      <c r="I693" s="103"/>
      <c r="J693" s="103"/>
      <c r="K693" s="103"/>
      <c r="L693" s="103"/>
      <c r="M693" s="103"/>
      <c r="N693" s="103"/>
      <c r="O693" s="103"/>
      <c r="P693" s="103"/>
      <c r="Q693" s="103"/>
      <c r="R693" s="103"/>
      <c r="S693" s="103"/>
      <c r="T693" s="103"/>
      <c r="U693" s="103"/>
      <c r="V693" s="103"/>
      <c r="W693" s="103"/>
      <c r="X693" s="103"/>
      <c r="Y693" s="103"/>
      <c r="Z693" s="103"/>
    </row>
    <row r="694" ht="15.75" customHeight="1">
      <c r="A694" s="103"/>
      <c r="B694" s="103"/>
      <c r="C694" s="103"/>
      <c r="D694" s="103"/>
      <c r="E694" s="103"/>
      <c r="F694" s="103"/>
      <c r="G694" s="103"/>
      <c r="H694" s="103"/>
      <c r="I694" s="103"/>
      <c r="J694" s="103"/>
      <c r="K694" s="103"/>
      <c r="L694" s="103"/>
      <c r="M694" s="103"/>
      <c r="N694" s="103"/>
      <c r="O694" s="103"/>
      <c r="P694" s="103"/>
      <c r="Q694" s="103"/>
      <c r="R694" s="103"/>
      <c r="S694" s="103"/>
      <c r="T694" s="103"/>
      <c r="U694" s="103"/>
      <c r="V694" s="103"/>
      <c r="W694" s="103"/>
      <c r="X694" s="103"/>
      <c r="Y694" s="103"/>
      <c r="Z694" s="103"/>
    </row>
    <row r="695" ht="15.75" customHeight="1">
      <c r="A695" s="103"/>
      <c r="B695" s="103"/>
      <c r="C695" s="103"/>
      <c r="D695" s="103"/>
      <c r="E695" s="103"/>
      <c r="F695" s="103"/>
      <c r="G695" s="103"/>
      <c r="H695" s="103"/>
      <c r="I695" s="103"/>
      <c r="J695" s="103"/>
      <c r="K695" s="103"/>
      <c r="L695" s="103"/>
      <c r="M695" s="103"/>
      <c r="N695" s="103"/>
      <c r="O695" s="103"/>
      <c r="P695" s="103"/>
      <c r="Q695" s="103"/>
      <c r="R695" s="103"/>
      <c r="S695" s="103"/>
      <c r="T695" s="103"/>
      <c r="U695" s="103"/>
      <c r="V695" s="103"/>
      <c r="W695" s="103"/>
      <c r="X695" s="103"/>
      <c r="Y695" s="103"/>
      <c r="Z695" s="103"/>
    </row>
    <row r="696" ht="15.75" customHeight="1">
      <c r="A696" s="103"/>
      <c r="B696" s="103"/>
      <c r="C696" s="103"/>
      <c r="D696" s="103"/>
      <c r="E696" s="103"/>
      <c r="F696" s="103"/>
      <c r="G696" s="103"/>
      <c r="H696" s="103"/>
      <c r="I696" s="103"/>
      <c r="J696" s="103"/>
      <c r="K696" s="103"/>
      <c r="L696" s="103"/>
      <c r="M696" s="103"/>
      <c r="N696" s="103"/>
      <c r="O696" s="103"/>
      <c r="P696" s="103"/>
      <c r="Q696" s="103"/>
      <c r="R696" s="103"/>
      <c r="S696" s="103"/>
      <c r="T696" s="103"/>
      <c r="U696" s="103"/>
      <c r="V696" s="103"/>
      <c r="W696" s="103"/>
      <c r="X696" s="103"/>
      <c r="Y696" s="103"/>
      <c r="Z696" s="103"/>
    </row>
    <row r="697" ht="15.75" customHeight="1">
      <c r="A697" s="103"/>
      <c r="B697" s="103"/>
      <c r="C697" s="103"/>
      <c r="D697" s="103"/>
      <c r="E697" s="103"/>
      <c r="F697" s="103"/>
      <c r="G697" s="103"/>
      <c r="H697" s="103"/>
      <c r="I697" s="103"/>
      <c r="J697" s="103"/>
      <c r="K697" s="103"/>
      <c r="L697" s="103"/>
      <c r="M697" s="103"/>
      <c r="N697" s="103"/>
      <c r="O697" s="103"/>
      <c r="P697" s="103"/>
      <c r="Q697" s="103"/>
      <c r="R697" s="103"/>
      <c r="S697" s="103"/>
      <c r="T697" s="103"/>
      <c r="U697" s="103"/>
      <c r="V697" s="103"/>
      <c r="W697" s="103"/>
      <c r="X697" s="103"/>
      <c r="Y697" s="103"/>
      <c r="Z697" s="103"/>
    </row>
    <row r="698" ht="15.75" customHeight="1">
      <c r="A698" s="103"/>
      <c r="B698" s="103"/>
      <c r="C698" s="103"/>
      <c r="D698" s="103"/>
      <c r="E698" s="103"/>
      <c r="F698" s="103"/>
      <c r="G698" s="103"/>
      <c r="H698" s="103"/>
      <c r="I698" s="103"/>
      <c r="J698" s="103"/>
      <c r="K698" s="103"/>
      <c r="L698" s="103"/>
      <c r="M698" s="103"/>
      <c r="N698" s="103"/>
      <c r="O698" s="103"/>
      <c r="P698" s="103"/>
      <c r="Q698" s="103"/>
      <c r="R698" s="103"/>
      <c r="S698" s="103"/>
      <c r="T698" s="103"/>
      <c r="U698" s="103"/>
      <c r="V698" s="103"/>
      <c r="W698" s="103"/>
      <c r="X698" s="103"/>
      <c r="Y698" s="103"/>
      <c r="Z698" s="103"/>
    </row>
    <row r="699" ht="15.75" customHeight="1">
      <c r="A699" s="103"/>
      <c r="B699" s="103"/>
      <c r="C699" s="103"/>
      <c r="D699" s="103"/>
      <c r="E699" s="103"/>
      <c r="F699" s="103"/>
      <c r="G699" s="103"/>
      <c r="H699" s="103"/>
      <c r="I699" s="103"/>
      <c r="J699" s="103"/>
      <c r="K699" s="103"/>
      <c r="L699" s="103"/>
      <c r="M699" s="103"/>
      <c r="N699" s="103"/>
      <c r="O699" s="103"/>
      <c r="P699" s="103"/>
      <c r="Q699" s="103"/>
      <c r="R699" s="103"/>
      <c r="S699" s="103"/>
      <c r="T699" s="103"/>
      <c r="U699" s="103"/>
      <c r="V699" s="103"/>
      <c r="W699" s="103"/>
      <c r="X699" s="103"/>
      <c r="Y699" s="103"/>
      <c r="Z699" s="103"/>
    </row>
    <row r="700" ht="15.75" customHeight="1">
      <c r="A700" s="103"/>
      <c r="B700" s="103"/>
      <c r="C700" s="103"/>
      <c r="D700" s="103"/>
      <c r="E700" s="103"/>
      <c r="F700" s="103"/>
      <c r="G700" s="103"/>
      <c r="H700" s="103"/>
      <c r="I700" s="103"/>
      <c r="J700" s="103"/>
      <c r="K700" s="103"/>
      <c r="L700" s="103"/>
      <c r="M700" s="103"/>
      <c r="N700" s="103"/>
      <c r="O700" s="103"/>
      <c r="P700" s="103"/>
      <c r="Q700" s="103"/>
      <c r="R700" s="103"/>
      <c r="S700" s="103"/>
      <c r="T700" s="103"/>
      <c r="U700" s="103"/>
      <c r="V700" s="103"/>
      <c r="W700" s="103"/>
      <c r="X700" s="103"/>
      <c r="Y700" s="103"/>
      <c r="Z700" s="103"/>
    </row>
    <row r="701" ht="15.75" customHeight="1">
      <c r="A701" s="103"/>
      <c r="B701" s="103"/>
      <c r="C701" s="103"/>
      <c r="D701" s="103"/>
      <c r="E701" s="103"/>
      <c r="F701" s="103"/>
      <c r="G701" s="103"/>
      <c r="H701" s="103"/>
      <c r="I701" s="103"/>
      <c r="J701" s="103"/>
      <c r="K701" s="103"/>
      <c r="L701" s="103"/>
      <c r="M701" s="103"/>
      <c r="N701" s="103"/>
      <c r="O701" s="103"/>
      <c r="P701" s="103"/>
      <c r="Q701" s="103"/>
      <c r="R701" s="103"/>
      <c r="S701" s="103"/>
      <c r="T701" s="103"/>
      <c r="U701" s="103"/>
      <c r="V701" s="103"/>
      <c r="W701" s="103"/>
      <c r="X701" s="103"/>
      <c r="Y701" s="103"/>
      <c r="Z701" s="103"/>
    </row>
    <row r="702" ht="15.75" customHeight="1">
      <c r="A702" s="103"/>
      <c r="B702" s="103"/>
      <c r="C702" s="103"/>
      <c r="D702" s="103"/>
      <c r="E702" s="103"/>
      <c r="F702" s="103"/>
      <c r="G702" s="103"/>
      <c r="H702" s="103"/>
      <c r="I702" s="103"/>
      <c r="J702" s="103"/>
      <c r="K702" s="103"/>
      <c r="L702" s="103"/>
      <c r="M702" s="103"/>
      <c r="N702" s="103"/>
      <c r="O702" s="103"/>
      <c r="P702" s="103"/>
      <c r="Q702" s="103"/>
      <c r="R702" s="103"/>
      <c r="S702" s="103"/>
      <c r="T702" s="103"/>
      <c r="U702" s="103"/>
      <c r="V702" s="103"/>
      <c r="W702" s="103"/>
      <c r="X702" s="103"/>
      <c r="Y702" s="103"/>
      <c r="Z702" s="103"/>
    </row>
    <row r="703" ht="15.75" customHeight="1">
      <c r="A703" s="103"/>
      <c r="B703" s="103"/>
      <c r="C703" s="103"/>
      <c r="D703" s="103"/>
      <c r="E703" s="103"/>
      <c r="F703" s="103"/>
      <c r="G703" s="103"/>
      <c r="H703" s="103"/>
      <c r="I703" s="103"/>
      <c r="J703" s="103"/>
      <c r="K703" s="103"/>
      <c r="L703" s="103"/>
      <c r="M703" s="103"/>
      <c r="N703" s="103"/>
      <c r="O703" s="103"/>
      <c r="P703" s="103"/>
      <c r="Q703" s="103"/>
      <c r="R703" s="103"/>
      <c r="S703" s="103"/>
      <c r="T703" s="103"/>
      <c r="U703" s="103"/>
      <c r="V703" s="103"/>
      <c r="W703" s="103"/>
      <c r="X703" s="103"/>
      <c r="Y703" s="103"/>
      <c r="Z703" s="103"/>
    </row>
    <row r="704" ht="15.75" customHeight="1">
      <c r="A704" s="103"/>
      <c r="B704" s="103"/>
      <c r="C704" s="103"/>
      <c r="D704" s="103"/>
      <c r="E704" s="103"/>
      <c r="F704" s="103"/>
      <c r="G704" s="103"/>
      <c r="H704" s="103"/>
      <c r="I704" s="103"/>
      <c r="J704" s="103"/>
      <c r="K704" s="103"/>
      <c r="L704" s="103"/>
      <c r="M704" s="103"/>
      <c r="N704" s="103"/>
      <c r="O704" s="103"/>
      <c r="P704" s="103"/>
      <c r="Q704" s="103"/>
      <c r="R704" s="103"/>
      <c r="S704" s="103"/>
      <c r="T704" s="103"/>
      <c r="U704" s="103"/>
      <c r="V704" s="103"/>
      <c r="W704" s="103"/>
      <c r="X704" s="103"/>
      <c r="Y704" s="103"/>
      <c r="Z704" s="103"/>
    </row>
    <row r="705" ht="15.75" customHeight="1">
      <c r="A705" s="103"/>
      <c r="B705" s="103"/>
      <c r="C705" s="103"/>
      <c r="D705" s="103"/>
      <c r="E705" s="103"/>
      <c r="F705" s="103"/>
      <c r="G705" s="103"/>
      <c r="H705" s="103"/>
      <c r="I705" s="103"/>
      <c r="J705" s="103"/>
      <c r="K705" s="103"/>
      <c r="L705" s="103"/>
      <c r="M705" s="103"/>
      <c r="N705" s="103"/>
      <c r="O705" s="103"/>
      <c r="P705" s="103"/>
      <c r="Q705" s="103"/>
      <c r="R705" s="103"/>
      <c r="S705" s="103"/>
      <c r="T705" s="103"/>
      <c r="U705" s="103"/>
      <c r="V705" s="103"/>
      <c r="W705" s="103"/>
      <c r="X705" s="103"/>
      <c r="Y705" s="103"/>
      <c r="Z705" s="103"/>
    </row>
    <row r="706" ht="15.75" customHeight="1">
      <c r="A706" s="103"/>
      <c r="B706" s="103"/>
      <c r="C706" s="103"/>
      <c r="D706" s="103"/>
      <c r="E706" s="103"/>
      <c r="F706" s="103"/>
      <c r="G706" s="103"/>
      <c r="H706" s="103"/>
      <c r="I706" s="103"/>
      <c r="J706" s="103"/>
      <c r="K706" s="103"/>
      <c r="L706" s="103"/>
      <c r="M706" s="103"/>
      <c r="N706" s="103"/>
      <c r="O706" s="103"/>
      <c r="P706" s="103"/>
      <c r="Q706" s="103"/>
      <c r="R706" s="103"/>
      <c r="S706" s="103"/>
      <c r="T706" s="103"/>
      <c r="U706" s="103"/>
      <c r="V706" s="103"/>
      <c r="W706" s="103"/>
      <c r="X706" s="103"/>
      <c r="Y706" s="103"/>
      <c r="Z706" s="103"/>
    </row>
    <row r="707" ht="15.75" customHeight="1">
      <c r="A707" s="103"/>
      <c r="B707" s="103"/>
      <c r="C707" s="103"/>
      <c r="D707" s="103"/>
      <c r="E707" s="103"/>
      <c r="F707" s="103"/>
      <c r="G707" s="103"/>
      <c r="H707" s="103"/>
      <c r="I707" s="103"/>
      <c r="J707" s="103"/>
      <c r="K707" s="103"/>
      <c r="L707" s="103"/>
      <c r="M707" s="103"/>
      <c r="N707" s="103"/>
      <c r="O707" s="103"/>
      <c r="P707" s="103"/>
      <c r="Q707" s="103"/>
      <c r="R707" s="103"/>
      <c r="S707" s="103"/>
      <c r="T707" s="103"/>
      <c r="U707" s="103"/>
      <c r="V707" s="103"/>
      <c r="W707" s="103"/>
      <c r="X707" s="103"/>
      <c r="Y707" s="103"/>
      <c r="Z707" s="103"/>
    </row>
    <row r="708" ht="15.75" customHeight="1">
      <c r="A708" s="103"/>
      <c r="B708" s="103"/>
      <c r="C708" s="103"/>
      <c r="D708" s="103"/>
      <c r="E708" s="103"/>
      <c r="F708" s="103"/>
      <c r="G708" s="103"/>
      <c r="H708" s="103"/>
      <c r="I708" s="103"/>
      <c r="J708" s="103"/>
      <c r="K708" s="103"/>
      <c r="L708" s="103"/>
      <c r="M708" s="103"/>
      <c r="N708" s="103"/>
      <c r="O708" s="103"/>
      <c r="P708" s="103"/>
      <c r="Q708" s="103"/>
      <c r="R708" s="103"/>
      <c r="S708" s="103"/>
      <c r="T708" s="103"/>
      <c r="U708" s="103"/>
      <c r="V708" s="103"/>
      <c r="W708" s="103"/>
      <c r="X708" s="103"/>
      <c r="Y708" s="103"/>
      <c r="Z708" s="103"/>
    </row>
    <row r="709" ht="15.75" customHeight="1">
      <c r="A709" s="103"/>
      <c r="B709" s="103"/>
      <c r="C709" s="103"/>
      <c r="D709" s="103"/>
      <c r="E709" s="103"/>
      <c r="F709" s="103"/>
      <c r="G709" s="103"/>
      <c r="H709" s="103"/>
      <c r="I709" s="103"/>
      <c r="J709" s="103"/>
      <c r="K709" s="103"/>
      <c r="L709" s="103"/>
      <c r="M709" s="103"/>
      <c r="N709" s="103"/>
      <c r="O709" s="103"/>
      <c r="P709" s="103"/>
      <c r="Q709" s="103"/>
      <c r="R709" s="103"/>
      <c r="S709" s="103"/>
      <c r="T709" s="103"/>
      <c r="U709" s="103"/>
      <c r="V709" s="103"/>
      <c r="W709" s="103"/>
      <c r="X709" s="103"/>
      <c r="Y709" s="103"/>
      <c r="Z709" s="103"/>
    </row>
    <row r="710" ht="15.75" customHeight="1">
      <c r="A710" s="103"/>
      <c r="B710" s="103"/>
      <c r="C710" s="103"/>
      <c r="D710" s="103"/>
      <c r="E710" s="103"/>
      <c r="F710" s="103"/>
      <c r="G710" s="103"/>
      <c r="H710" s="103"/>
      <c r="I710" s="103"/>
      <c r="J710" s="103"/>
      <c r="K710" s="103"/>
      <c r="L710" s="103"/>
      <c r="M710" s="103"/>
      <c r="N710" s="103"/>
      <c r="O710" s="103"/>
      <c r="P710" s="103"/>
      <c r="Q710" s="103"/>
      <c r="R710" s="103"/>
      <c r="S710" s="103"/>
      <c r="T710" s="103"/>
      <c r="U710" s="103"/>
      <c r="V710" s="103"/>
      <c r="W710" s="103"/>
      <c r="X710" s="103"/>
      <c r="Y710" s="103"/>
      <c r="Z710" s="103"/>
    </row>
    <row r="711" ht="15.75" customHeight="1">
      <c r="A711" s="103"/>
      <c r="B711" s="103"/>
      <c r="C711" s="103"/>
      <c r="D711" s="103"/>
      <c r="E711" s="103"/>
      <c r="F711" s="103"/>
      <c r="G711" s="103"/>
      <c r="H711" s="103"/>
      <c r="I711" s="103"/>
      <c r="J711" s="103"/>
      <c r="K711" s="103"/>
      <c r="L711" s="103"/>
      <c r="M711" s="103"/>
      <c r="N711" s="103"/>
      <c r="O711" s="103"/>
      <c r="P711" s="103"/>
      <c r="Q711" s="103"/>
      <c r="R711" s="103"/>
      <c r="S711" s="103"/>
      <c r="T711" s="103"/>
      <c r="U711" s="103"/>
      <c r="V711" s="103"/>
      <c r="W711" s="103"/>
      <c r="X711" s="103"/>
      <c r="Y711" s="103"/>
      <c r="Z711" s="103"/>
    </row>
    <row r="712" ht="15.75" customHeight="1">
      <c r="A712" s="103"/>
      <c r="B712" s="103"/>
      <c r="C712" s="103"/>
      <c r="D712" s="103"/>
      <c r="E712" s="103"/>
      <c r="F712" s="103"/>
      <c r="G712" s="103"/>
      <c r="H712" s="103"/>
      <c r="I712" s="103"/>
      <c r="J712" s="103"/>
      <c r="K712" s="103"/>
      <c r="L712" s="103"/>
      <c r="M712" s="103"/>
      <c r="N712" s="103"/>
      <c r="O712" s="103"/>
      <c r="P712" s="103"/>
      <c r="Q712" s="103"/>
      <c r="R712" s="103"/>
      <c r="S712" s="103"/>
      <c r="T712" s="103"/>
      <c r="U712" s="103"/>
      <c r="V712" s="103"/>
      <c r="W712" s="103"/>
      <c r="X712" s="103"/>
      <c r="Y712" s="103"/>
      <c r="Z712" s="103"/>
    </row>
    <row r="713" ht="15.75" customHeight="1">
      <c r="A713" s="103"/>
      <c r="B713" s="103"/>
      <c r="C713" s="103"/>
      <c r="D713" s="103"/>
      <c r="E713" s="103"/>
      <c r="F713" s="103"/>
      <c r="G713" s="103"/>
      <c r="H713" s="103"/>
      <c r="I713" s="103"/>
      <c r="J713" s="103"/>
      <c r="K713" s="103"/>
      <c r="L713" s="103"/>
      <c r="M713" s="103"/>
      <c r="N713" s="103"/>
      <c r="O713" s="103"/>
      <c r="P713" s="103"/>
      <c r="Q713" s="103"/>
      <c r="R713" s="103"/>
      <c r="S713" s="103"/>
      <c r="T713" s="103"/>
      <c r="U713" s="103"/>
      <c r="V713" s="103"/>
      <c r="W713" s="103"/>
      <c r="X713" s="103"/>
      <c r="Y713" s="103"/>
      <c r="Z713" s="103"/>
    </row>
    <row r="714" ht="15.75" customHeight="1">
      <c r="A714" s="103"/>
      <c r="B714" s="103"/>
      <c r="C714" s="103"/>
      <c r="D714" s="103"/>
      <c r="E714" s="103"/>
      <c r="F714" s="103"/>
      <c r="G714" s="103"/>
      <c r="H714" s="103"/>
      <c r="I714" s="103"/>
      <c r="J714" s="103"/>
      <c r="K714" s="103"/>
      <c r="L714" s="103"/>
      <c r="M714" s="103"/>
      <c r="N714" s="103"/>
      <c r="O714" s="103"/>
      <c r="P714" s="103"/>
      <c r="Q714" s="103"/>
      <c r="R714" s="103"/>
      <c r="S714" s="103"/>
      <c r="T714" s="103"/>
      <c r="U714" s="103"/>
      <c r="V714" s="103"/>
      <c r="W714" s="103"/>
      <c r="X714" s="103"/>
      <c r="Y714" s="103"/>
      <c r="Z714" s="103"/>
    </row>
    <row r="715" ht="15.75" customHeight="1">
      <c r="A715" s="103"/>
      <c r="B715" s="103"/>
      <c r="C715" s="103"/>
      <c r="D715" s="103"/>
      <c r="E715" s="103"/>
      <c r="F715" s="103"/>
      <c r="G715" s="103"/>
      <c r="H715" s="103"/>
      <c r="I715" s="103"/>
      <c r="J715" s="103"/>
      <c r="K715" s="103"/>
      <c r="L715" s="103"/>
      <c r="M715" s="103"/>
      <c r="N715" s="103"/>
      <c r="O715" s="103"/>
      <c r="P715" s="103"/>
      <c r="Q715" s="103"/>
      <c r="R715" s="103"/>
      <c r="S715" s="103"/>
      <c r="T715" s="103"/>
      <c r="U715" s="103"/>
      <c r="V715" s="103"/>
      <c r="W715" s="103"/>
      <c r="X715" s="103"/>
      <c r="Y715" s="103"/>
      <c r="Z715" s="103"/>
    </row>
    <row r="716" ht="15.75" customHeight="1">
      <c r="A716" s="103"/>
      <c r="B716" s="103"/>
      <c r="C716" s="103"/>
      <c r="D716" s="103"/>
      <c r="E716" s="103"/>
      <c r="F716" s="103"/>
      <c r="G716" s="103"/>
      <c r="H716" s="103"/>
      <c r="I716" s="103"/>
      <c r="J716" s="103"/>
      <c r="K716" s="103"/>
      <c r="L716" s="103"/>
      <c r="M716" s="103"/>
      <c r="N716" s="103"/>
      <c r="O716" s="103"/>
      <c r="P716" s="103"/>
      <c r="Q716" s="103"/>
      <c r="R716" s="103"/>
      <c r="S716" s="103"/>
      <c r="T716" s="103"/>
      <c r="U716" s="103"/>
      <c r="V716" s="103"/>
      <c r="W716" s="103"/>
      <c r="X716" s="103"/>
      <c r="Y716" s="103"/>
      <c r="Z716" s="103"/>
    </row>
    <row r="717" ht="15.75" customHeight="1">
      <c r="A717" s="103"/>
      <c r="B717" s="103"/>
      <c r="C717" s="103"/>
      <c r="D717" s="103"/>
      <c r="E717" s="103"/>
      <c r="F717" s="103"/>
      <c r="G717" s="103"/>
      <c r="H717" s="103"/>
      <c r="I717" s="103"/>
      <c r="J717" s="103"/>
      <c r="K717" s="103"/>
      <c r="L717" s="103"/>
      <c r="M717" s="103"/>
      <c r="N717" s="103"/>
      <c r="O717" s="103"/>
      <c r="P717" s="103"/>
      <c r="Q717" s="103"/>
      <c r="R717" s="103"/>
      <c r="S717" s="103"/>
      <c r="T717" s="103"/>
      <c r="U717" s="103"/>
      <c r="V717" s="103"/>
      <c r="W717" s="103"/>
      <c r="X717" s="103"/>
      <c r="Y717" s="103"/>
      <c r="Z717" s="103"/>
    </row>
    <row r="718" ht="15.75" customHeight="1">
      <c r="A718" s="103"/>
      <c r="B718" s="103"/>
      <c r="C718" s="103"/>
      <c r="D718" s="103"/>
      <c r="E718" s="103"/>
      <c r="F718" s="103"/>
      <c r="G718" s="103"/>
      <c r="H718" s="103"/>
      <c r="I718" s="103"/>
      <c r="J718" s="103"/>
      <c r="K718" s="103"/>
      <c r="L718" s="103"/>
      <c r="M718" s="103"/>
      <c r="N718" s="103"/>
      <c r="O718" s="103"/>
      <c r="P718" s="103"/>
      <c r="Q718" s="103"/>
      <c r="R718" s="103"/>
      <c r="S718" s="103"/>
      <c r="T718" s="103"/>
      <c r="U718" s="103"/>
      <c r="V718" s="103"/>
      <c r="W718" s="103"/>
      <c r="X718" s="103"/>
      <c r="Y718" s="103"/>
      <c r="Z718" s="103"/>
    </row>
    <row r="719" ht="15.75" customHeight="1">
      <c r="A719" s="103"/>
      <c r="B719" s="103"/>
      <c r="C719" s="103"/>
      <c r="D719" s="103"/>
      <c r="E719" s="103"/>
      <c r="F719" s="103"/>
      <c r="G719" s="103"/>
      <c r="H719" s="103"/>
      <c r="I719" s="103"/>
      <c r="J719" s="103"/>
      <c r="K719" s="103"/>
      <c r="L719" s="103"/>
      <c r="M719" s="103"/>
      <c r="N719" s="103"/>
      <c r="O719" s="103"/>
      <c r="P719" s="103"/>
      <c r="Q719" s="103"/>
      <c r="R719" s="103"/>
      <c r="S719" s="103"/>
      <c r="T719" s="103"/>
      <c r="U719" s="103"/>
      <c r="V719" s="103"/>
      <c r="W719" s="103"/>
      <c r="X719" s="103"/>
      <c r="Y719" s="103"/>
      <c r="Z719" s="103"/>
    </row>
    <row r="720" ht="15.75" customHeight="1">
      <c r="A720" s="103"/>
      <c r="B720" s="103"/>
      <c r="C720" s="103"/>
      <c r="D720" s="103"/>
      <c r="E720" s="103"/>
      <c r="F720" s="103"/>
      <c r="G720" s="103"/>
      <c r="H720" s="103"/>
      <c r="I720" s="103"/>
      <c r="J720" s="103"/>
      <c r="K720" s="103"/>
      <c r="L720" s="103"/>
      <c r="M720" s="103"/>
      <c r="N720" s="103"/>
      <c r="O720" s="103"/>
      <c r="P720" s="103"/>
      <c r="Q720" s="103"/>
      <c r="R720" s="103"/>
      <c r="S720" s="103"/>
      <c r="T720" s="103"/>
      <c r="U720" s="103"/>
      <c r="V720" s="103"/>
      <c r="W720" s="103"/>
      <c r="X720" s="103"/>
      <c r="Y720" s="103"/>
      <c r="Z720" s="103"/>
    </row>
    <row r="721" ht="15.75" customHeight="1">
      <c r="A721" s="103"/>
      <c r="B721" s="103"/>
      <c r="C721" s="103"/>
      <c r="D721" s="103"/>
      <c r="E721" s="103"/>
      <c r="F721" s="103"/>
      <c r="G721" s="103"/>
      <c r="H721" s="103"/>
      <c r="I721" s="103"/>
      <c r="J721" s="103"/>
      <c r="K721" s="103"/>
      <c r="L721" s="103"/>
      <c r="M721" s="103"/>
      <c r="N721" s="103"/>
      <c r="O721" s="103"/>
      <c r="P721" s="103"/>
      <c r="Q721" s="103"/>
      <c r="R721" s="103"/>
      <c r="S721" s="103"/>
      <c r="T721" s="103"/>
      <c r="U721" s="103"/>
      <c r="V721" s="103"/>
      <c r="W721" s="103"/>
      <c r="X721" s="103"/>
      <c r="Y721" s="103"/>
      <c r="Z721" s="103"/>
    </row>
    <row r="722" ht="15.75" customHeight="1">
      <c r="A722" s="103"/>
      <c r="B722" s="103"/>
      <c r="C722" s="103"/>
      <c r="D722" s="103"/>
      <c r="E722" s="103"/>
      <c r="F722" s="103"/>
      <c r="G722" s="103"/>
      <c r="H722" s="103"/>
      <c r="I722" s="103"/>
      <c r="J722" s="103"/>
      <c r="K722" s="103"/>
      <c r="L722" s="103"/>
      <c r="M722" s="103"/>
      <c r="N722" s="103"/>
      <c r="O722" s="103"/>
      <c r="P722" s="103"/>
      <c r="Q722" s="103"/>
      <c r="R722" s="103"/>
      <c r="S722" s="103"/>
      <c r="T722" s="103"/>
      <c r="U722" s="103"/>
      <c r="V722" s="103"/>
      <c r="W722" s="103"/>
      <c r="X722" s="103"/>
      <c r="Y722" s="103"/>
      <c r="Z722" s="103"/>
    </row>
    <row r="723" ht="15.75" customHeight="1">
      <c r="A723" s="103"/>
      <c r="B723" s="103"/>
      <c r="C723" s="103"/>
      <c r="D723" s="103"/>
      <c r="E723" s="103"/>
      <c r="F723" s="103"/>
      <c r="G723" s="103"/>
      <c r="H723" s="103"/>
      <c r="I723" s="103"/>
      <c r="J723" s="103"/>
      <c r="K723" s="103"/>
      <c r="L723" s="103"/>
      <c r="M723" s="103"/>
      <c r="N723" s="103"/>
      <c r="O723" s="103"/>
      <c r="P723" s="103"/>
      <c r="Q723" s="103"/>
      <c r="R723" s="103"/>
      <c r="S723" s="103"/>
      <c r="T723" s="103"/>
      <c r="U723" s="103"/>
      <c r="V723" s="103"/>
      <c r="W723" s="103"/>
      <c r="X723" s="103"/>
      <c r="Y723" s="103"/>
      <c r="Z723" s="103"/>
    </row>
    <row r="724" ht="15.75" customHeight="1">
      <c r="A724" s="103"/>
      <c r="B724" s="103"/>
      <c r="C724" s="103"/>
      <c r="D724" s="103"/>
      <c r="E724" s="103"/>
      <c r="F724" s="103"/>
      <c r="G724" s="103"/>
      <c r="H724" s="103"/>
      <c r="I724" s="103"/>
      <c r="J724" s="103"/>
      <c r="K724" s="103"/>
      <c r="L724" s="103"/>
      <c r="M724" s="103"/>
      <c r="N724" s="103"/>
      <c r="O724" s="103"/>
      <c r="P724" s="103"/>
      <c r="Q724" s="103"/>
      <c r="R724" s="103"/>
      <c r="S724" s="103"/>
      <c r="T724" s="103"/>
      <c r="U724" s="103"/>
      <c r="V724" s="103"/>
      <c r="W724" s="103"/>
      <c r="X724" s="103"/>
      <c r="Y724" s="103"/>
      <c r="Z724" s="103"/>
    </row>
    <row r="725" ht="15.75" customHeight="1">
      <c r="A725" s="103"/>
      <c r="B725" s="103"/>
      <c r="C725" s="103"/>
      <c r="D725" s="103"/>
      <c r="E725" s="103"/>
      <c r="F725" s="103"/>
      <c r="G725" s="103"/>
      <c r="H725" s="103"/>
      <c r="I725" s="103"/>
      <c r="J725" s="103"/>
      <c r="K725" s="103"/>
      <c r="L725" s="103"/>
      <c r="M725" s="103"/>
      <c r="N725" s="103"/>
      <c r="O725" s="103"/>
      <c r="P725" s="103"/>
      <c r="Q725" s="103"/>
      <c r="R725" s="103"/>
      <c r="S725" s="103"/>
      <c r="T725" s="103"/>
      <c r="U725" s="103"/>
      <c r="V725" s="103"/>
      <c r="W725" s="103"/>
      <c r="X725" s="103"/>
      <c r="Y725" s="103"/>
      <c r="Z725" s="103"/>
    </row>
    <row r="726" ht="15.75" customHeight="1">
      <c r="A726" s="103"/>
      <c r="B726" s="103"/>
      <c r="C726" s="103"/>
      <c r="D726" s="103"/>
      <c r="E726" s="103"/>
      <c r="F726" s="103"/>
      <c r="G726" s="103"/>
      <c r="H726" s="103"/>
      <c r="I726" s="103"/>
      <c r="J726" s="103"/>
      <c r="K726" s="103"/>
      <c r="L726" s="103"/>
      <c r="M726" s="103"/>
      <c r="N726" s="103"/>
      <c r="O726" s="103"/>
      <c r="P726" s="103"/>
      <c r="Q726" s="103"/>
      <c r="R726" s="103"/>
      <c r="S726" s="103"/>
      <c r="T726" s="103"/>
      <c r="U726" s="103"/>
      <c r="V726" s="103"/>
      <c r="W726" s="103"/>
      <c r="X726" s="103"/>
      <c r="Y726" s="103"/>
      <c r="Z726" s="103"/>
    </row>
    <row r="727" ht="15.75" customHeight="1">
      <c r="A727" s="103"/>
      <c r="B727" s="103"/>
      <c r="C727" s="103"/>
      <c r="D727" s="103"/>
      <c r="E727" s="103"/>
      <c r="F727" s="103"/>
      <c r="G727" s="103"/>
      <c r="H727" s="103"/>
      <c r="I727" s="103"/>
      <c r="J727" s="103"/>
      <c r="K727" s="103"/>
      <c r="L727" s="103"/>
      <c r="M727" s="103"/>
      <c r="N727" s="103"/>
      <c r="O727" s="103"/>
      <c r="P727" s="103"/>
      <c r="Q727" s="103"/>
      <c r="R727" s="103"/>
      <c r="S727" s="103"/>
      <c r="T727" s="103"/>
      <c r="U727" s="103"/>
      <c r="V727" s="103"/>
      <c r="W727" s="103"/>
      <c r="X727" s="103"/>
      <c r="Y727" s="103"/>
      <c r="Z727" s="103"/>
    </row>
    <row r="728" ht="15.75" customHeight="1">
      <c r="A728" s="103"/>
      <c r="B728" s="103"/>
      <c r="C728" s="103"/>
      <c r="D728" s="103"/>
      <c r="E728" s="103"/>
      <c r="F728" s="103"/>
      <c r="G728" s="103"/>
      <c r="H728" s="103"/>
      <c r="I728" s="103"/>
      <c r="J728" s="103"/>
      <c r="K728" s="103"/>
      <c r="L728" s="103"/>
      <c r="M728" s="103"/>
      <c r="N728" s="103"/>
      <c r="O728" s="103"/>
      <c r="P728" s="103"/>
      <c r="Q728" s="103"/>
      <c r="R728" s="103"/>
      <c r="S728" s="103"/>
      <c r="T728" s="103"/>
      <c r="U728" s="103"/>
      <c r="V728" s="103"/>
      <c r="W728" s="103"/>
      <c r="X728" s="103"/>
      <c r="Y728" s="103"/>
      <c r="Z728" s="103"/>
    </row>
    <row r="729" ht="15.75" customHeight="1">
      <c r="A729" s="103"/>
      <c r="B729" s="103"/>
      <c r="C729" s="103"/>
      <c r="D729" s="103"/>
      <c r="E729" s="103"/>
      <c r="F729" s="103"/>
      <c r="G729" s="103"/>
      <c r="H729" s="103"/>
      <c r="I729" s="103"/>
      <c r="J729" s="103"/>
      <c r="K729" s="103"/>
      <c r="L729" s="103"/>
      <c r="M729" s="103"/>
      <c r="N729" s="103"/>
      <c r="O729" s="103"/>
      <c r="P729" s="103"/>
      <c r="Q729" s="103"/>
      <c r="R729" s="103"/>
      <c r="S729" s="103"/>
      <c r="T729" s="103"/>
      <c r="U729" s="103"/>
      <c r="V729" s="103"/>
      <c r="W729" s="103"/>
      <c r="X729" s="103"/>
      <c r="Y729" s="103"/>
      <c r="Z729" s="103"/>
    </row>
    <row r="730" ht="15.75" customHeight="1">
      <c r="A730" s="103"/>
      <c r="B730" s="103"/>
      <c r="C730" s="103"/>
      <c r="D730" s="103"/>
      <c r="E730" s="103"/>
      <c r="F730" s="103"/>
      <c r="G730" s="103"/>
      <c r="H730" s="103"/>
      <c r="I730" s="103"/>
      <c r="J730" s="103"/>
      <c r="K730" s="103"/>
      <c r="L730" s="103"/>
      <c r="M730" s="103"/>
      <c r="N730" s="103"/>
      <c r="O730" s="103"/>
      <c r="P730" s="103"/>
      <c r="Q730" s="103"/>
      <c r="R730" s="103"/>
      <c r="S730" s="103"/>
      <c r="T730" s="103"/>
      <c r="U730" s="103"/>
      <c r="V730" s="103"/>
      <c r="W730" s="103"/>
      <c r="X730" s="103"/>
      <c r="Y730" s="103"/>
      <c r="Z730" s="103"/>
    </row>
    <row r="731" ht="15.75" customHeight="1">
      <c r="A731" s="103"/>
      <c r="B731" s="103"/>
      <c r="C731" s="103"/>
      <c r="D731" s="103"/>
      <c r="E731" s="103"/>
      <c r="F731" s="103"/>
      <c r="G731" s="103"/>
      <c r="H731" s="103"/>
      <c r="I731" s="103"/>
      <c r="J731" s="103"/>
      <c r="K731" s="103"/>
      <c r="L731" s="103"/>
      <c r="M731" s="103"/>
      <c r="N731" s="103"/>
      <c r="O731" s="103"/>
      <c r="P731" s="103"/>
      <c r="Q731" s="103"/>
      <c r="R731" s="103"/>
      <c r="S731" s="103"/>
      <c r="T731" s="103"/>
      <c r="U731" s="103"/>
      <c r="V731" s="103"/>
      <c r="W731" s="103"/>
      <c r="X731" s="103"/>
      <c r="Y731" s="103"/>
      <c r="Z731" s="103"/>
    </row>
    <row r="732" ht="15.75" customHeight="1">
      <c r="A732" s="103"/>
      <c r="B732" s="103"/>
      <c r="C732" s="103"/>
      <c r="D732" s="103"/>
      <c r="E732" s="103"/>
      <c r="F732" s="103"/>
      <c r="G732" s="103"/>
      <c r="H732" s="103"/>
      <c r="I732" s="103"/>
      <c r="J732" s="103"/>
      <c r="K732" s="103"/>
      <c r="L732" s="103"/>
      <c r="M732" s="103"/>
      <c r="N732" s="103"/>
      <c r="O732" s="103"/>
      <c r="P732" s="103"/>
      <c r="Q732" s="103"/>
      <c r="R732" s="103"/>
      <c r="S732" s="103"/>
      <c r="T732" s="103"/>
      <c r="U732" s="103"/>
      <c r="V732" s="103"/>
      <c r="W732" s="103"/>
      <c r="X732" s="103"/>
      <c r="Y732" s="103"/>
      <c r="Z732" s="103"/>
    </row>
    <row r="733" ht="15.75" customHeight="1">
      <c r="A733" s="103"/>
      <c r="B733" s="103"/>
      <c r="C733" s="103"/>
      <c r="D733" s="103"/>
      <c r="E733" s="103"/>
      <c r="F733" s="103"/>
      <c r="G733" s="103"/>
      <c r="H733" s="103"/>
      <c r="I733" s="103"/>
      <c r="J733" s="103"/>
      <c r="K733" s="103"/>
      <c r="L733" s="103"/>
      <c r="M733" s="103"/>
      <c r="N733" s="103"/>
      <c r="O733" s="103"/>
      <c r="P733" s="103"/>
      <c r="Q733" s="103"/>
      <c r="R733" s="103"/>
      <c r="S733" s="103"/>
      <c r="T733" s="103"/>
      <c r="U733" s="103"/>
      <c r="V733" s="103"/>
      <c r="W733" s="103"/>
      <c r="X733" s="103"/>
      <c r="Y733" s="103"/>
      <c r="Z733" s="103"/>
    </row>
    <row r="734" ht="15.75" customHeight="1">
      <c r="A734" s="103"/>
      <c r="B734" s="103"/>
      <c r="C734" s="103"/>
      <c r="D734" s="103"/>
      <c r="E734" s="103"/>
      <c r="F734" s="103"/>
      <c r="G734" s="103"/>
      <c r="H734" s="103"/>
      <c r="I734" s="103"/>
      <c r="J734" s="103"/>
      <c r="K734" s="103"/>
      <c r="L734" s="103"/>
      <c r="M734" s="103"/>
      <c r="N734" s="103"/>
      <c r="O734" s="103"/>
      <c r="P734" s="103"/>
      <c r="Q734" s="103"/>
      <c r="R734" s="103"/>
      <c r="S734" s="103"/>
      <c r="T734" s="103"/>
      <c r="U734" s="103"/>
      <c r="V734" s="103"/>
      <c r="W734" s="103"/>
      <c r="X734" s="103"/>
      <c r="Y734" s="103"/>
      <c r="Z734" s="103"/>
    </row>
    <row r="735" ht="15.75" customHeight="1">
      <c r="A735" s="103"/>
      <c r="B735" s="103"/>
      <c r="C735" s="103"/>
      <c r="D735" s="103"/>
      <c r="E735" s="103"/>
      <c r="F735" s="103"/>
      <c r="G735" s="103"/>
      <c r="H735" s="103"/>
      <c r="I735" s="103"/>
      <c r="J735" s="103"/>
      <c r="K735" s="103"/>
      <c r="L735" s="103"/>
      <c r="M735" s="103"/>
      <c r="N735" s="103"/>
      <c r="O735" s="103"/>
      <c r="P735" s="103"/>
      <c r="Q735" s="103"/>
      <c r="R735" s="103"/>
      <c r="S735" s="103"/>
      <c r="T735" s="103"/>
      <c r="U735" s="103"/>
      <c r="V735" s="103"/>
      <c r="W735" s="103"/>
      <c r="X735" s="103"/>
      <c r="Y735" s="103"/>
      <c r="Z735" s="103"/>
    </row>
    <row r="736" ht="15.75" customHeight="1">
      <c r="A736" s="103"/>
      <c r="B736" s="103"/>
      <c r="C736" s="103"/>
      <c r="D736" s="103"/>
      <c r="E736" s="103"/>
      <c r="F736" s="103"/>
      <c r="G736" s="103"/>
      <c r="H736" s="103"/>
      <c r="I736" s="103"/>
      <c r="J736" s="103"/>
      <c r="K736" s="103"/>
      <c r="L736" s="103"/>
      <c r="M736" s="103"/>
      <c r="N736" s="103"/>
      <c r="O736" s="103"/>
      <c r="P736" s="103"/>
      <c r="Q736" s="103"/>
      <c r="R736" s="103"/>
      <c r="S736" s="103"/>
      <c r="T736" s="103"/>
      <c r="U736" s="103"/>
      <c r="V736" s="103"/>
      <c r="W736" s="103"/>
      <c r="X736" s="103"/>
      <c r="Y736" s="103"/>
      <c r="Z736" s="103"/>
    </row>
    <row r="737" ht="15.75" customHeight="1">
      <c r="A737" s="103"/>
      <c r="B737" s="103"/>
      <c r="C737" s="103"/>
      <c r="D737" s="103"/>
      <c r="E737" s="103"/>
      <c r="F737" s="103"/>
      <c r="G737" s="103"/>
      <c r="H737" s="103"/>
      <c r="I737" s="103"/>
      <c r="J737" s="103"/>
      <c r="K737" s="103"/>
      <c r="L737" s="103"/>
      <c r="M737" s="103"/>
      <c r="N737" s="103"/>
      <c r="O737" s="103"/>
      <c r="P737" s="103"/>
      <c r="Q737" s="103"/>
      <c r="R737" s="103"/>
      <c r="S737" s="103"/>
      <c r="T737" s="103"/>
      <c r="U737" s="103"/>
      <c r="V737" s="103"/>
      <c r="W737" s="103"/>
      <c r="X737" s="103"/>
      <c r="Y737" s="103"/>
      <c r="Z737" s="103"/>
    </row>
    <row r="738" ht="15.75" customHeight="1">
      <c r="A738" s="103"/>
      <c r="B738" s="103"/>
      <c r="C738" s="103"/>
      <c r="D738" s="103"/>
      <c r="E738" s="103"/>
      <c r="F738" s="103"/>
      <c r="G738" s="103"/>
      <c r="H738" s="103"/>
      <c r="I738" s="103"/>
      <c r="J738" s="103"/>
      <c r="K738" s="103"/>
      <c r="L738" s="103"/>
      <c r="M738" s="103"/>
      <c r="N738" s="103"/>
      <c r="O738" s="103"/>
      <c r="P738" s="103"/>
      <c r="Q738" s="103"/>
      <c r="R738" s="103"/>
      <c r="S738" s="103"/>
      <c r="T738" s="103"/>
      <c r="U738" s="103"/>
      <c r="V738" s="103"/>
      <c r="W738" s="103"/>
      <c r="X738" s="103"/>
      <c r="Y738" s="103"/>
      <c r="Z738" s="103"/>
    </row>
    <row r="739" ht="15.75" customHeight="1">
      <c r="A739" s="103"/>
      <c r="B739" s="103"/>
      <c r="C739" s="103"/>
      <c r="D739" s="103"/>
      <c r="E739" s="103"/>
      <c r="F739" s="103"/>
      <c r="G739" s="103"/>
      <c r="H739" s="103"/>
      <c r="I739" s="103"/>
      <c r="J739" s="103"/>
      <c r="K739" s="103"/>
      <c r="L739" s="103"/>
      <c r="M739" s="103"/>
      <c r="N739" s="103"/>
      <c r="O739" s="103"/>
      <c r="P739" s="103"/>
      <c r="Q739" s="103"/>
      <c r="R739" s="103"/>
      <c r="S739" s="103"/>
      <c r="T739" s="103"/>
      <c r="U739" s="103"/>
      <c r="V739" s="103"/>
      <c r="W739" s="103"/>
      <c r="X739" s="103"/>
      <c r="Y739" s="103"/>
      <c r="Z739" s="103"/>
    </row>
    <row r="740" ht="15.75" customHeight="1">
      <c r="A740" s="103"/>
      <c r="B740" s="103"/>
      <c r="C740" s="103"/>
      <c r="D740" s="103"/>
      <c r="E740" s="103"/>
      <c r="F740" s="103"/>
      <c r="G740" s="103"/>
      <c r="H740" s="103"/>
      <c r="I740" s="103"/>
      <c r="J740" s="103"/>
      <c r="K740" s="103"/>
      <c r="L740" s="103"/>
      <c r="M740" s="103"/>
      <c r="N740" s="103"/>
      <c r="O740" s="103"/>
      <c r="P740" s="103"/>
      <c r="Q740" s="103"/>
      <c r="R740" s="103"/>
      <c r="S740" s="103"/>
      <c r="T740" s="103"/>
      <c r="U740" s="103"/>
      <c r="V740" s="103"/>
      <c r="W740" s="103"/>
      <c r="X740" s="103"/>
      <c r="Y740" s="103"/>
      <c r="Z740" s="103"/>
    </row>
    <row r="741" ht="15.75" customHeight="1">
      <c r="A741" s="103"/>
      <c r="B741" s="103"/>
      <c r="C741" s="103"/>
      <c r="D741" s="103"/>
      <c r="E741" s="103"/>
      <c r="F741" s="103"/>
      <c r="G741" s="103"/>
      <c r="H741" s="103"/>
      <c r="I741" s="103"/>
      <c r="J741" s="103"/>
      <c r="K741" s="103"/>
      <c r="L741" s="103"/>
      <c r="M741" s="103"/>
      <c r="N741" s="103"/>
      <c r="O741" s="103"/>
      <c r="P741" s="103"/>
      <c r="Q741" s="103"/>
      <c r="R741" s="103"/>
      <c r="S741" s="103"/>
      <c r="T741" s="103"/>
      <c r="U741" s="103"/>
      <c r="V741" s="103"/>
      <c r="W741" s="103"/>
      <c r="X741" s="103"/>
      <c r="Y741" s="103"/>
      <c r="Z741" s="103"/>
    </row>
    <row r="742" ht="15.75" customHeight="1">
      <c r="A742" s="103"/>
      <c r="B742" s="103"/>
      <c r="C742" s="103"/>
      <c r="D742" s="103"/>
      <c r="E742" s="103"/>
      <c r="F742" s="103"/>
      <c r="G742" s="103"/>
      <c r="H742" s="103"/>
      <c r="I742" s="103"/>
      <c r="J742" s="103"/>
      <c r="K742" s="103"/>
      <c r="L742" s="103"/>
      <c r="M742" s="103"/>
      <c r="N742" s="103"/>
      <c r="O742" s="103"/>
      <c r="P742" s="103"/>
      <c r="Q742" s="103"/>
      <c r="R742" s="103"/>
      <c r="S742" s="103"/>
      <c r="T742" s="103"/>
      <c r="U742" s="103"/>
      <c r="V742" s="103"/>
      <c r="W742" s="103"/>
      <c r="X742" s="103"/>
      <c r="Y742" s="103"/>
      <c r="Z742" s="103"/>
    </row>
    <row r="743" ht="15.75" customHeight="1">
      <c r="A743" s="103"/>
      <c r="B743" s="103"/>
      <c r="C743" s="103"/>
      <c r="D743" s="103"/>
      <c r="E743" s="103"/>
      <c r="F743" s="103"/>
      <c r="G743" s="103"/>
      <c r="H743" s="103"/>
      <c r="I743" s="103"/>
      <c r="J743" s="103"/>
      <c r="K743" s="103"/>
      <c r="L743" s="103"/>
      <c r="M743" s="103"/>
      <c r="N743" s="103"/>
      <c r="O743" s="103"/>
      <c r="P743" s="103"/>
      <c r="Q743" s="103"/>
      <c r="R743" s="103"/>
      <c r="S743" s="103"/>
      <c r="T743" s="103"/>
      <c r="U743" s="103"/>
      <c r="V743" s="103"/>
      <c r="W743" s="103"/>
      <c r="X743" s="103"/>
      <c r="Y743" s="103"/>
      <c r="Z743" s="103"/>
    </row>
    <row r="744" ht="15.75" customHeight="1">
      <c r="A744" s="103"/>
      <c r="B744" s="103"/>
      <c r="C744" s="103"/>
      <c r="D744" s="103"/>
      <c r="E744" s="103"/>
      <c r="F744" s="103"/>
      <c r="G744" s="103"/>
      <c r="H744" s="103"/>
      <c r="I744" s="103"/>
      <c r="J744" s="103"/>
      <c r="K744" s="103"/>
      <c r="L744" s="103"/>
      <c r="M744" s="103"/>
      <c r="N744" s="103"/>
      <c r="O744" s="103"/>
      <c r="P744" s="103"/>
      <c r="Q744" s="103"/>
      <c r="R744" s="103"/>
      <c r="S744" s="103"/>
      <c r="T744" s="103"/>
      <c r="U744" s="103"/>
      <c r="V744" s="103"/>
      <c r="W744" s="103"/>
      <c r="X744" s="103"/>
      <c r="Y744" s="103"/>
      <c r="Z744" s="103"/>
    </row>
    <row r="745" ht="15.75" customHeight="1">
      <c r="A745" s="103"/>
      <c r="B745" s="103"/>
      <c r="C745" s="103"/>
      <c r="D745" s="103"/>
      <c r="E745" s="103"/>
      <c r="F745" s="103"/>
      <c r="G745" s="103"/>
      <c r="H745" s="103"/>
      <c r="I745" s="103"/>
      <c r="J745" s="103"/>
      <c r="K745" s="103"/>
      <c r="L745" s="103"/>
      <c r="M745" s="103"/>
      <c r="N745" s="103"/>
      <c r="O745" s="103"/>
      <c r="P745" s="103"/>
      <c r="Q745" s="103"/>
      <c r="R745" s="103"/>
      <c r="S745" s="103"/>
      <c r="T745" s="103"/>
      <c r="U745" s="103"/>
      <c r="V745" s="103"/>
      <c r="W745" s="103"/>
      <c r="X745" s="103"/>
      <c r="Y745" s="103"/>
      <c r="Z745" s="103"/>
    </row>
    <row r="746" ht="15.75" customHeight="1">
      <c r="A746" s="103"/>
      <c r="B746" s="103"/>
      <c r="C746" s="103"/>
      <c r="D746" s="103"/>
      <c r="E746" s="103"/>
      <c r="F746" s="103"/>
      <c r="G746" s="103"/>
      <c r="H746" s="103"/>
      <c r="I746" s="103"/>
      <c r="J746" s="103"/>
      <c r="K746" s="103"/>
      <c r="L746" s="103"/>
      <c r="M746" s="103"/>
      <c r="N746" s="103"/>
      <c r="O746" s="103"/>
      <c r="P746" s="103"/>
      <c r="Q746" s="103"/>
      <c r="R746" s="103"/>
      <c r="S746" s="103"/>
      <c r="T746" s="103"/>
      <c r="U746" s="103"/>
      <c r="V746" s="103"/>
      <c r="W746" s="103"/>
      <c r="X746" s="103"/>
      <c r="Y746" s="103"/>
      <c r="Z746" s="103"/>
    </row>
    <row r="747" ht="15.75" customHeight="1">
      <c r="A747" s="103"/>
      <c r="B747" s="103"/>
      <c r="C747" s="103"/>
      <c r="D747" s="103"/>
      <c r="E747" s="103"/>
      <c r="F747" s="103"/>
      <c r="G747" s="103"/>
      <c r="H747" s="103"/>
      <c r="I747" s="103"/>
      <c r="J747" s="103"/>
      <c r="K747" s="103"/>
      <c r="L747" s="103"/>
      <c r="M747" s="103"/>
      <c r="N747" s="103"/>
      <c r="O747" s="103"/>
      <c r="P747" s="103"/>
      <c r="Q747" s="103"/>
      <c r="R747" s="103"/>
      <c r="S747" s="103"/>
      <c r="T747" s="103"/>
      <c r="U747" s="103"/>
      <c r="V747" s="103"/>
      <c r="W747" s="103"/>
      <c r="X747" s="103"/>
      <c r="Y747" s="103"/>
      <c r="Z747" s="103"/>
    </row>
    <row r="748" ht="15.75" customHeight="1">
      <c r="A748" s="103"/>
      <c r="B748" s="103"/>
      <c r="C748" s="103"/>
      <c r="D748" s="103"/>
      <c r="E748" s="103"/>
      <c r="F748" s="103"/>
      <c r="G748" s="103"/>
      <c r="H748" s="103"/>
      <c r="I748" s="103"/>
      <c r="J748" s="103"/>
      <c r="K748" s="103"/>
      <c r="L748" s="103"/>
      <c r="M748" s="103"/>
      <c r="N748" s="103"/>
      <c r="O748" s="103"/>
      <c r="P748" s="103"/>
      <c r="Q748" s="103"/>
      <c r="R748" s="103"/>
      <c r="S748" s="103"/>
      <c r="T748" s="103"/>
      <c r="U748" s="103"/>
      <c r="V748" s="103"/>
      <c r="W748" s="103"/>
      <c r="X748" s="103"/>
      <c r="Y748" s="103"/>
      <c r="Z748" s="103"/>
    </row>
    <row r="749" ht="15.75" customHeight="1">
      <c r="A749" s="103"/>
      <c r="B749" s="103"/>
      <c r="C749" s="103"/>
      <c r="D749" s="103"/>
      <c r="E749" s="103"/>
      <c r="F749" s="103"/>
      <c r="G749" s="103"/>
      <c r="H749" s="103"/>
      <c r="I749" s="103"/>
      <c r="J749" s="103"/>
      <c r="K749" s="103"/>
      <c r="L749" s="103"/>
      <c r="M749" s="103"/>
      <c r="N749" s="103"/>
      <c r="O749" s="103"/>
      <c r="P749" s="103"/>
      <c r="Q749" s="103"/>
      <c r="R749" s="103"/>
      <c r="S749" s="103"/>
      <c r="T749" s="103"/>
      <c r="U749" s="103"/>
      <c r="V749" s="103"/>
      <c r="W749" s="103"/>
      <c r="X749" s="103"/>
      <c r="Y749" s="103"/>
      <c r="Z749" s="103"/>
    </row>
    <row r="750" ht="15.75" customHeight="1">
      <c r="A750" s="103"/>
      <c r="B750" s="103"/>
      <c r="C750" s="103"/>
      <c r="D750" s="103"/>
      <c r="E750" s="103"/>
      <c r="F750" s="103"/>
      <c r="G750" s="103"/>
      <c r="H750" s="103"/>
      <c r="I750" s="103"/>
      <c r="J750" s="103"/>
      <c r="K750" s="103"/>
      <c r="L750" s="103"/>
      <c r="M750" s="103"/>
      <c r="N750" s="103"/>
      <c r="O750" s="103"/>
      <c r="P750" s="103"/>
      <c r="Q750" s="103"/>
      <c r="R750" s="103"/>
      <c r="S750" s="103"/>
      <c r="T750" s="103"/>
      <c r="U750" s="103"/>
      <c r="V750" s="103"/>
      <c r="W750" s="103"/>
      <c r="X750" s="103"/>
      <c r="Y750" s="103"/>
      <c r="Z750" s="103"/>
    </row>
    <row r="751" ht="15.75" customHeight="1">
      <c r="A751" s="103"/>
      <c r="B751" s="103"/>
      <c r="C751" s="103"/>
      <c r="D751" s="103"/>
      <c r="E751" s="103"/>
      <c r="F751" s="103"/>
      <c r="G751" s="103"/>
      <c r="H751" s="103"/>
      <c r="I751" s="103"/>
      <c r="J751" s="103"/>
      <c r="K751" s="103"/>
      <c r="L751" s="103"/>
      <c r="M751" s="103"/>
      <c r="N751" s="103"/>
      <c r="O751" s="103"/>
      <c r="P751" s="103"/>
      <c r="Q751" s="103"/>
      <c r="R751" s="103"/>
      <c r="S751" s="103"/>
      <c r="T751" s="103"/>
      <c r="U751" s="103"/>
      <c r="V751" s="103"/>
      <c r="W751" s="103"/>
      <c r="X751" s="103"/>
      <c r="Y751" s="103"/>
      <c r="Z751" s="103"/>
    </row>
    <row r="752" ht="15.75" customHeight="1">
      <c r="A752" s="103"/>
      <c r="B752" s="103"/>
      <c r="C752" s="103"/>
      <c r="D752" s="103"/>
      <c r="E752" s="103"/>
      <c r="F752" s="103"/>
      <c r="G752" s="103"/>
      <c r="H752" s="103"/>
      <c r="I752" s="103"/>
      <c r="J752" s="103"/>
      <c r="K752" s="103"/>
      <c r="L752" s="103"/>
      <c r="M752" s="103"/>
      <c r="N752" s="103"/>
      <c r="O752" s="103"/>
      <c r="P752" s="103"/>
      <c r="Q752" s="103"/>
      <c r="R752" s="103"/>
      <c r="S752" s="103"/>
      <c r="T752" s="103"/>
      <c r="U752" s="103"/>
      <c r="V752" s="103"/>
      <c r="W752" s="103"/>
      <c r="X752" s="103"/>
      <c r="Y752" s="103"/>
      <c r="Z752" s="103"/>
    </row>
    <row r="753" ht="15.75" customHeight="1">
      <c r="A753" s="103"/>
      <c r="B753" s="103"/>
      <c r="C753" s="103"/>
      <c r="D753" s="103"/>
      <c r="E753" s="103"/>
      <c r="F753" s="103"/>
      <c r="G753" s="103"/>
      <c r="H753" s="103"/>
      <c r="I753" s="103"/>
      <c r="J753" s="103"/>
      <c r="K753" s="103"/>
      <c r="L753" s="103"/>
      <c r="M753" s="103"/>
      <c r="N753" s="103"/>
      <c r="O753" s="103"/>
      <c r="P753" s="103"/>
      <c r="Q753" s="103"/>
      <c r="R753" s="103"/>
      <c r="S753" s="103"/>
      <c r="T753" s="103"/>
      <c r="U753" s="103"/>
      <c r="V753" s="103"/>
      <c r="W753" s="103"/>
      <c r="X753" s="103"/>
      <c r="Y753" s="103"/>
      <c r="Z753" s="103"/>
    </row>
    <row r="754" ht="15.75" customHeight="1">
      <c r="A754" s="103"/>
      <c r="B754" s="103"/>
      <c r="C754" s="103"/>
      <c r="D754" s="103"/>
      <c r="E754" s="103"/>
      <c r="F754" s="103"/>
      <c r="G754" s="103"/>
      <c r="H754" s="103"/>
      <c r="I754" s="103"/>
      <c r="J754" s="103"/>
      <c r="K754" s="103"/>
      <c r="L754" s="103"/>
      <c r="M754" s="103"/>
      <c r="N754" s="103"/>
      <c r="O754" s="103"/>
      <c r="P754" s="103"/>
      <c r="Q754" s="103"/>
      <c r="R754" s="103"/>
      <c r="S754" s="103"/>
      <c r="T754" s="103"/>
      <c r="U754" s="103"/>
      <c r="V754" s="103"/>
      <c r="W754" s="103"/>
      <c r="X754" s="103"/>
      <c r="Y754" s="103"/>
      <c r="Z754" s="103"/>
    </row>
    <row r="755" ht="15.75" customHeight="1">
      <c r="A755" s="103"/>
      <c r="B755" s="103"/>
      <c r="C755" s="103"/>
      <c r="D755" s="103"/>
      <c r="E755" s="103"/>
      <c r="F755" s="103"/>
      <c r="G755" s="103"/>
      <c r="H755" s="103"/>
      <c r="I755" s="103"/>
      <c r="J755" s="103"/>
      <c r="K755" s="103"/>
      <c r="L755" s="103"/>
      <c r="M755" s="103"/>
      <c r="N755" s="103"/>
      <c r="O755" s="103"/>
      <c r="P755" s="103"/>
      <c r="Q755" s="103"/>
      <c r="R755" s="103"/>
      <c r="S755" s="103"/>
      <c r="T755" s="103"/>
      <c r="U755" s="103"/>
      <c r="V755" s="103"/>
      <c r="W755" s="103"/>
      <c r="X755" s="103"/>
      <c r="Y755" s="103"/>
      <c r="Z755" s="103"/>
    </row>
    <row r="756" ht="15.75" customHeight="1">
      <c r="A756" s="103"/>
      <c r="B756" s="103"/>
      <c r="C756" s="103"/>
      <c r="D756" s="103"/>
      <c r="E756" s="103"/>
      <c r="F756" s="103"/>
      <c r="G756" s="103"/>
      <c r="H756" s="103"/>
      <c r="I756" s="103"/>
      <c r="J756" s="103"/>
      <c r="K756" s="103"/>
      <c r="L756" s="103"/>
      <c r="M756" s="103"/>
      <c r="N756" s="103"/>
      <c r="O756" s="103"/>
      <c r="P756" s="103"/>
      <c r="Q756" s="103"/>
      <c r="R756" s="103"/>
      <c r="S756" s="103"/>
      <c r="T756" s="103"/>
      <c r="U756" s="103"/>
      <c r="V756" s="103"/>
      <c r="W756" s="103"/>
      <c r="X756" s="103"/>
      <c r="Y756" s="103"/>
      <c r="Z756" s="103"/>
    </row>
    <row r="757" ht="15.75" customHeight="1">
      <c r="A757" s="103"/>
      <c r="B757" s="103"/>
      <c r="C757" s="103"/>
      <c r="D757" s="103"/>
      <c r="E757" s="103"/>
      <c r="F757" s="103"/>
      <c r="G757" s="103"/>
      <c r="H757" s="103"/>
      <c r="I757" s="103"/>
      <c r="J757" s="103"/>
      <c r="K757" s="103"/>
      <c r="L757" s="103"/>
      <c r="M757" s="103"/>
      <c r="N757" s="103"/>
      <c r="O757" s="103"/>
      <c r="P757" s="103"/>
      <c r="Q757" s="103"/>
      <c r="R757" s="103"/>
      <c r="S757" s="103"/>
      <c r="T757" s="103"/>
      <c r="U757" s="103"/>
      <c r="V757" s="103"/>
      <c r="W757" s="103"/>
      <c r="X757" s="103"/>
      <c r="Y757" s="103"/>
      <c r="Z757" s="103"/>
    </row>
    <row r="758" ht="15.75" customHeight="1">
      <c r="A758" s="103"/>
      <c r="B758" s="103"/>
      <c r="C758" s="103"/>
      <c r="D758" s="103"/>
      <c r="E758" s="103"/>
      <c r="F758" s="103"/>
      <c r="G758" s="103"/>
      <c r="H758" s="103"/>
      <c r="I758" s="103"/>
      <c r="J758" s="103"/>
      <c r="K758" s="103"/>
      <c r="L758" s="103"/>
      <c r="M758" s="103"/>
      <c r="N758" s="103"/>
      <c r="O758" s="103"/>
      <c r="P758" s="103"/>
      <c r="Q758" s="103"/>
      <c r="R758" s="103"/>
      <c r="S758" s="103"/>
      <c r="T758" s="103"/>
      <c r="U758" s="103"/>
      <c r="V758" s="103"/>
      <c r="W758" s="103"/>
      <c r="X758" s="103"/>
      <c r="Y758" s="103"/>
      <c r="Z758" s="103"/>
    </row>
    <row r="759" ht="15.75" customHeight="1">
      <c r="A759" s="103"/>
      <c r="B759" s="103"/>
      <c r="C759" s="103"/>
      <c r="D759" s="103"/>
      <c r="E759" s="103"/>
      <c r="F759" s="103"/>
      <c r="G759" s="103"/>
      <c r="H759" s="103"/>
      <c r="I759" s="103"/>
      <c r="J759" s="103"/>
      <c r="K759" s="103"/>
      <c r="L759" s="103"/>
      <c r="M759" s="103"/>
      <c r="N759" s="103"/>
      <c r="O759" s="103"/>
      <c r="P759" s="103"/>
      <c r="Q759" s="103"/>
      <c r="R759" s="103"/>
      <c r="S759" s="103"/>
      <c r="T759" s="103"/>
      <c r="U759" s="103"/>
      <c r="V759" s="103"/>
      <c r="W759" s="103"/>
      <c r="X759" s="103"/>
      <c r="Y759" s="103"/>
      <c r="Z759" s="103"/>
    </row>
    <row r="760" ht="15.75" customHeight="1">
      <c r="A760" s="103"/>
      <c r="B760" s="103"/>
      <c r="C760" s="103"/>
      <c r="D760" s="103"/>
      <c r="E760" s="103"/>
      <c r="F760" s="103"/>
      <c r="G760" s="103"/>
      <c r="H760" s="103"/>
      <c r="I760" s="103"/>
      <c r="J760" s="103"/>
      <c r="K760" s="103"/>
      <c r="L760" s="103"/>
      <c r="M760" s="103"/>
      <c r="N760" s="103"/>
      <c r="O760" s="103"/>
      <c r="P760" s="103"/>
      <c r="Q760" s="103"/>
      <c r="R760" s="103"/>
      <c r="S760" s="103"/>
      <c r="T760" s="103"/>
      <c r="U760" s="103"/>
      <c r="V760" s="103"/>
      <c r="W760" s="103"/>
      <c r="X760" s="103"/>
      <c r="Y760" s="103"/>
      <c r="Z760" s="103"/>
    </row>
    <row r="761" ht="15.75" customHeight="1">
      <c r="A761" s="103"/>
      <c r="B761" s="103"/>
      <c r="C761" s="103"/>
      <c r="D761" s="103"/>
      <c r="E761" s="103"/>
      <c r="F761" s="103"/>
      <c r="G761" s="103"/>
      <c r="H761" s="103"/>
      <c r="I761" s="103"/>
      <c r="J761" s="103"/>
      <c r="K761" s="103"/>
      <c r="L761" s="103"/>
      <c r="M761" s="103"/>
      <c r="N761" s="103"/>
      <c r="O761" s="103"/>
      <c r="P761" s="103"/>
      <c r="Q761" s="103"/>
      <c r="R761" s="103"/>
      <c r="S761" s="103"/>
      <c r="T761" s="103"/>
      <c r="U761" s="103"/>
      <c r="V761" s="103"/>
      <c r="W761" s="103"/>
      <c r="X761" s="103"/>
      <c r="Y761" s="103"/>
      <c r="Z761" s="103"/>
    </row>
    <row r="762" ht="15.75" customHeight="1">
      <c r="A762" s="103"/>
      <c r="B762" s="103"/>
      <c r="C762" s="103"/>
      <c r="D762" s="103"/>
      <c r="E762" s="103"/>
      <c r="F762" s="103"/>
      <c r="G762" s="103"/>
      <c r="H762" s="103"/>
      <c r="I762" s="103"/>
      <c r="J762" s="103"/>
      <c r="K762" s="103"/>
      <c r="L762" s="103"/>
      <c r="M762" s="103"/>
      <c r="N762" s="103"/>
      <c r="O762" s="103"/>
      <c r="P762" s="103"/>
      <c r="Q762" s="103"/>
      <c r="R762" s="103"/>
      <c r="S762" s="103"/>
      <c r="T762" s="103"/>
      <c r="U762" s="103"/>
      <c r="V762" s="103"/>
      <c r="W762" s="103"/>
      <c r="X762" s="103"/>
      <c r="Y762" s="103"/>
      <c r="Z762" s="103"/>
    </row>
    <row r="763" ht="15.75" customHeight="1">
      <c r="A763" s="103"/>
      <c r="B763" s="103"/>
      <c r="C763" s="103"/>
      <c r="D763" s="103"/>
      <c r="E763" s="103"/>
      <c r="F763" s="103"/>
      <c r="G763" s="103"/>
      <c r="H763" s="103"/>
      <c r="I763" s="103"/>
      <c r="J763" s="103"/>
      <c r="K763" s="103"/>
      <c r="L763" s="103"/>
      <c r="M763" s="103"/>
      <c r="N763" s="103"/>
      <c r="O763" s="103"/>
      <c r="P763" s="103"/>
      <c r="Q763" s="103"/>
      <c r="R763" s="103"/>
      <c r="S763" s="103"/>
      <c r="T763" s="103"/>
      <c r="U763" s="103"/>
      <c r="V763" s="103"/>
      <c r="W763" s="103"/>
      <c r="X763" s="103"/>
      <c r="Y763" s="103"/>
      <c r="Z763" s="103"/>
    </row>
    <row r="764" ht="15.75" customHeight="1">
      <c r="A764" s="103"/>
      <c r="B764" s="103"/>
      <c r="C764" s="103"/>
      <c r="D764" s="103"/>
      <c r="E764" s="103"/>
      <c r="F764" s="103"/>
      <c r="G764" s="103"/>
      <c r="H764" s="103"/>
      <c r="I764" s="103"/>
      <c r="J764" s="103"/>
      <c r="K764" s="103"/>
      <c r="L764" s="103"/>
      <c r="M764" s="103"/>
      <c r="N764" s="103"/>
      <c r="O764" s="103"/>
      <c r="P764" s="103"/>
      <c r="Q764" s="103"/>
      <c r="R764" s="103"/>
      <c r="S764" s="103"/>
      <c r="T764" s="103"/>
      <c r="U764" s="103"/>
      <c r="V764" s="103"/>
      <c r="W764" s="103"/>
      <c r="X764" s="103"/>
      <c r="Y764" s="103"/>
      <c r="Z764" s="103"/>
    </row>
    <row r="765" ht="15.75" customHeight="1">
      <c r="A765" s="103"/>
      <c r="B765" s="103"/>
      <c r="C765" s="103"/>
      <c r="D765" s="103"/>
      <c r="E765" s="103"/>
      <c r="F765" s="103"/>
      <c r="G765" s="103"/>
      <c r="H765" s="103"/>
      <c r="I765" s="103"/>
      <c r="J765" s="103"/>
      <c r="K765" s="103"/>
      <c r="L765" s="103"/>
      <c r="M765" s="103"/>
      <c r="N765" s="103"/>
      <c r="O765" s="103"/>
      <c r="P765" s="103"/>
      <c r="Q765" s="103"/>
      <c r="R765" s="103"/>
      <c r="S765" s="103"/>
      <c r="T765" s="103"/>
      <c r="U765" s="103"/>
      <c r="V765" s="103"/>
      <c r="W765" s="103"/>
      <c r="X765" s="103"/>
      <c r="Y765" s="103"/>
      <c r="Z765" s="103"/>
    </row>
    <row r="766" ht="15.75" customHeight="1">
      <c r="A766" s="103"/>
      <c r="B766" s="103"/>
      <c r="C766" s="103"/>
      <c r="D766" s="103"/>
      <c r="E766" s="103"/>
      <c r="F766" s="103"/>
      <c r="G766" s="103"/>
      <c r="H766" s="103"/>
      <c r="I766" s="103"/>
      <c r="J766" s="103"/>
      <c r="K766" s="103"/>
      <c r="L766" s="103"/>
      <c r="M766" s="103"/>
      <c r="N766" s="103"/>
      <c r="O766" s="103"/>
      <c r="P766" s="103"/>
      <c r="Q766" s="103"/>
      <c r="R766" s="103"/>
      <c r="S766" s="103"/>
      <c r="T766" s="103"/>
      <c r="U766" s="103"/>
      <c r="V766" s="103"/>
      <c r="W766" s="103"/>
      <c r="X766" s="103"/>
      <c r="Y766" s="103"/>
      <c r="Z766" s="103"/>
    </row>
    <row r="767" ht="15.75" customHeight="1">
      <c r="A767" s="103"/>
      <c r="B767" s="103"/>
      <c r="C767" s="103"/>
      <c r="D767" s="103"/>
      <c r="E767" s="103"/>
      <c r="F767" s="103"/>
      <c r="G767" s="103"/>
      <c r="H767" s="103"/>
      <c r="I767" s="103"/>
      <c r="J767" s="103"/>
      <c r="K767" s="103"/>
      <c r="L767" s="103"/>
      <c r="M767" s="103"/>
      <c r="N767" s="103"/>
      <c r="O767" s="103"/>
      <c r="P767" s="103"/>
      <c r="Q767" s="103"/>
      <c r="R767" s="103"/>
      <c r="S767" s="103"/>
      <c r="T767" s="103"/>
      <c r="U767" s="103"/>
      <c r="V767" s="103"/>
      <c r="W767" s="103"/>
      <c r="X767" s="103"/>
      <c r="Y767" s="103"/>
      <c r="Z767" s="103"/>
    </row>
    <row r="768" ht="15.75" customHeight="1">
      <c r="A768" s="103"/>
      <c r="B768" s="103"/>
      <c r="C768" s="103"/>
      <c r="D768" s="103"/>
      <c r="E768" s="103"/>
      <c r="F768" s="103"/>
      <c r="G768" s="103"/>
      <c r="H768" s="103"/>
      <c r="I768" s="103"/>
      <c r="J768" s="103"/>
      <c r="K768" s="103"/>
      <c r="L768" s="103"/>
      <c r="M768" s="103"/>
      <c r="N768" s="103"/>
      <c r="O768" s="103"/>
      <c r="P768" s="103"/>
      <c r="Q768" s="103"/>
      <c r="R768" s="103"/>
      <c r="S768" s="103"/>
      <c r="T768" s="103"/>
      <c r="U768" s="103"/>
      <c r="V768" s="103"/>
      <c r="W768" s="103"/>
      <c r="X768" s="103"/>
      <c r="Y768" s="103"/>
      <c r="Z768" s="103"/>
    </row>
    <row r="769" ht="15.75" customHeight="1">
      <c r="A769" s="103"/>
      <c r="B769" s="103"/>
      <c r="C769" s="103"/>
      <c r="D769" s="103"/>
      <c r="E769" s="103"/>
      <c r="F769" s="103"/>
      <c r="G769" s="103"/>
      <c r="H769" s="103"/>
      <c r="I769" s="103"/>
      <c r="J769" s="103"/>
      <c r="K769" s="103"/>
      <c r="L769" s="103"/>
      <c r="M769" s="103"/>
      <c r="N769" s="103"/>
      <c r="O769" s="103"/>
      <c r="P769" s="103"/>
      <c r="Q769" s="103"/>
      <c r="R769" s="103"/>
      <c r="S769" s="103"/>
      <c r="T769" s="103"/>
      <c r="U769" s="103"/>
      <c r="V769" s="103"/>
      <c r="W769" s="103"/>
      <c r="X769" s="103"/>
      <c r="Y769" s="103"/>
      <c r="Z769" s="103"/>
    </row>
    <row r="770" ht="15.75" customHeight="1">
      <c r="A770" s="103"/>
      <c r="B770" s="103"/>
      <c r="C770" s="103"/>
      <c r="D770" s="103"/>
      <c r="E770" s="103"/>
      <c r="F770" s="103"/>
      <c r="G770" s="103"/>
      <c r="H770" s="103"/>
      <c r="I770" s="103"/>
      <c r="J770" s="103"/>
      <c r="K770" s="103"/>
      <c r="L770" s="103"/>
      <c r="M770" s="103"/>
      <c r="N770" s="103"/>
      <c r="O770" s="103"/>
      <c r="P770" s="103"/>
      <c r="Q770" s="103"/>
      <c r="R770" s="103"/>
      <c r="S770" s="103"/>
      <c r="T770" s="103"/>
      <c r="U770" s="103"/>
      <c r="V770" s="103"/>
      <c r="W770" s="103"/>
      <c r="X770" s="103"/>
      <c r="Y770" s="103"/>
      <c r="Z770" s="103"/>
    </row>
    <row r="771" ht="15.75" customHeight="1">
      <c r="A771" s="103"/>
      <c r="B771" s="103"/>
      <c r="C771" s="103"/>
      <c r="D771" s="103"/>
      <c r="E771" s="103"/>
      <c r="F771" s="103"/>
      <c r="G771" s="103"/>
      <c r="H771" s="103"/>
      <c r="I771" s="103"/>
      <c r="J771" s="103"/>
      <c r="K771" s="103"/>
      <c r="L771" s="103"/>
      <c r="M771" s="103"/>
      <c r="N771" s="103"/>
      <c r="O771" s="103"/>
      <c r="P771" s="103"/>
      <c r="Q771" s="103"/>
      <c r="R771" s="103"/>
      <c r="S771" s="103"/>
      <c r="T771" s="103"/>
      <c r="U771" s="103"/>
      <c r="V771" s="103"/>
      <c r="W771" s="103"/>
      <c r="X771" s="103"/>
      <c r="Y771" s="103"/>
      <c r="Z771" s="103"/>
    </row>
    <row r="772" ht="15.75" customHeight="1">
      <c r="A772" s="103"/>
      <c r="B772" s="103"/>
      <c r="C772" s="103"/>
      <c r="D772" s="103"/>
      <c r="E772" s="103"/>
      <c r="F772" s="103"/>
      <c r="G772" s="103"/>
      <c r="H772" s="103"/>
      <c r="I772" s="103"/>
      <c r="J772" s="103"/>
      <c r="K772" s="103"/>
      <c r="L772" s="103"/>
      <c r="M772" s="103"/>
      <c r="N772" s="103"/>
      <c r="O772" s="103"/>
      <c r="P772" s="103"/>
      <c r="Q772" s="103"/>
      <c r="R772" s="103"/>
      <c r="S772" s="103"/>
      <c r="T772" s="103"/>
      <c r="U772" s="103"/>
      <c r="V772" s="103"/>
      <c r="W772" s="103"/>
      <c r="X772" s="103"/>
      <c r="Y772" s="103"/>
      <c r="Z772" s="103"/>
    </row>
    <row r="773" ht="15.75" customHeight="1">
      <c r="A773" s="103"/>
      <c r="B773" s="103"/>
      <c r="C773" s="103"/>
      <c r="D773" s="103"/>
      <c r="E773" s="103"/>
      <c r="F773" s="103"/>
      <c r="G773" s="103"/>
      <c r="H773" s="103"/>
      <c r="I773" s="103"/>
      <c r="J773" s="103"/>
      <c r="K773" s="103"/>
      <c r="L773" s="103"/>
      <c r="M773" s="103"/>
      <c r="N773" s="103"/>
      <c r="O773" s="103"/>
      <c r="P773" s="103"/>
      <c r="Q773" s="103"/>
      <c r="R773" s="103"/>
      <c r="S773" s="103"/>
      <c r="T773" s="103"/>
      <c r="U773" s="103"/>
      <c r="V773" s="103"/>
      <c r="W773" s="103"/>
      <c r="X773" s="103"/>
      <c r="Y773" s="103"/>
      <c r="Z773" s="103"/>
    </row>
    <row r="774" ht="15.75" customHeight="1">
      <c r="A774" s="103"/>
      <c r="B774" s="103"/>
      <c r="C774" s="103"/>
      <c r="D774" s="103"/>
      <c r="E774" s="103"/>
      <c r="F774" s="103"/>
      <c r="G774" s="103"/>
      <c r="H774" s="103"/>
      <c r="I774" s="103"/>
      <c r="J774" s="103"/>
      <c r="K774" s="103"/>
      <c r="L774" s="103"/>
      <c r="M774" s="103"/>
      <c r="N774" s="103"/>
      <c r="O774" s="103"/>
      <c r="P774" s="103"/>
      <c r="Q774" s="103"/>
      <c r="R774" s="103"/>
      <c r="S774" s="103"/>
      <c r="T774" s="103"/>
      <c r="U774" s="103"/>
      <c r="V774" s="103"/>
      <c r="W774" s="103"/>
      <c r="X774" s="103"/>
      <c r="Y774" s="103"/>
      <c r="Z774" s="103"/>
    </row>
    <row r="775" ht="15.75" customHeight="1">
      <c r="A775" s="103"/>
      <c r="B775" s="103"/>
      <c r="C775" s="103"/>
      <c r="D775" s="103"/>
      <c r="E775" s="103"/>
      <c r="F775" s="103"/>
      <c r="G775" s="103"/>
      <c r="H775" s="103"/>
      <c r="I775" s="103"/>
      <c r="J775" s="103"/>
      <c r="K775" s="103"/>
      <c r="L775" s="103"/>
      <c r="M775" s="103"/>
      <c r="N775" s="103"/>
      <c r="O775" s="103"/>
      <c r="P775" s="103"/>
      <c r="Q775" s="103"/>
      <c r="R775" s="103"/>
      <c r="S775" s="103"/>
      <c r="T775" s="103"/>
      <c r="U775" s="103"/>
      <c r="V775" s="103"/>
      <c r="W775" s="103"/>
      <c r="X775" s="103"/>
      <c r="Y775" s="103"/>
      <c r="Z775" s="103"/>
    </row>
    <row r="776" ht="15.75" customHeight="1">
      <c r="A776" s="103"/>
      <c r="B776" s="103"/>
      <c r="C776" s="103"/>
      <c r="D776" s="103"/>
      <c r="E776" s="103"/>
      <c r="F776" s="103"/>
      <c r="G776" s="103"/>
      <c r="H776" s="103"/>
      <c r="I776" s="103"/>
      <c r="J776" s="103"/>
      <c r="K776" s="103"/>
      <c r="L776" s="103"/>
      <c r="M776" s="103"/>
      <c r="N776" s="103"/>
      <c r="O776" s="103"/>
      <c r="P776" s="103"/>
      <c r="Q776" s="103"/>
      <c r="R776" s="103"/>
      <c r="S776" s="103"/>
      <c r="T776" s="103"/>
      <c r="U776" s="103"/>
      <c r="V776" s="103"/>
      <c r="W776" s="103"/>
      <c r="X776" s="103"/>
      <c r="Y776" s="103"/>
      <c r="Z776" s="103"/>
    </row>
    <row r="777" ht="15.75" customHeight="1">
      <c r="A777" s="103"/>
      <c r="B777" s="103"/>
      <c r="C777" s="103"/>
      <c r="D777" s="103"/>
      <c r="E777" s="103"/>
      <c r="F777" s="103"/>
      <c r="G777" s="103"/>
      <c r="H777" s="103"/>
      <c r="I777" s="103"/>
      <c r="J777" s="103"/>
      <c r="K777" s="103"/>
      <c r="L777" s="103"/>
      <c r="M777" s="103"/>
      <c r="N777" s="103"/>
      <c r="O777" s="103"/>
      <c r="P777" s="103"/>
      <c r="Q777" s="103"/>
      <c r="R777" s="103"/>
      <c r="S777" s="103"/>
      <c r="T777" s="103"/>
      <c r="U777" s="103"/>
      <c r="V777" s="103"/>
      <c r="W777" s="103"/>
      <c r="X777" s="103"/>
      <c r="Y777" s="103"/>
      <c r="Z777" s="103"/>
    </row>
    <row r="778" ht="15.75" customHeight="1">
      <c r="A778" s="103"/>
      <c r="B778" s="103"/>
      <c r="C778" s="103"/>
      <c r="D778" s="103"/>
      <c r="E778" s="103"/>
      <c r="F778" s="103"/>
      <c r="G778" s="103"/>
      <c r="H778" s="103"/>
      <c r="I778" s="103"/>
      <c r="J778" s="103"/>
      <c r="K778" s="103"/>
      <c r="L778" s="103"/>
      <c r="M778" s="103"/>
      <c r="N778" s="103"/>
      <c r="O778" s="103"/>
      <c r="P778" s="103"/>
      <c r="Q778" s="103"/>
      <c r="R778" s="103"/>
      <c r="S778" s="103"/>
      <c r="T778" s="103"/>
      <c r="U778" s="103"/>
      <c r="V778" s="103"/>
      <c r="W778" s="103"/>
      <c r="X778" s="103"/>
      <c r="Y778" s="103"/>
      <c r="Z778" s="103"/>
    </row>
    <row r="779" ht="15.75" customHeight="1">
      <c r="A779" s="103"/>
      <c r="B779" s="103"/>
      <c r="C779" s="103"/>
      <c r="D779" s="103"/>
      <c r="E779" s="103"/>
      <c r="F779" s="103"/>
      <c r="G779" s="103"/>
      <c r="H779" s="103"/>
      <c r="I779" s="103"/>
      <c r="J779" s="103"/>
      <c r="K779" s="103"/>
      <c r="L779" s="103"/>
      <c r="M779" s="103"/>
      <c r="N779" s="103"/>
      <c r="O779" s="103"/>
      <c r="P779" s="103"/>
      <c r="Q779" s="103"/>
      <c r="R779" s="103"/>
      <c r="S779" s="103"/>
      <c r="T779" s="103"/>
      <c r="U779" s="103"/>
      <c r="V779" s="103"/>
      <c r="W779" s="103"/>
      <c r="X779" s="103"/>
      <c r="Y779" s="103"/>
      <c r="Z779" s="103"/>
    </row>
    <row r="780" ht="15.75" customHeight="1">
      <c r="A780" s="103"/>
      <c r="B780" s="103"/>
      <c r="C780" s="103"/>
      <c r="D780" s="103"/>
      <c r="E780" s="103"/>
      <c r="F780" s="103"/>
      <c r="G780" s="103"/>
      <c r="H780" s="103"/>
      <c r="I780" s="103"/>
      <c r="J780" s="103"/>
      <c r="K780" s="103"/>
      <c r="L780" s="103"/>
      <c r="M780" s="103"/>
      <c r="N780" s="103"/>
      <c r="O780" s="103"/>
      <c r="P780" s="103"/>
      <c r="Q780" s="103"/>
      <c r="R780" s="103"/>
      <c r="S780" s="103"/>
      <c r="T780" s="103"/>
      <c r="U780" s="103"/>
      <c r="V780" s="103"/>
      <c r="W780" s="103"/>
      <c r="X780" s="103"/>
      <c r="Y780" s="103"/>
      <c r="Z780" s="103"/>
    </row>
    <row r="781" ht="15.75" customHeight="1">
      <c r="A781" s="103"/>
      <c r="B781" s="103"/>
      <c r="C781" s="103"/>
      <c r="D781" s="103"/>
      <c r="E781" s="103"/>
      <c r="F781" s="103"/>
      <c r="G781" s="103"/>
      <c r="H781" s="103"/>
      <c r="I781" s="103"/>
      <c r="J781" s="103"/>
      <c r="K781" s="103"/>
      <c r="L781" s="103"/>
      <c r="M781" s="103"/>
      <c r="N781" s="103"/>
      <c r="O781" s="103"/>
      <c r="P781" s="103"/>
      <c r="Q781" s="103"/>
      <c r="R781" s="103"/>
      <c r="S781" s="103"/>
      <c r="T781" s="103"/>
      <c r="U781" s="103"/>
      <c r="V781" s="103"/>
      <c r="W781" s="103"/>
      <c r="X781" s="103"/>
      <c r="Y781" s="103"/>
      <c r="Z781" s="103"/>
    </row>
    <row r="782" ht="15.75" customHeight="1">
      <c r="A782" s="103"/>
      <c r="B782" s="103"/>
      <c r="C782" s="103"/>
      <c r="D782" s="103"/>
      <c r="E782" s="103"/>
      <c r="F782" s="103"/>
      <c r="G782" s="103"/>
      <c r="H782" s="103"/>
      <c r="I782" s="103"/>
      <c r="J782" s="103"/>
      <c r="K782" s="103"/>
      <c r="L782" s="103"/>
      <c r="M782" s="103"/>
      <c r="N782" s="103"/>
      <c r="O782" s="103"/>
      <c r="P782" s="103"/>
      <c r="Q782" s="103"/>
      <c r="R782" s="103"/>
      <c r="S782" s="103"/>
      <c r="T782" s="103"/>
      <c r="U782" s="103"/>
      <c r="V782" s="103"/>
      <c r="W782" s="103"/>
      <c r="X782" s="103"/>
      <c r="Y782" s="103"/>
      <c r="Z782" s="103"/>
    </row>
    <row r="783" ht="15.75" customHeight="1">
      <c r="A783" s="103"/>
      <c r="B783" s="103"/>
      <c r="C783" s="103"/>
      <c r="D783" s="103"/>
      <c r="E783" s="103"/>
      <c r="F783" s="103"/>
      <c r="G783" s="103"/>
      <c r="H783" s="103"/>
      <c r="I783" s="103"/>
      <c r="J783" s="103"/>
      <c r="K783" s="103"/>
      <c r="L783" s="103"/>
      <c r="M783" s="103"/>
      <c r="N783" s="103"/>
      <c r="O783" s="103"/>
      <c r="P783" s="103"/>
      <c r="Q783" s="103"/>
      <c r="R783" s="103"/>
      <c r="S783" s="103"/>
      <c r="T783" s="103"/>
      <c r="U783" s="103"/>
      <c r="V783" s="103"/>
      <c r="W783" s="103"/>
      <c r="X783" s="103"/>
      <c r="Y783" s="103"/>
      <c r="Z783" s="103"/>
    </row>
    <row r="784" ht="15.75" customHeight="1">
      <c r="A784" s="103"/>
      <c r="B784" s="103"/>
      <c r="C784" s="103"/>
      <c r="D784" s="103"/>
      <c r="E784" s="103"/>
      <c r="F784" s="103"/>
      <c r="G784" s="103"/>
      <c r="H784" s="103"/>
      <c r="I784" s="103"/>
      <c r="J784" s="103"/>
      <c r="K784" s="103"/>
      <c r="L784" s="103"/>
      <c r="M784" s="103"/>
      <c r="N784" s="103"/>
      <c r="O784" s="103"/>
      <c r="P784" s="103"/>
      <c r="Q784" s="103"/>
      <c r="R784" s="103"/>
      <c r="S784" s="103"/>
      <c r="T784" s="103"/>
      <c r="U784" s="103"/>
      <c r="V784" s="103"/>
      <c r="W784" s="103"/>
      <c r="X784" s="103"/>
      <c r="Y784" s="103"/>
      <c r="Z784" s="103"/>
    </row>
    <row r="785" ht="15.75" customHeight="1">
      <c r="A785" s="103"/>
      <c r="B785" s="103"/>
      <c r="C785" s="103"/>
      <c r="D785" s="103"/>
      <c r="E785" s="103"/>
      <c r="F785" s="103"/>
      <c r="G785" s="103"/>
      <c r="H785" s="103"/>
      <c r="I785" s="103"/>
      <c r="J785" s="103"/>
      <c r="K785" s="103"/>
      <c r="L785" s="103"/>
      <c r="M785" s="103"/>
      <c r="N785" s="103"/>
      <c r="O785" s="103"/>
      <c r="P785" s="103"/>
      <c r="Q785" s="103"/>
      <c r="R785" s="103"/>
      <c r="S785" s="103"/>
      <c r="T785" s="103"/>
      <c r="U785" s="103"/>
      <c r="V785" s="103"/>
      <c r="W785" s="103"/>
      <c r="X785" s="103"/>
      <c r="Y785" s="103"/>
      <c r="Z785" s="103"/>
    </row>
    <row r="786" ht="15.75" customHeight="1">
      <c r="A786" s="103"/>
      <c r="B786" s="103"/>
      <c r="C786" s="103"/>
      <c r="D786" s="103"/>
      <c r="E786" s="103"/>
      <c r="F786" s="103"/>
      <c r="G786" s="103"/>
      <c r="H786" s="103"/>
      <c r="I786" s="103"/>
      <c r="J786" s="103"/>
      <c r="K786" s="103"/>
      <c r="L786" s="103"/>
      <c r="M786" s="103"/>
      <c r="N786" s="103"/>
      <c r="O786" s="103"/>
      <c r="P786" s="103"/>
      <c r="Q786" s="103"/>
      <c r="R786" s="103"/>
      <c r="S786" s="103"/>
      <c r="T786" s="103"/>
      <c r="U786" s="103"/>
      <c r="V786" s="103"/>
      <c r="W786" s="103"/>
      <c r="X786" s="103"/>
      <c r="Y786" s="103"/>
      <c r="Z786" s="103"/>
    </row>
    <row r="787" ht="15.75" customHeight="1">
      <c r="A787" s="103"/>
      <c r="B787" s="103"/>
      <c r="C787" s="103"/>
      <c r="D787" s="103"/>
      <c r="E787" s="103"/>
      <c r="F787" s="103"/>
      <c r="G787" s="103"/>
      <c r="H787" s="103"/>
      <c r="I787" s="103"/>
      <c r="J787" s="103"/>
      <c r="K787" s="103"/>
      <c r="L787" s="103"/>
      <c r="M787" s="103"/>
      <c r="N787" s="103"/>
      <c r="O787" s="103"/>
      <c r="P787" s="103"/>
      <c r="Q787" s="103"/>
      <c r="R787" s="103"/>
      <c r="S787" s="103"/>
      <c r="T787" s="103"/>
      <c r="U787" s="103"/>
      <c r="V787" s="103"/>
      <c r="W787" s="103"/>
      <c r="X787" s="103"/>
      <c r="Y787" s="103"/>
      <c r="Z787" s="103"/>
    </row>
    <row r="788" ht="15.75" customHeight="1">
      <c r="A788" s="103"/>
      <c r="B788" s="103"/>
      <c r="C788" s="103"/>
      <c r="D788" s="103"/>
      <c r="E788" s="103"/>
      <c r="F788" s="103"/>
      <c r="G788" s="103"/>
      <c r="H788" s="103"/>
      <c r="I788" s="103"/>
      <c r="J788" s="103"/>
      <c r="K788" s="103"/>
      <c r="L788" s="103"/>
      <c r="M788" s="103"/>
      <c r="N788" s="103"/>
      <c r="O788" s="103"/>
      <c r="P788" s="103"/>
      <c r="Q788" s="103"/>
      <c r="R788" s="103"/>
      <c r="S788" s="103"/>
      <c r="T788" s="103"/>
      <c r="U788" s="103"/>
      <c r="V788" s="103"/>
      <c r="W788" s="103"/>
      <c r="X788" s="103"/>
      <c r="Y788" s="103"/>
      <c r="Z788" s="103"/>
    </row>
    <row r="789" ht="15.75" customHeight="1">
      <c r="A789" s="103"/>
      <c r="B789" s="103"/>
      <c r="C789" s="103"/>
      <c r="D789" s="103"/>
      <c r="E789" s="103"/>
      <c r="F789" s="103"/>
      <c r="G789" s="103"/>
      <c r="H789" s="103"/>
      <c r="I789" s="103"/>
      <c r="J789" s="103"/>
      <c r="K789" s="103"/>
      <c r="L789" s="103"/>
      <c r="M789" s="103"/>
      <c r="N789" s="103"/>
      <c r="O789" s="103"/>
      <c r="P789" s="103"/>
      <c r="Q789" s="103"/>
      <c r="R789" s="103"/>
      <c r="S789" s="103"/>
      <c r="T789" s="103"/>
      <c r="U789" s="103"/>
      <c r="V789" s="103"/>
      <c r="W789" s="103"/>
      <c r="X789" s="103"/>
      <c r="Y789" s="103"/>
      <c r="Z789" s="103"/>
    </row>
    <row r="790" ht="15.75" customHeight="1">
      <c r="A790" s="103"/>
      <c r="B790" s="103"/>
      <c r="C790" s="103"/>
      <c r="D790" s="103"/>
      <c r="E790" s="103"/>
      <c r="F790" s="103"/>
      <c r="G790" s="103"/>
      <c r="H790" s="103"/>
      <c r="I790" s="103"/>
      <c r="J790" s="103"/>
      <c r="K790" s="103"/>
      <c r="L790" s="103"/>
      <c r="M790" s="103"/>
      <c r="N790" s="103"/>
      <c r="O790" s="103"/>
      <c r="P790" s="103"/>
      <c r="Q790" s="103"/>
      <c r="R790" s="103"/>
      <c r="S790" s="103"/>
      <c r="T790" s="103"/>
      <c r="U790" s="103"/>
      <c r="V790" s="103"/>
      <c r="W790" s="103"/>
      <c r="X790" s="103"/>
      <c r="Y790" s="103"/>
      <c r="Z790" s="103"/>
    </row>
    <row r="791" ht="15.75" customHeight="1">
      <c r="A791" s="103"/>
      <c r="B791" s="103"/>
      <c r="C791" s="103"/>
      <c r="D791" s="103"/>
      <c r="E791" s="103"/>
      <c r="F791" s="103"/>
      <c r="G791" s="103"/>
      <c r="H791" s="103"/>
      <c r="I791" s="103"/>
      <c r="J791" s="103"/>
      <c r="K791" s="103"/>
      <c r="L791" s="103"/>
      <c r="M791" s="103"/>
      <c r="N791" s="103"/>
      <c r="O791" s="103"/>
      <c r="P791" s="103"/>
      <c r="Q791" s="103"/>
      <c r="R791" s="103"/>
      <c r="S791" s="103"/>
      <c r="T791" s="103"/>
      <c r="U791" s="103"/>
      <c r="V791" s="103"/>
      <c r="W791" s="103"/>
      <c r="X791" s="103"/>
      <c r="Y791" s="103"/>
      <c r="Z791" s="103"/>
    </row>
    <row r="792" ht="15.75" customHeight="1">
      <c r="A792" s="103"/>
      <c r="B792" s="103"/>
      <c r="C792" s="103"/>
      <c r="D792" s="103"/>
      <c r="E792" s="103"/>
      <c r="F792" s="103"/>
      <c r="G792" s="103"/>
      <c r="H792" s="103"/>
      <c r="I792" s="103"/>
      <c r="J792" s="103"/>
      <c r="K792" s="103"/>
      <c r="L792" s="103"/>
      <c r="M792" s="103"/>
      <c r="N792" s="103"/>
      <c r="O792" s="103"/>
      <c r="P792" s="103"/>
      <c r="Q792" s="103"/>
      <c r="R792" s="103"/>
      <c r="S792" s="103"/>
      <c r="T792" s="103"/>
      <c r="U792" s="103"/>
      <c r="V792" s="103"/>
      <c r="W792" s="103"/>
      <c r="X792" s="103"/>
      <c r="Y792" s="103"/>
      <c r="Z792" s="103"/>
    </row>
    <row r="793" ht="15.75" customHeight="1">
      <c r="A793" s="103"/>
      <c r="B793" s="103"/>
      <c r="C793" s="103"/>
      <c r="D793" s="103"/>
      <c r="E793" s="103"/>
      <c r="F793" s="103"/>
      <c r="G793" s="103"/>
      <c r="H793" s="103"/>
      <c r="I793" s="103"/>
      <c r="J793" s="103"/>
      <c r="K793" s="103"/>
      <c r="L793" s="103"/>
      <c r="M793" s="103"/>
      <c r="N793" s="103"/>
      <c r="O793" s="103"/>
      <c r="P793" s="103"/>
      <c r="Q793" s="103"/>
      <c r="R793" s="103"/>
      <c r="S793" s="103"/>
      <c r="T793" s="103"/>
      <c r="U793" s="103"/>
      <c r="V793" s="103"/>
      <c r="W793" s="103"/>
      <c r="X793" s="103"/>
      <c r="Y793" s="103"/>
      <c r="Z793" s="103"/>
    </row>
    <row r="794" ht="15.75" customHeight="1">
      <c r="A794" s="103"/>
      <c r="B794" s="103"/>
      <c r="C794" s="103"/>
      <c r="D794" s="103"/>
      <c r="E794" s="103"/>
      <c r="F794" s="103"/>
      <c r="G794" s="103"/>
      <c r="H794" s="103"/>
      <c r="I794" s="103"/>
      <c r="J794" s="103"/>
      <c r="K794" s="103"/>
      <c r="L794" s="103"/>
      <c r="M794" s="103"/>
      <c r="N794" s="103"/>
      <c r="O794" s="103"/>
      <c r="P794" s="103"/>
      <c r="Q794" s="103"/>
      <c r="R794" s="103"/>
      <c r="S794" s="103"/>
      <c r="T794" s="103"/>
      <c r="U794" s="103"/>
      <c r="V794" s="103"/>
      <c r="W794" s="103"/>
      <c r="X794" s="103"/>
      <c r="Y794" s="103"/>
      <c r="Z794" s="103"/>
    </row>
    <row r="795" ht="15.75" customHeight="1">
      <c r="A795" s="103"/>
      <c r="B795" s="103"/>
      <c r="C795" s="103"/>
      <c r="D795" s="103"/>
      <c r="E795" s="103"/>
      <c r="F795" s="103"/>
      <c r="G795" s="103"/>
      <c r="H795" s="103"/>
      <c r="I795" s="103"/>
      <c r="J795" s="103"/>
      <c r="K795" s="103"/>
      <c r="L795" s="103"/>
      <c r="M795" s="103"/>
      <c r="N795" s="103"/>
      <c r="O795" s="103"/>
      <c r="P795" s="103"/>
      <c r="Q795" s="103"/>
      <c r="R795" s="103"/>
      <c r="S795" s="103"/>
      <c r="T795" s="103"/>
      <c r="U795" s="103"/>
      <c r="V795" s="103"/>
      <c r="W795" s="103"/>
      <c r="X795" s="103"/>
      <c r="Y795" s="103"/>
      <c r="Z795" s="103"/>
    </row>
    <row r="796" ht="15.75" customHeight="1">
      <c r="A796" s="103"/>
      <c r="B796" s="103"/>
      <c r="C796" s="103"/>
      <c r="D796" s="103"/>
      <c r="E796" s="103"/>
      <c r="F796" s="103"/>
      <c r="G796" s="103"/>
      <c r="H796" s="103"/>
      <c r="I796" s="103"/>
      <c r="J796" s="103"/>
      <c r="K796" s="103"/>
      <c r="L796" s="103"/>
      <c r="M796" s="103"/>
      <c r="N796" s="103"/>
      <c r="O796" s="103"/>
      <c r="P796" s="103"/>
      <c r="Q796" s="103"/>
      <c r="R796" s="103"/>
      <c r="S796" s="103"/>
      <c r="T796" s="103"/>
      <c r="U796" s="103"/>
      <c r="V796" s="103"/>
      <c r="W796" s="103"/>
      <c r="X796" s="103"/>
      <c r="Y796" s="103"/>
      <c r="Z796" s="103"/>
    </row>
    <row r="797" ht="15.75" customHeight="1">
      <c r="A797" s="103"/>
      <c r="B797" s="103"/>
      <c r="C797" s="103"/>
      <c r="D797" s="103"/>
      <c r="E797" s="103"/>
      <c r="F797" s="103"/>
      <c r="G797" s="103"/>
      <c r="H797" s="103"/>
      <c r="I797" s="103"/>
      <c r="J797" s="103"/>
      <c r="K797" s="103"/>
      <c r="L797" s="103"/>
      <c r="M797" s="103"/>
      <c r="N797" s="103"/>
      <c r="O797" s="103"/>
      <c r="P797" s="103"/>
      <c r="Q797" s="103"/>
      <c r="R797" s="103"/>
      <c r="S797" s="103"/>
      <c r="T797" s="103"/>
      <c r="U797" s="103"/>
      <c r="V797" s="103"/>
      <c r="W797" s="103"/>
      <c r="X797" s="103"/>
      <c r="Y797" s="103"/>
      <c r="Z797" s="103"/>
    </row>
    <row r="798" ht="15.75" customHeight="1">
      <c r="A798" s="103"/>
      <c r="B798" s="103"/>
      <c r="C798" s="103"/>
      <c r="D798" s="103"/>
      <c r="E798" s="103"/>
      <c r="F798" s="103"/>
      <c r="G798" s="103"/>
      <c r="H798" s="103"/>
      <c r="I798" s="103"/>
      <c r="J798" s="103"/>
      <c r="K798" s="103"/>
      <c r="L798" s="103"/>
      <c r="M798" s="103"/>
      <c r="N798" s="103"/>
      <c r="O798" s="103"/>
      <c r="P798" s="103"/>
      <c r="Q798" s="103"/>
      <c r="R798" s="103"/>
      <c r="S798" s="103"/>
      <c r="T798" s="103"/>
      <c r="U798" s="103"/>
      <c r="V798" s="103"/>
      <c r="W798" s="103"/>
      <c r="X798" s="103"/>
      <c r="Y798" s="103"/>
      <c r="Z798" s="103"/>
    </row>
    <row r="799" ht="15.75" customHeight="1">
      <c r="A799" s="103"/>
      <c r="B799" s="103"/>
      <c r="C799" s="103"/>
      <c r="D799" s="103"/>
      <c r="E799" s="103"/>
      <c r="F799" s="103"/>
      <c r="G799" s="103"/>
      <c r="H799" s="103"/>
      <c r="I799" s="103"/>
      <c r="J799" s="103"/>
      <c r="K799" s="103"/>
      <c r="L799" s="103"/>
      <c r="M799" s="103"/>
      <c r="N799" s="103"/>
      <c r="O799" s="103"/>
      <c r="P799" s="103"/>
      <c r="Q799" s="103"/>
      <c r="R799" s="103"/>
      <c r="S799" s="103"/>
      <c r="T799" s="103"/>
      <c r="U799" s="103"/>
      <c r="V799" s="103"/>
      <c r="W799" s="103"/>
      <c r="X799" s="103"/>
      <c r="Y799" s="103"/>
      <c r="Z799" s="103"/>
    </row>
    <row r="800" ht="15.75" customHeight="1">
      <c r="A800" s="103"/>
      <c r="B800" s="103"/>
      <c r="C800" s="103"/>
      <c r="D800" s="103"/>
      <c r="E800" s="103"/>
      <c r="F800" s="103"/>
      <c r="G800" s="103"/>
      <c r="H800" s="103"/>
      <c r="I800" s="103"/>
      <c r="J800" s="103"/>
      <c r="K800" s="103"/>
      <c r="L800" s="103"/>
      <c r="M800" s="103"/>
      <c r="N800" s="103"/>
      <c r="O800" s="103"/>
      <c r="P800" s="103"/>
      <c r="Q800" s="103"/>
      <c r="R800" s="103"/>
      <c r="S800" s="103"/>
      <c r="T800" s="103"/>
      <c r="U800" s="103"/>
      <c r="V800" s="103"/>
      <c r="W800" s="103"/>
      <c r="X800" s="103"/>
      <c r="Y800" s="103"/>
      <c r="Z800" s="103"/>
    </row>
    <row r="801" ht="15.75" customHeight="1">
      <c r="A801" s="103"/>
      <c r="B801" s="103"/>
      <c r="C801" s="103"/>
      <c r="D801" s="103"/>
      <c r="E801" s="103"/>
      <c r="F801" s="103"/>
      <c r="G801" s="103"/>
      <c r="H801" s="103"/>
      <c r="I801" s="103"/>
      <c r="J801" s="103"/>
      <c r="K801" s="103"/>
      <c r="L801" s="103"/>
      <c r="M801" s="103"/>
      <c r="N801" s="103"/>
      <c r="O801" s="103"/>
      <c r="P801" s="103"/>
      <c r="Q801" s="103"/>
      <c r="R801" s="103"/>
      <c r="S801" s="103"/>
      <c r="T801" s="103"/>
      <c r="U801" s="103"/>
      <c r="V801" s="103"/>
      <c r="W801" s="103"/>
      <c r="X801" s="103"/>
      <c r="Y801" s="103"/>
      <c r="Z801" s="103"/>
    </row>
    <row r="802" ht="15.75" customHeight="1">
      <c r="A802" s="103"/>
      <c r="B802" s="103"/>
      <c r="C802" s="103"/>
      <c r="D802" s="103"/>
      <c r="E802" s="103"/>
      <c r="F802" s="103"/>
      <c r="G802" s="103"/>
      <c r="H802" s="103"/>
      <c r="I802" s="103"/>
      <c r="J802" s="103"/>
      <c r="K802" s="103"/>
      <c r="L802" s="103"/>
      <c r="M802" s="103"/>
      <c r="N802" s="103"/>
      <c r="O802" s="103"/>
      <c r="P802" s="103"/>
      <c r="Q802" s="103"/>
      <c r="R802" s="103"/>
      <c r="S802" s="103"/>
      <c r="T802" s="103"/>
      <c r="U802" s="103"/>
      <c r="V802" s="103"/>
      <c r="W802" s="103"/>
      <c r="X802" s="103"/>
      <c r="Y802" s="103"/>
      <c r="Z802" s="103"/>
    </row>
    <row r="803" ht="15.75" customHeight="1">
      <c r="A803" s="103"/>
      <c r="B803" s="103"/>
      <c r="C803" s="103"/>
      <c r="D803" s="103"/>
      <c r="E803" s="103"/>
      <c r="F803" s="103"/>
      <c r="G803" s="103"/>
      <c r="H803" s="103"/>
      <c r="I803" s="103"/>
      <c r="J803" s="103"/>
      <c r="K803" s="103"/>
      <c r="L803" s="103"/>
      <c r="M803" s="103"/>
      <c r="N803" s="103"/>
      <c r="O803" s="103"/>
      <c r="P803" s="103"/>
      <c r="Q803" s="103"/>
      <c r="R803" s="103"/>
      <c r="S803" s="103"/>
      <c r="T803" s="103"/>
      <c r="U803" s="103"/>
      <c r="V803" s="103"/>
      <c r="W803" s="103"/>
      <c r="X803" s="103"/>
      <c r="Y803" s="103"/>
      <c r="Z803" s="103"/>
    </row>
    <row r="804" ht="15.75" customHeight="1">
      <c r="A804" s="103"/>
      <c r="B804" s="103"/>
      <c r="C804" s="103"/>
      <c r="D804" s="103"/>
      <c r="E804" s="103"/>
      <c r="F804" s="103"/>
      <c r="G804" s="103"/>
      <c r="H804" s="103"/>
      <c r="I804" s="103"/>
      <c r="J804" s="103"/>
      <c r="K804" s="103"/>
      <c r="L804" s="103"/>
      <c r="M804" s="103"/>
      <c r="N804" s="103"/>
      <c r="O804" s="103"/>
      <c r="P804" s="103"/>
      <c r="Q804" s="103"/>
      <c r="R804" s="103"/>
      <c r="S804" s="103"/>
      <c r="T804" s="103"/>
      <c r="U804" s="103"/>
      <c r="V804" s="103"/>
      <c r="W804" s="103"/>
      <c r="X804" s="103"/>
      <c r="Y804" s="103"/>
      <c r="Z804" s="103"/>
    </row>
    <row r="805" ht="15.75" customHeight="1">
      <c r="A805" s="103"/>
      <c r="B805" s="103"/>
      <c r="C805" s="103"/>
      <c r="D805" s="103"/>
      <c r="E805" s="103"/>
      <c r="F805" s="103"/>
      <c r="G805" s="103"/>
      <c r="H805" s="103"/>
      <c r="I805" s="103"/>
      <c r="J805" s="103"/>
      <c r="K805" s="103"/>
      <c r="L805" s="103"/>
      <c r="M805" s="103"/>
      <c r="N805" s="103"/>
      <c r="O805" s="103"/>
      <c r="P805" s="103"/>
      <c r="Q805" s="103"/>
      <c r="R805" s="103"/>
      <c r="S805" s="103"/>
      <c r="T805" s="103"/>
      <c r="U805" s="103"/>
      <c r="V805" s="103"/>
      <c r="W805" s="103"/>
      <c r="X805" s="103"/>
      <c r="Y805" s="103"/>
      <c r="Z805" s="103"/>
    </row>
    <row r="806" ht="15.75" customHeight="1">
      <c r="A806" s="103"/>
      <c r="B806" s="103"/>
      <c r="C806" s="103"/>
      <c r="D806" s="103"/>
      <c r="E806" s="103"/>
      <c r="F806" s="103"/>
      <c r="G806" s="103"/>
      <c r="H806" s="103"/>
      <c r="I806" s="103"/>
      <c r="J806" s="103"/>
      <c r="K806" s="103"/>
      <c r="L806" s="103"/>
      <c r="M806" s="103"/>
      <c r="N806" s="103"/>
      <c r="O806" s="103"/>
      <c r="P806" s="103"/>
      <c r="Q806" s="103"/>
      <c r="R806" s="103"/>
      <c r="S806" s="103"/>
      <c r="T806" s="103"/>
      <c r="U806" s="103"/>
      <c r="V806" s="103"/>
      <c r="W806" s="103"/>
      <c r="X806" s="103"/>
      <c r="Y806" s="103"/>
      <c r="Z806" s="103"/>
    </row>
    <row r="807" ht="15.75" customHeight="1">
      <c r="A807" s="103"/>
      <c r="B807" s="103"/>
      <c r="C807" s="103"/>
      <c r="D807" s="103"/>
      <c r="E807" s="103"/>
      <c r="F807" s="103"/>
      <c r="G807" s="103"/>
      <c r="H807" s="103"/>
      <c r="I807" s="103"/>
      <c r="J807" s="103"/>
      <c r="K807" s="103"/>
      <c r="L807" s="103"/>
      <c r="M807" s="103"/>
      <c r="N807" s="103"/>
      <c r="O807" s="103"/>
      <c r="P807" s="103"/>
      <c r="Q807" s="103"/>
      <c r="R807" s="103"/>
      <c r="S807" s="103"/>
      <c r="T807" s="103"/>
      <c r="U807" s="103"/>
      <c r="V807" s="103"/>
      <c r="W807" s="103"/>
      <c r="X807" s="103"/>
      <c r="Y807" s="103"/>
      <c r="Z807" s="103"/>
    </row>
    <row r="808" ht="15.75" customHeight="1">
      <c r="A808" s="103"/>
      <c r="B808" s="103"/>
      <c r="C808" s="103"/>
      <c r="D808" s="103"/>
      <c r="E808" s="103"/>
      <c r="F808" s="103"/>
      <c r="G808" s="103"/>
      <c r="H808" s="103"/>
      <c r="I808" s="103"/>
      <c r="J808" s="103"/>
      <c r="K808" s="103"/>
      <c r="L808" s="103"/>
      <c r="M808" s="103"/>
      <c r="N808" s="103"/>
      <c r="O808" s="103"/>
      <c r="P808" s="103"/>
      <c r="Q808" s="103"/>
      <c r="R808" s="103"/>
      <c r="S808" s="103"/>
      <c r="T808" s="103"/>
      <c r="U808" s="103"/>
      <c r="V808" s="103"/>
      <c r="W808" s="103"/>
      <c r="X808" s="103"/>
      <c r="Y808" s="103"/>
      <c r="Z808" s="103"/>
    </row>
    <row r="809" ht="15.75" customHeight="1">
      <c r="A809" s="103"/>
      <c r="B809" s="103"/>
      <c r="C809" s="103"/>
      <c r="D809" s="103"/>
      <c r="E809" s="103"/>
      <c r="F809" s="103"/>
      <c r="G809" s="103"/>
      <c r="H809" s="103"/>
      <c r="I809" s="103"/>
      <c r="J809" s="103"/>
      <c r="K809" s="103"/>
      <c r="L809" s="103"/>
      <c r="M809" s="103"/>
      <c r="N809" s="103"/>
      <c r="O809" s="103"/>
      <c r="P809" s="103"/>
      <c r="Q809" s="103"/>
      <c r="R809" s="103"/>
      <c r="S809" s="103"/>
      <c r="T809" s="103"/>
      <c r="U809" s="103"/>
      <c r="V809" s="103"/>
      <c r="W809" s="103"/>
      <c r="X809" s="103"/>
      <c r="Y809" s="103"/>
      <c r="Z809" s="103"/>
    </row>
    <row r="810" ht="15.75" customHeight="1">
      <c r="A810" s="103"/>
      <c r="B810" s="103"/>
      <c r="C810" s="103"/>
      <c r="D810" s="103"/>
      <c r="E810" s="103"/>
      <c r="F810" s="103"/>
      <c r="G810" s="103"/>
      <c r="H810" s="103"/>
      <c r="I810" s="103"/>
      <c r="J810" s="103"/>
      <c r="K810" s="103"/>
      <c r="L810" s="103"/>
      <c r="M810" s="103"/>
      <c r="N810" s="103"/>
      <c r="O810" s="103"/>
      <c r="P810" s="103"/>
      <c r="Q810" s="103"/>
      <c r="R810" s="103"/>
      <c r="S810" s="103"/>
      <c r="T810" s="103"/>
      <c r="U810" s="103"/>
      <c r="V810" s="103"/>
      <c r="W810" s="103"/>
      <c r="X810" s="103"/>
      <c r="Y810" s="103"/>
      <c r="Z810" s="103"/>
    </row>
    <row r="811" ht="15.75" customHeight="1">
      <c r="A811" s="103"/>
      <c r="B811" s="103"/>
      <c r="C811" s="103"/>
      <c r="D811" s="103"/>
      <c r="E811" s="103"/>
      <c r="F811" s="103"/>
      <c r="G811" s="103"/>
      <c r="H811" s="103"/>
      <c r="I811" s="103"/>
      <c r="J811" s="103"/>
      <c r="K811" s="103"/>
      <c r="L811" s="103"/>
      <c r="M811" s="103"/>
      <c r="N811" s="103"/>
      <c r="O811" s="103"/>
      <c r="P811" s="103"/>
      <c r="Q811" s="103"/>
      <c r="R811" s="103"/>
      <c r="S811" s="103"/>
      <c r="T811" s="103"/>
      <c r="U811" s="103"/>
      <c r="V811" s="103"/>
      <c r="W811" s="103"/>
      <c r="X811" s="103"/>
      <c r="Y811" s="103"/>
      <c r="Z811" s="103"/>
    </row>
    <row r="812" ht="15.75" customHeight="1">
      <c r="A812" s="103"/>
      <c r="B812" s="103"/>
      <c r="C812" s="103"/>
      <c r="D812" s="103"/>
      <c r="E812" s="103"/>
      <c r="F812" s="103"/>
      <c r="G812" s="103"/>
      <c r="H812" s="103"/>
      <c r="I812" s="103"/>
      <c r="J812" s="103"/>
      <c r="K812" s="103"/>
      <c r="L812" s="103"/>
      <c r="M812" s="103"/>
      <c r="N812" s="103"/>
      <c r="O812" s="103"/>
      <c r="P812" s="103"/>
      <c r="Q812" s="103"/>
      <c r="R812" s="103"/>
      <c r="S812" s="103"/>
      <c r="T812" s="103"/>
      <c r="U812" s="103"/>
      <c r="V812" s="103"/>
      <c r="W812" s="103"/>
      <c r="X812" s="103"/>
      <c r="Y812" s="103"/>
      <c r="Z812" s="103"/>
    </row>
    <row r="813" ht="15.75" customHeight="1">
      <c r="A813" s="103"/>
      <c r="B813" s="103"/>
      <c r="C813" s="103"/>
      <c r="D813" s="103"/>
      <c r="E813" s="103"/>
      <c r="F813" s="103"/>
      <c r="G813" s="103"/>
      <c r="H813" s="103"/>
      <c r="I813" s="103"/>
      <c r="J813" s="103"/>
      <c r="K813" s="103"/>
      <c r="L813" s="103"/>
      <c r="M813" s="103"/>
      <c r="N813" s="103"/>
      <c r="O813" s="103"/>
      <c r="P813" s="103"/>
      <c r="Q813" s="103"/>
      <c r="R813" s="103"/>
      <c r="S813" s="103"/>
      <c r="T813" s="103"/>
      <c r="U813" s="103"/>
      <c r="V813" s="103"/>
      <c r="W813" s="103"/>
      <c r="X813" s="103"/>
      <c r="Y813" s="103"/>
      <c r="Z813" s="103"/>
    </row>
    <row r="814" ht="15.75" customHeight="1">
      <c r="A814" s="103"/>
      <c r="B814" s="103"/>
      <c r="C814" s="103"/>
      <c r="D814" s="103"/>
      <c r="E814" s="103"/>
      <c r="F814" s="103"/>
      <c r="G814" s="103"/>
      <c r="H814" s="103"/>
      <c r="I814" s="103"/>
      <c r="J814" s="103"/>
      <c r="K814" s="103"/>
      <c r="L814" s="103"/>
      <c r="M814" s="103"/>
      <c r="N814" s="103"/>
      <c r="O814" s="103"/>
      <c r="P814" s="103"/>
      <c r="Q814" s="103"/>
      <c r="R814" s="103"/>
      <c r="S814" s="103"/>
      <c r="T814" s="103"/>
      <c r="U814" s="103"/>
      <c r="V814" s="103"/>
      <c r="W814" s="103"/>
      <c r="X814" s="103"/>
      <c r="Y814" s="103"/>
      <c r="Z814" s="103"/>
    </row>
    <row r="815" ht="15.75" customHeight="1">
      <c r="A815" s="103"/>
      <c r="B815" s="103"/>
      <c r="C815" s="103"/>
      <c r="D815" s="103"/>
      <c r="E815" s="103"/>
      <c r="F815" s="103"/>
      <c r="G815" s="103"/>
      <c r="H815" s="103"/>
      <c r="I815" s="103"/>
      <c r="J815" s="103"/>
      <c r="K815" s="103"/>
      <c r="L815" s="103"/>
      <c r="M815" s="103"/>
      <c r="N815" s="103"/>
      <c r="O815" s="103"/>
      <c r="P815" s="103"/>
      <c r="Q815" s="103"/>
      <c r="R815" s="103"/>
      <c r="S815" s="103"/>
      <c r="T815" s="103"/>
      <c r="U815" s="103"/>
      <c r="V815" s="103"/>
      <c r="W815" s="103"/>
      <c r="X815" s="103"/>
      <c r="Y815" s="103"/>
      <c r="Z815" s="103"/>
    </row>
    <row r="816" ht="15.75" customHeight="1">
      <c r="A816" s="103"/>
      <c r="B816" s="103"/>
      <c r="C816" s="103"/>
      <c r="D816" s="103"/>
      <c r="E816" s="103"/>
      <c r="F816" s="103"/>
      <c r="G816" s="103"/>
      <c r="H816" s="103"/>
      <c r="I816" s="103"/>
      <c r="J816" s="103"/>
      <c r="K816" s="103"/>
      <c r="L816" s="103"/>
      <c r="M816" s="103"/>
      <c r="N816" s="103"/>
      <c r="O816" s="103"/>
      <c r="P816" s="103"/>
      <c r="Q816" s="103"/>
      <c r="R816" s="103"/>
      <c r="S816" s="103"/>
      <c r="T816" s="103"/>
      <c r="U816" s="103"/>
      <c r="V816" s="103"/>
      <c r="W816" s="103"/>
      <c r="X816" s="103"/>
      <c r="Y816" s="103"/>
      <c r="Z816" s="103"/>
    </row>
    <row r="817" ht="15.75" customHeight="1">
      <c r="A817" s="103"/>
      <c r="B817" s="103"/>
      <c r="C817" s="103"/>
      <c r="D817" s="103"/>
      <c r="E817" s="103"/>
      <c r="F817" s="103"/>
      <c r="G817" s="103"/>
      <c r="H817" s="103"/>
      <c r="I817" s="103"/>
      <c r="J817" s="103"/>
      <c r="K817" s="103"/>
      <c r="L817" s="103"/>
      <c r="M817" s="103"/>
      <c r="N817" s="103"/>
      <c r="O817" s="103"/>
      <c r="P817" s="103"/>
      <c r="Q817" s="103"/>
      <c r="R817" s="103"/>
      <c r="S817" s="103"/>
      <c r="T817" s="103"/>
      <c r="U817" s="103"/>
      <c r="V817" s="103"/>
      <c r="W817" s="103"/>
      <c r="X817" s="103"/>
      <c r="Y817" s="103"/>
      <c r="Z817" s="103"/>
    </row>
    <row r="818" ht="15.75" customHeight="1">
      <c r="A818" s="103"/>
      <c r="B818" s="103"/>
      <c r="C818" s="103"/>
      <c r="D818" s="103"/>
      <c r="E818" s="103"/>
      <c r="F818" s="103"/>
      <c r="G818" s="103"/>
      <c r="H818" s="103"/>
      <c r="I818" s="103"/>
      <c r="J818" s="103"/>
      <c r="K818" s="103"/>
      <c r="L818" s="103"/>
      <c r="M818" s="103"/>
      <c r="N818" s="103"/>
      <c r="O818" s="103"/>
      <c r="P818" s="103"/>
      <c r="Q818" s="103"/>
      <c r="R818" s="103"/>
      <c r="S818" s="103"/>
      <c r="T818" s="103"/>
      <c r="U818" s="103"/>
      <c r="V818" s="103"/>
      <c r="W818" s="103"/>
      <c r="X818" s="103"/>
      <c r="Y818" s="103"/>
      <c r="Z818" s="103"/>
    </row>
    <row r="819" ht="15.75" customHeight="1">
      <c r="A819" s="103"/>
      <c r="B819" s="103"/>
      <c r="C819" s="103"/>
      <c r="D819" s="103"/>
      <c r="E819" s="103"/>
      <c r="F819" s="103"/>
      <c r="G819" s="103"/>
      <c r="H819" s="103"/>
      <c r="I819" s="103"/>
      <c r="J819" s="103"/>
      <c r="K819" s="103"/>
      <c r="L819" s="103"/>
      <c r="M819" s="103"/>
      <c r="N819" s="103"/>
      <c r="O819" s="103"/>
      <c r="P819" s="103"/>
      <c r="Q819" s="103"/>
      <c r="R819" s="103"/>
      <c r="S819" s="103"/>
      <c r="T819" s="103"/>
      <c r="U819" s="103"/>
      <c r="V819" s="103"/>
      <c r="W819" s="103"/>
      <c r="X819" s="103"/>
      <c r="Y819" s="103"/>
      <c r="Z819" s="103"/>
    </row>
    <row r="820" ht="15.75" customHeight="1">
      <c r="A820" s="103"/>
      <c r="B820" s="103"/>
      <c r="C820" s="103"/>
      <c r="D820" s="103"/>
      <c r="E820" s="103"/>
      <c r="F820" s="103"/>
      <c r="G820" s="103"/>
      <c r="H820" s="103"/>
      <c r="I820" s="103"/>
      <c r="J820" s="103"/>
      <c r="K820" s="103"/>
      <c r="L820" s="103"/>
      <c r="M820" s="103"/>
      <c r="N820" s="103"/>
      <c r="O820" s="103"/>
      <c r="P820" s="103"/>
      <c r="Q820" s="103"/>
      <c r="R820" s="103"/>
      <c r="S820" s="103"/>
      <c r="T820" s="103"/>
      <c r="U820" s="103"/>
      <c r="V820" s="103"/>
      <c r="W820" s="103"/>
      <c r="X820" s="103"/>
      <c r="Y820" s="103"/>
      <c r="Z820" s="103"/>
    </row>
    <row r="821" ht="15.75" customHeight="1">
      <c r="A821" s="103"/>
      <c r="B821" s="103"/>
      <c r="C821" s="103"/>
      <c r="D821" s="103"/>
      <c r="E821" s="103"/>
      <c r="F821" s="103"/>
      <c r="G821" s="103"/>
      <c r="H821" s="103"/>
      <c r="I821" s="103"/>
      <c r="J821" s="103"/>
      <c r="K821" s="103"/>
      <c r="L821" s="103"/>
      <c r="M821" s="103"/>
      <c r="N821" s="103"/>
      <c r="O821" s="103"/>
      <c r="P821" s="103"/>
      <c r="Q821" s="103"/>
      <c r="R821" s="103"/>
      <c r="S821" s="103"/>
      <c r="T821" s="103"/>
      <c r="U821" s="103"/>
      <c r="V821" s="103"/>
      <c r="W821" s="103"/>
      <c r="X821" s="103"/>
      <c r="Y821" s="103"/>
      <c r="Z821" s="103"/>
    </row>
    <row r="822" ht="15.75" customHeight="1">
      <c r="A822" s="103"/>
      <c r="B822" s="103"/>
      <c r="C822" s="103"/>
      <c r="D822" s="103"/>
      <c r="E822" s="103"/>
      <c r="F822" s="103"/>
      <c r="G822" s="103"/>
      <c r="H822" s="103"/>
      <c r="I822" s="103"/>
      <c r="J822" s="103"/>
      <c r="K822" s="103"/>
      <c r="L822" s="103"/>
      <c r="M822" s="103"/>
      <c r="N822" s="103"/>
      <c r="O822" s="103"/>
      <c r="P822" s="103"/>
      <c r="Q822" s="103"/>
      <c r="R822" s="103"/>
      <c r="S822" s="103"/>
      <c r="T822" s="103"/>
      <c r="U822" s="103"/>
      <c r="V822" s="103"/>
      <c r="W822" s="103"/>
      <c r="X822" s="103"/>
      <c r="Y822" s="103"/>
      <c r="Z822" s="103"/>
    </row>
    <row r="823" ht="15.75" customHeight="1">
      <c r="A823" s="103"/>
      <c r="B823" s="103"/>
      <c r="C823" s="103"/>
      <c r="D823" s="103"/>
      <c r="E823" s="103"/>
      <c r="F823" s="103"/>
      <c r="G823" s="103"/>
      <c r="H823" s="103"/>
      <c r="I823" s="103"/>
      <c r="J823" s="103"/>
      <c r="K823" s="103"/>
      <c r="L823" s="103"/>
      <c r="M823" s="103"/>
      <c r="N823" s="103"/>
      <c r="O823" s="103"/>
      <c r="P823" s="103"/>
      <c r="Q823" s="103"/>
      <c r="R823" s="103"/>
      <c r="S823" s="103"/>
      <c r="T823" s="103"/>
      <c r="U823" s="103"/>
      <c r="V823" s="103"/>
      <c r="W823" s="103"/>
      <c r="X823" s="103"/>
      <c r="Y823" s="103"/>
      <c r="Z823" s="103"/>
    </row>
    <row r="824" ht="15.75" customHeight="1">
      <c r="A824" s="103"/>
      <c r="B824" s="103"/>
      <c r="C824" s="103"/>
      <c r="D824" s="103"/>
      <c r="E824" s="103"/>
      <c r="F824" s="103"/>
      <c r="G824" s="103"/>
      <c r="H824" s="103"/>
      <c r="I824" s="103"/>
      <c r="J824" s="103"/>
      <c r="K824" s="103"/>
      <c r="L824" s="103"/>
      <c r="M824" s="103"/>
      <c r="N824" s="103"/>
      <c r="O824" s="103"/>
      <c r="P824" s="103"/>
      <c r="Q824" s="103"/>
      <c r="R824" s="103"/>
      <c r="S824" s="103"/>
      <c r="T824" s="103"/>
      <c r="U824" s="103"/>
      <c r="V824" s="103"/>
      <c r="W824" s="103"/>
      <c r="X824" s="103"/>
      <c r="Y824" s="103"/>
      <c r="Z824" s="103"/>
    </row>
    <row r="825" ht="15.75" customHeight="1">
      <c r="A825" s="103"/>
      <c r="B825" s="103"/>
      <c r="C825" s="103"/>
      <c r="D825" s="103"/>
      <c r="E825" s="103"/>
      <c r="F825" s="103"/>
      <c r="G825" s="103"/>
      <c r="H825" s="103"/>
      <c r="I825" s="103"/>
      <c r="J825" s="103"/>
      <c r="K825" s="103"/>
      <c r="L825" s="103"/>
      <c r="M825" s="103"/>
      <c r="N825" s="103"/>
      <c r="O825" s="103"/>
      <c r="P825" s="103"/>
      <c r="Q825" s="103"/>
      <c r="R825" s="103"/>
      <c r="S825" s="103"/>
      <c r="T825" s="103"/>
      <c r="U825" s="103"/>
      <c r="V825" s="103"/>
      <c r="W825" s="103"/>
      <c r="X825" s="103"/>
      <c r="Y825" s="103"/>
      <c r="Z825" s="103"/>
    </row>
    <row r="826" ht="15.75" customHeight="1">
      <c r="A826" s="103"/>
      <c r="B826" s="103"/>
      <c r="C826" s="103"/>
      <c r="D826" s="103"/>
      <c r="E826" s="103"/>
      <c r="F826" s="103"/>
      <c r="G826" s="103"/>
      <c r="H826" s="103"/>
      <c r="I826" s="103"/>
      <c r="J826" s="103"/>
      <c r="K826" s="103"/>
      <c r="L826" s="103"/>
      <c r="M826" s="103"/>
      <c r="N826" s="103"/>
      <c r="O826" s="103"/>
      <c r="P826" s="103"/>
      <c r="Q826" s="103"/>
      <c r="R826" s="103"/>
      <c r="S826" s="103"/>
      <c r="T826" s="103"/>
      <c r="U826" s="103"/>
      <c r="V826" s="103"/>
      <c r="W826" s="103"/>
      <c r="X826" s="103"/>
      <c r="Y826" s="103"/>
      <c r="Z826" s="103"/>
    </row>
    <row r="827" ht="15.75" customHeight="1">
      <c r="A827" s="103"/>
      <c r="B827" s="103"/>
      <c r="C827" s="103"/>
      <c r="D827" s="103"/>
      <c r="E827" s="103"/>
      <c r="F827" s="103"/>
      <c r="G827" s="103"/>
      <c r="H827" s="103"/>
      <c r="I827" s="103"/>
      <c r="J827" s="103"/>
      <c r="K827" s="103"/>
      <c r="L827" s="103"/>
      <c r="M827" s="103"/>
      <c r="N827" s="103"/>
      <c r="O827" s="103"/>
      <c r="P827" s="103"/>
      <c r="Q827" s="103"/>
      <c r="R827" s="103"/>
      <c r="S827" s="103"/>
      <c r="T827" s="103"/>
      <c r="U827" s="103"/>
      <c r="V827" s="103"/>
      <c r="W827" s="103"/>
      <c r="X827" s="103"/>
      <c r="Y827" s="103"/>
      <c r="Z827" s="103"/>
    </row>
    <row r="828" ht="15.75" customHeight="1">
      <c r="A828" s="103"/>
      <c r="B828" s="103"/>
      <c r="C828" s="103"/>
      <c r="D828" s="103"/>
      <c r="E828" s="103"/>
      <c r="F828" s="103"/>
      <c r="G828" s="103"/>
      <c r="H828" s="103"/>
      <c r="I828" s="103"/>
      <c r="J828" s="103"/>
      <c r="K828" s="103"/>
      <c r="L828" s="103"/>
      <c r="M828" s="103"/>
      <c r="N828" s="103"/>
      <c r="O828" s="103"/>
      <c r="P828" s="103"/>
      <c r="Q828" s="103"/>
      <c r="R828" s="103"/>
      <c r="S828" s="103"/>
      <c r="T828" s="103"/>
      <c r="U828" s="103"/>
      <c r="V828" s="103"/>
      <c r="W828" s="103"/>
      <c r="X828" s="103"/>
      <c r="Y828" s="103"/>
      <c r="Z828" s="103"/>
    </row>
    <row r="829" ht="15.75" customHeight="1">
      <c r="A829" s="103"/>
      <c r="B829" s="103"/>
      <c r="C829" s="103"/>
      <c r="D829" s="103"/>
      <c r="E829" s="103"/>
      <c r="F829" s="103"/>
      <c r="G829" s="103"/>
      <c r="H829" s="103"/>
      <c r="I829" s="103"/>
      <c r="J829" s="103"/>
      <c r="K829" s="103"/>
      <c r="L829" s="103"/>
      <c r="M829" s="103"/>
      <c r="N829" s="103"/>
      <c r="O829" s="103"/>
      <c r="P829" s="103"/>
      <c r="Q829" s="103"/>
      <c r="R829" s="103"/>
      <c r="S829" s="103"/>
      <c r="T829" s="103"/>
      <c r="U829" s="103"/>
      <c r="V829" s="103"/>
      <c r="W829" s="103"/>
      <c r="X829" s="103"/>
      <c r="Y829" s="103"/>
      <c r="Z829" s="103"/>
    </row>
    <row r="830" ht="15.75" customHeight="1">
      <c r="A830" s="103"/>
      <c r="B830" s="103"/>
      <c r="C830" s="103"/>
      <c r="D830" s="103"/>
      <c r="E830" s="103"/>
      <c r="F830" s="103"/>
      <c r="G830" s="103"/>
      <c r="H830" s="103"/>
      <c r="I830" s="103"/>
      <c r="J830" s="103"/>
      <c r="K830" s="103"/>
      <c r="L830" s="103"/>
      <c r="M830" s="103"/>
      <c r="N830" s="103"/>
      <c r="O830" s="103"/>
      <c r="P830" s="103"/>
      <c r="Q830" s="103"/>
      <c r="R830" s="103"/>
      <c r="S830" s="103"/>
      <c r="T830" s="103"/>
      <c r="U830" s="103"/>
      <c r="V830" s="103"/>
      <c r="W830" s="103"/>
      <c r="X830" s="103"/>
      <c r="Y830" s="103"/>
      <c r="Z830" s="103"/>
    </row>
    <row r="831" ht="15.75" customHeight="1">
      <c r="A831" s="103"/>
      <c r="B831" s="103"/>
      <c r="C831" s="103"/>
      <c r="D831" s="103"/>
      <c r="E831" s="103"/>
      <c r="F831" s="103"/>
      <c r="G831" s="103"/>
      <c r="H831" s="103"/>
      <c r="I831" s="103"/>
      <c r="J831" s="103"/>
      <c r="K831" s="103"/>
      <c r="L831" s="103"/>
      <c r="M831" s="103"/>
      <c r="N831" s="103"/>
      <c r="O831" s="103"/>
      <c r="P831" s="103"/>
      <c r="Q831" s="103"/>
      <c r="R831" s="103"/>
      <c r="S831" s="103"/>
      <c r="T831" s="103"/>
      <c r="U831" s="103"/>
      <c r="V831" s="103"/>
      <c r="W831" s="103"/>
      <c r="X831" s="103"/>
      <c r="Y831" s="103"/>
      <c r="Z831" s="103"/>
    </row>
    <row r="832" ht="15.75" customHeight="1">
      <c r="A832" s="103"/>
      <c r="B832" s="103"/>
      <c r="C832" s="103"/>
      <c r="D832" s="103"/>
      <c r="E832" s="103"/>
      <c r="F832" s="103"/>
      <c r="G832" s="103"/>
      <c r="H832" s="103"/>
      <c r="I832" s="103"/>
      <c r="J832" s="103"/>
      <c r="K832" s="103"/>
      <c r="L832" s="103"/>
      <c r="M832" s="103"/>
      <c r="N832" s="103"/>
      <c r="O832" s="103"/>
      <c r="P832" s="103"/>
      <c r="Q832" s="103"/>
      <c r="R832" s="103"/>
      <c r="S832" s="103"/>
      <c r="T832" s="103"/>
      <c r="U832" s="103"/>
      <c r="V832" s="103"/>
      <c r="W832" s="103"/>
      <c r="X832" s="103"/>
      <c r="Y832" s="103"/>
      <c r="Z832" s="103"/>
    </row>
    <row r="833" ht="15.75" customHeight="1">
      <c r="A833" s="103"/>
      <c r="B833" s="103"/>
      <c r="C833" s="103"/>
      <c r="D833" s="103"/>
      <c r="E833" s="103"/>
      <c r="F833" s="103"/>
      <c r="G833" s="103"/>
      <c r="H833" s="103"/>
      <c r="I833" s="103"/>
      <c r="J833" s="103"/>
      <c r="K833" s="103"/>
      <c r="L833" s="103"/>
      <c r="M833" s="103"/>
      <c r="N833" s="103"/>
      <c r="O833" s="103"/>
      <c r="P833" s="103"/>
      <c r="Q833" s="103"/>
      <c r="R833" s="103"/>
      <c r="S833" s="103"/>
      <c r="T833" s="103"/>
      <c r="U833" s="103"/>
      <c r="V833" s="103"/>
      <c r="W833" s="103"/>
      <c r="X833" s="103"/>
      <c r="Y833" s="103"/>
      <c r="Z833" s="103"/>
    </row>
    <row r="834" ht="15.75" customHeight="1">
      <c r="A834" s="103"/>
      <c r="B834" s="103"/>
      <c r="C834" s="103"/>
      <c r="D834" s="103"/>
      <c r="E834" s="103"/>
      <c r="F834" s="103"/>
      <c r="G834" s="103"/>
      <c r="H834" s="103"/>
      <c r="I834" s="103"/>
      <c r="J834" s="103"/>
      <c r="K834" s="103"/>
      <c r="L834" s="103"/>
      <c r="M834" s="103"/>
      <c r="N834" s="103"/>
      <c r="O834" s="103"/>
      <c r="P834" s="103"/>
      <c r="Q834" s="103"/>
      <c r="R834" s="103"/>
      <c r="S834" s="103"/>
      <c r="T834" s="103"/>
      <c r="U834" s="103"/>
      <c r="V834" s="103"/>
      <c r="W834" s="103"/>
      <c r="X834" s="103"/>
      <c r="Y834" s="103"/>
      <c r="Z834" s="103"/>
    </row>
    <row r="835" ht="15.75" customHeight="1">
      <c r="A835" s="103"/>
      <c r="B835" s="103"/>
      <c r="C835" s="103"/>
      <c r="D835" s="103"/>
      <c r="E835" s="103"/>
      <c r="F835" s="103"/>
      <c r="G835" s="103"/>
      <c r="H835" s="103"/>
      <c r="I835" s="103"/>
      <c r="J835" s="103"/>
      <c r="K835" s="103"/>
      <c r="L835" s="103"/>
      <c r="M835" s="103"/>
      <c r="N835" s="103"/>
      <c r="O835" s="103"/>
      <c r="P835" s="103"/>
      <c r="Q835" s="103"/>
      <c r="R835" s="103"/>
      <c r="S835" s="103"/>
      <c r="T835" s="103"/>
      <c r="U835" s="103"/>
      <c r="V835" s="103"/>
      <c r="W835" s="103"/>
      <c r="X835" s="103"/>
      <c r="Y835" s="103"/>
      <c r="Z835" s="103"/>
    </row>
    <row r="836" ht="15.75" customHeight="1">
      <c r="A836" s="103"/>
      <c r="B836" s="103"/>
      <c r="C836" s="103"/>
      <c r="D836" s="103"/>
      <c r="E836" s="103"/>
      <c r="F836" s="103"/>
      <c r="G836" s="103"/>
      <c r="H836" s="103"/>
      <c r="I836" s="103"/>
      <c r="J836" s="103"/>
      <c r="K836" s="103"/>
      <c r="L836" s="103"/>
      <c r="M836" s="103"/>
      <c r="N836" s="103"/>
      <c r="O836" s="103"/>
      <c r="P836" s="103"/>
      <c r="Q836" s="103"/>
      <c r="R836" s="103"/>
      <c r="S836" s="103"/>
      <c r="T836" s="103"/>
      <c r="U836" s="103"/>
      <c r="V836" s="103"/>
      <c r="W836" s="103"/>
      <c r="X836" s="103"/>
      <c r="Y836" s="103"/>
      <c r="Z836" s="103"/>
    </row>
    <row r="837" ht="15.75" customHeight="1">
      <c r="A837" s="103"/>
      <c r="B837" s="103"/>
      <c r="C837" s="103"/>
      <c r="D837" s="103"/>
      <c r="E837" s="103"/>
      <c r="F837" s="103"/>
      <c r="G837" s="103"/>
      <c r="H837" s="103"/>
      <c r="I837" s="103"/>
      <c r="J837" s="103"/>
      <c r="K837" s="103"/>
      <c r="L837" s="103"/>
      <c r="M837" s="103"/>
      <c r="N837" s="103"/>
      <c r="O837" s="103"/>
      <c r="P837" s="103"/>
      <c r="Q837" s="103"/>
      <c r="R837" s="103"/>
      <c r="S837" s="103"/>
      <c r="T837" s="103"/>
      <c r="U837" s="103"/>
      <c r="V837" s="103"/>
      <c r="W837" s="103"/>
      <c r="X837" s="103"/>
      <c r="Y837" s="103"/>
      <c r="Z837" s="103"/>
    </row>
    <row r="838" ht="15.75" customHeight="1">
      <c r="A838" s="103"/>
      <c r="B838" s="103"/>
      <c r="C838" s="103"/>
      <c r="D838" s="103"/>
      <c r="E838" s="103"/>
      <c r="F838" s="103"/>
      <c r="G838" s="103"/>
      <c r="H838" s="103"/>
      <c r="I838" s="103"/>
      <c r="J838" s="103"/>
      <c r="K838" s="103"/>
      <c r="L838" s="103"/>
      <c r="M838" s="103"/>
      <c r="N838" s="103"/>
      <c r="O838" s="103"/>
      <c r="P838" s="103"/>
      <c r="Q838" s="103"/>
      <c r="R838" s="103"/>
      <c r="S838" s="103"/>
      <c r="T838" s="103"/>
      <c r="U838" s="103"/>
      <c r="V838" s="103"/>
      <c r="W838" s="103"/>
      <c r="X838" s="103"/>
      <c r="Y838" s="103"/>
      <c r="Z838" s="103"/>
    </row>
    <row r="839" ht="15.75" customHeight="1">
      <c r="A839" s="103"/>
      <c r="B839" s="103"/>
      <c r="C839" s="103"/>
      <c r="D839" s="103"/>
      <c r="E839" s="103"/>
      <c r="F839" s="103"/>
      <c r="G839" s="103"/>
      <c r="H839" s="103"/>
      <c r="I839" s="103"/>
      <c r="J839" s="103"/>
      <c r="K839" s="103"/>
      <c r="L839" s="103"/>
      <c r="M839" s="103"/>
      <c r="N839" s="103"/>
      <c r="O839" s="103"/>
      <c r="P839" s="103"/>
      <c r="Q839" s="103"/>
      <c r="R839" s="103"/>
      <c r="S839" s="103"/>
      <c r="T839" s="103"/>
      <c r="U839" s="103"/>
      <c r="V839" s="103"/>
      <c r="W839" s="103"/>
      <c r="X839" s="103"/>
      <c r="Y839" s="103"/>
      <c r="Z839" s="103"/>
    </row>
    <row r="840" ht="15.75" customHeight="1">
      <c r="A840" s="103"/>
      <c r="B840" s="103"/>
      <c r="C840" s="103"/>
      <c r="D840" s="103"/>
      <c r="E840" s="103"/>
      <c r="F840" s="103"/>
      <c r="G840" s="103"/>
      <c r="H840" s="103"/>
      <c r="I840" s="103"/>
      <c r="J840" s="103"/>
      <c r="K840" s="103"/>
      <c r="L840" s="103"/>
      <c r="M840" s="103"/>
      <c r="N840" s="103"/>
      <c r="O840" s="103"/>
      <c r="P840" s="103"/>
      <c r="Q840" s="103"/>
      <c r="R840" s="103"/>
      <c r="S840" s="103"/>
      <c r="T840" s="103"/>
      <c r="U840" s="103"/>
      <c r="V840" s="103"/>
      <c r="W840" s="103"/>
      <c r="X840" s="103"/>
      <c r="Y840" s="103"/>
      <c r="Z840" s="103"/>
    </row>
    <row r="841" ht="15.75" customHeight="1">
      <c r="A841" s="103"/>
      <c r="B841" s="103"/>
      <c r="C841" s="103"/>
      <c r="D841" s="103"/>
      <c r="E841" s="103"/>
      <c r="F841" s="103"/>
      <c r="G841" s="103"/>
      <c r="H841" s="103"/>
      <c r="I841" s="103"/>
      <c r="J841" s="103"/>
      <c r="K841" s="103"/>
      <c r="L841" s="103"/>
      <c r="M841" s="103"/>
      <c r="N841" s="103"/>
      <c r="O841" s="103"/>
      <c r="P841" s="103"/>
      <c r="Q841" s="103"/>
      <c r="R841" s="103"/>
      <c r="S841" s="103"/>
      <c r="T841" s="103"/>
      <c r="U841" s="103"/>
      <c r="V841" s="103"/>
      <c r="W841" s="103"/>
      <c r="X841" s="103"/>
      <c r="Y841" s="103"/>
      <c r="Z841" s="103"/>
    </row>
    <row r="842" ht="15.75" customHeight="1">
      <c r="A842" s="103"/>
      <c r="B842" s="103"/>
      <c r="C842" s="103"/>
      <c r="D842" s="103"/>
      <c r="E842" s="103"/>
      <c r="F842" s="103"/>
      <c r="G842" s="103"/>
      <c r="H842" s="103"/>
      <c r="I842" s="103"/>
      <c r="J842" s="103"/>
      <c r="K842" s="103"/>
      <c r="L842" s="103"/>
      <c r="M842" s="103"/>
      <c r="N842" s="103"/>
      <c r="O842" s="103"/>
      <c r="P842" s="103"/>
      <c r="Q842" s="103"/>
      <c r="R842" s="103"/>
      <c r="S842" s="103"/>
      <c r="T842" s="103"/>
      <c r="U842" s="103"/>
      <c r="V842" s="103"/>
      <c r="W842" s="103"/>
      <c r="X842" s="103"/>
      <c r="Y842" s="103"/>
      <c r="Z842" s="103"/>
    </row>
    <row r="843" ht="15.75" customHeight="1">
      <c r="A843" s="103"/>
      <c r="B843" s="103"/>
      <c r="C843" s="103"/>
      <c r="D843" s="103"/>
      <c r="E843" s="103"/>
      <c r="F843" s="103"/>
      <c r="G843" s="103"/>
      <c r="H843" s="103"/>
      <c r="I843" s="103"/>
      <c r="J843" s="103"/>
      <c r="K843" s="103"/>
      <c r="L843" s="103"/>
      <c r="M843" s="103"/>
      <c r="N843" s="103"/>
      <c r="O843" s="103"/>
      <c r="P843" s="103"/>
      <c r="Q843" s="103"/>
      <c r="R843" s="103"/>
      <c r="S843" s="103"/>
      <c r="T843" s="103"/>
      <c r="U843" s="103"/>
      <c r="V843" s="103"/>
      <c r="W843" s="103"/>
      <c r="X843" s="103"/>
      <c r="Y843" s="103"/>
      <c r="Z843" s="103"/>
    </row>
    <row r="844" ht="15.75" customHeight="1">
      <c r="A844" s="103"/>
      <c r="B844" s="103"/>
      <c r="C844" s="103"/>
      <c r="D844" s="103"/>
      <c r="E844" s="103"/>
      <c r="F844" s="103"/>
      <c r="G844" s="103"/>
      <c r="H844" s="103"/>
      <c r="I844" s="103"/>
      <c r="J844" s="103"/>
      <c r="K844" s="103"/>
      <c r="L844" s="103"/>
      <c r="M844" s="103"/>
      <c r="N844" s="103"/>
      <c r="O844" s="103"/>
      <c r="P844" s="103"/>
      <c r="Q844" s="103"/>
      <c r="R844" s="103"/>
      <c r="S844" s="103"/>
      <c r="T844" s="103"/>
      <c r="U844" s="103"/>
      <c r="V844" s="103"/>
      <c r="W844" s="103"/>
      <c r="X844" s="103"/>
      <c r="Y844" s="103"/>
      <c r="Z844" s="103"/>
    </row>
    <row r="845" ht="15.75" customHeight="1">
      <c r="A845" s="103"/>
      <c r="B845" s="103"/>
      <c r="C845" s="103"/>
      <c r="D845" s="103"/>
      <c r="E845" s="103"/>
      <c r="F845" s="103"/>
      <c r="G845" s="103"/>
      <c r="H845" s="103"/>
      <c r="I845" s="103"/>
      <c r="J845" s="103"/>
      <c r="K845" s="103"/>
      <c r="L845" s="103"/>
      <c r="M845" s="103"/>
      <c r="N845" s="103"/>
      <c r="O845" s="103"/>
      <c r="P845" s="103"/>
      <c r="Q845" s="103"/>
      <c r="R845" s="103"/>
      <c r="S845" s="103"/>
      <c r="T845" s="103"/>
      <c r="U845" s="103"/>
      <c r="V845" s="103"/>
      <c r="W845" s="103"/>
      <c r="X845" s="103"/>
      <c r="Y845" s="103"/>
      <c r="Z845" s="103"/>
    </row>
    <row r="846" ht="15.75" customHeight="1">
      <c r="A846" s="103"/>
      <c r="B846" s="103"/>
      <c r="C846" s="103"/>
      <c r="D846" s="103"/>
      <c r="E846" s="103"/>
      <c r="F846" s="103"/>
      <c r="G846" s="103"/>
      <c r="H846" s="103"/>
      <c r="I846" s="103"/>
      <c r="J846" s="103"/>
      <c r="K846" s="103"/>
      <c r="L846" s="103"/>
      <c r="M846" s="103"/>
      <c r="N846" s="103"/>
      <c r="O846" s="103"/>
      <c r="P846" s="103"/>
      <c r="Q846" s="103"/>
      <c r="R846" s="103"/>
      <c r="S846" s="103"/>
      <c r="T846" s="103"/>
      <c r="U846" s="103"/>
      <c r="V846" s="103"/>
      <c r="W846" s="103"/>
      <c r="X846" s="103"/>
      <c r="Y846" s="103"/>
      <c r="Z846" s="103"/>
    </row>
    <row r="847" ht="15.75" customHeight="1">
      <c r="A847" s="103"/>
      <c r="B847" s="103"/>
      <c r="C847" s="103"/>
      <c r="D847" s="103"/>
      <c r="E847" s="103"/>
      <c r="F847" s="103"/>
      <c r="G847" s="103"/>
      <c r="H847" s="103"/>
      <c r="I847" s="103"/>
      <c r="J847" s="103"/>
      <c r="K847" s="103"/>
      <c r="L847" s="103"/>
      <c r="M847" s="103"/>
      <c r="N847" s="103"/>
      <c r="O847" s="103"/>
      <c r="P847" s="103"/>
      <c r="Q847" s="103"/>
      <c r="R847" s="103"/>
      <c r="S847" s="103"/>
      <c r="T847" s="103"/>
      <c r="U847" s="103"/>
      <c r="V847" s="103"/>
      <c r="W847" s="103"/>
      <c r="X847" s="103"/>
      <c r="Y847" s="103"/>
      <c r="Z847" s="103"/>
    </row>
    <row r="848" ht="15.75" customHeight="1">
      <c r="A848" s="103"/>
      <c r="B848" s="103"/>
      <c r="C848" s="103"/>
      <c r="D848" s="103"/>
      <c r="E848" s="103"/>
      <c r="F848" s="103"/>
      <c r="G848" s="103"/>
      <c r="H848" s="103"/>
      <c r="I848" s="103"/>
      <c r="J848" s="103"/>
      <c r="K848" s="103"/>
      <c r="L848" s="103"/>
      <c r="M848" s="103"/>
      <c r="N848" s="103"/>
      <c r="O848" s="103"/>
      <c r="P848" s="103"/>
      <c r="Q848" s="103"/>
      <c r="R848" s="103"/>
      <c r="S848" s="103"/>
      <c r="T848" s="103"/>
      <c r="U848" s="103"/>
      <c r="V848" s="103"/>
      <c r="W848" s="103"/>
      <c r="X848" s="103"/>
      <c r="Y848" s="103"/>
      <c r="Z848" s="103"/>
    </row>
    <row r="849" ht="15.75" customHeight="1">
      <c r="A849" s="103"/>
      <c r="B849" s="103"/>
      <c r="C849" s="103"/>
      <c r="D849" s="103"/>
      <c r="E849" s="103"/>
      <c r="F849" s="103"/>
      <c r="G849" s="103"/>
      <c r="H849" s="103"/>
      <c r="I849" s="103"/>
      <c r="J849" s="103"/>
      <c r="K849" s="103"/>
      <c r="L849" s="103"/>
      <c r="M849" s="103"/>
      <c r="N849" s="103"/>
      <c r="O849" s="103"/>
      <c r="P849" s="103"/>
      <c r="Q849" s="103"/>
      <c r="R849" s="103"/>
      <c r="S849" s="103"/>
      <c r="T849" s="103"/>
      <c r="U849" s="103"/>
      <c r="V849" s="103"/>
      <c r="W849" s="103"/>
      <c r="X849" s="103"/>
      <c r="Y849" s="103"/>
      <c r="Z849" s="103"/>
    </row>
    <row r="850" ht="15.75" customHeight="1">
      <c r="A850" s="103"/>
      <c r="B850" s="103"/>
      <c r="C850" s="103"/>
      <c r="D850" s="103"/>
      <c r="E850" s="103"/>
      <c r="F850" s="103"/>
      <c r="G850" s="103"/>
      <c r="H850" s="103"/>
      <c r="I850" s="103"/>
      <c r="J850" s="103"/>
      <c r="K850" s="103"/>
      <c r="L850" s="103"/>
      <c r="M850" s="103"/>
      <c r="N850" s="103"/>
      <c r="O850" s="103"/>
      <c r="P850" s="103"/>
      <c r="Q850" s="103"/>
      <c r="R850" s="103"/>
      <c r="S850" s="103"/>
      <c r="T850" s="103"/>
      <c r="U850" s="103"/>
      <c r="V850" s="103"/>
      <c r="W850" s="103"/>
      <c r="X850" s="103"/>
      <c r="Y850" s="103"/>
      <c r="Z850" s="103"/>
    </row>
    <row r="851" ht="15.75" customHeight="1">
      <c r="A851" s="103"/>
      <c r="B851" s="103"/>
      <c r="C851" s="103"/>
      <c r="D851" s="103"/>
      <c r="E851" s="103"/>
      <c r="F851" s="103"/>
      <c r="G851" s="103"/>
      <c r="H851" s="103"/>
      <c r="I851" s="103"/>
      <c r="J851" s="103"/>
      <c r="K851" s="103"/>
      <c r="L851" s="103"/>
      <c r="M851" s="103"/>
      <c r="N851" s="103"/>
      <c r="O851" s="103"/>
      <c r="P851" s="103"/>
      <c r="Q851" s="103"/>
      <c r="R851" s="103"/>
      <c r="S851" s="103"/>
      <c r="T851" s="103"/>
      <c r="U851" s="103"/>
      <c r="V851" s="103"/>
      <c r="W851" s="103"/>
      <c r="X851" s="103"/>
      <c r="Y851" s="103"/>
      <c r="Z851" s="103"/>
    </row>
    <row r="852" ht="15.75" customHeight="1">
      <c r="A852" s="103"/>
      <c r="B852" s="103"/>
      <c r="C852" s="103"/>
      <c r="D852" s="103"/>
      <c r="E852" s="103"/>
      <c r="F852" s="103"/>
      <c r="G852" s="103"/>
      <c r="H852" s="103"/>
      <c r="I852" s="103"/>
      <c r="J852" s="103"/>
      <c r="K852" s="103"/>
      <c r="L852" s="103"/>
      <c r="M852" s="103"/>
      <c r="N852" s="103"/>
      <c r="O852" s="103"/>
      <c r="P852" s="103"/>
      <c r="Q852" s="103"/>
      <c r="R852" s="103"/>
      <c r="S852" s="103"/>
      <c r="T852" s="103"/>
      <c r="U852" s="103"/>
      <c r="V852" s="103"/>
      <c r="W852" s="103"/>
      <c r="X852" s="103"/>
      <c r="Y852" s="103"/>
      <c r="Z852" s="103"/>
    </row>
    <row r="853" ht="15.75" customHeight="1">
      <c r="A853" s="103"/>
      <c r="B853" s="103"/>
      <c r="C853" s="103"/>
      <c r="D853" s="103"/>
      <c r="E853" s="103"/>
      <c r="F853" s="103"/>
      <c r="G853" s="103"/>
      <c r="H853" s="103"/>
      <c r="I853" s="103"/>
      <c r="J853" s="103"/>
      <c r="K853" s="103"/>
      <c r="L853" s="103"/>
      <c r="M853" s="103"/>
      <c r="N853" s="103"/>
      <c r="O853" s="103"/>
      <c r="P853" s="103"/>
      <c r="Q853" s="103"/>
      <c r="R853" s="103"/>
      <c r="S853" s="103"/>
      <c r="T853" s="103"/>
      <c r="U853" s="103"/>
      <c r="V853" s="103"/>
      <c r="W853" s="103"/>
      <c r="X853" s="103"/>
      <c r="Y853" s="103"/>
      <c r="Z853" s="103"/>
    </row>
    <row r="854" ht="15.75" customHeight="1">
      <c r="A854" s="103"/>
      <c r="B854" s="103"/>
      <c r="C854" s="103"/>
      <c r="D854" s="103"/>
      <c r="E854" s="103"/>
      <c r="F854" s="103"/>
      <c r="G854" s="103"/>
      <c r="H854" s="103"/>
      <c r="I854" s="103"/>
      <c r="J854" s="103"/>
      <c r="K854" s="103"/>
      <c r="L854" s="103"/>
      <c r="M854" s="103"/>
      <c r="N854" s="103"/>
      <c r="O854" s="103"/>
      <c r="P854" s="103"/>
      <c r="Q854" s="103"/>
      <c r="R854" s="103"/>
      <c r="S854" s="103"/>
      <c r="T854" s="103"/>
      <c r="U854" s="103"/>
      <c r="V854" s="103"/>
      <c r="W854" s="103"/>
      <c r="X854" s="103"/>
      <c r="Y854" s="103"/>
      <c r="Z854" s="103"/>
    </row>
    <row r="855" ht="15.75" customHeight="1">
      <c r="A855" s="103"/>
      <c r="B855" s="103"/>
      <c r="C855" s="103"/>
      <c r="D855" s="103"/>
      <c r="E855" s="103"/>
      <c r="F855" s="103"/>
      <c r="G855" s="103"/>
      <c r="H855" s="103"/>
      <c r="I855" s="103"/>
      <c r="J855" s="103"/>
      <c r="K855" s="103"/>
      <c r="L855" s="103"/>
      <c r="M855" s="103"/>
      <c r="N855" s="103"/>
      <c r="O855" s="103"/>
      <c r="P855" s="103"/>
      <c r="Q855" s="103"/>
      <c r="R855" s="103"/>
      <c r="S855" s="103"/>
      <c r="T855" s="103"/>
      <c r="U855" s="103"/>
      <c r="V855" s="103"/>
      <c r="W855" s="103"/>
      <c r="X855" s="103"/>
      <c r="Y855" s="103"/>
      <c r="Z855" s="103"/>
    </row>
    <row r="856" ht="15.75" customHeight="1">
      <c r="A856" s="103"/>
      <c r="B856" s="103"/>
      <c r="C856" s="103"/>
      <c r="D856" s="103"/>
      <c r="E856" s="103"/>
      <c r="F856" s="103"/>
      <c r="G856" s="103"/>
      <c r="H856" s="103"/>
      <c r="I856" s="103"/>
      <c r="J856" s="103"/>
      <c r="K856" s="103"/>
      <c r="L856" s="103"/>
      <c r="M856" s="103"/>
      <c r="N856" s="103"/>
      <c r="O856" s="103"/>
      <c r="P856" s="103"/>
      <c r="Q856" s="103"/>
      <c r="R856" s="103"/>
      <c r="S856" s="103"/>
      <c r="T856" s="103"/>
      <c r="U856" s="103"/>
      <c r="V856" s="103"/>
      <c r="W856" s="103"/>
      <c r="X856" s="103"/>
      <c r="Y856" s="103"/>
      <c r="Z856" s="103"/>
    </row>
    <row r="857" ht="15.75" customHeight="1">
      <c r="A857" s="103"/>
      <c r="B857" s="103"/>
      <c r="C857" s="103"/>
      <c r="D857" s="103"/>
      <c r="E857" s="103"/>
      <c r="F857" s="103"/>
      <c r="G857" s="103"/>
      <c r="H857" s="103"/>
      <c r="I857" s="103"/>
      <c r="J857" s="103"/>
      <c r="K857" s="103"/>
      <c r="L857" s="103"/>
      <c r="M857" s="103"/>
      <c r="N857" s="103"/>
      <c r="O857" s="103"/>
      <c r="P857" s="103"/>
      <c r="Q857" s="103"/>
      <c r="R857" s="103"/>
      <c r="S857" s="103"/>
      <c r="T857" s="103"/>
      <c r="U857" s="103"/>
      <c r="V857" s="103"/>
      <c r="W857" s="103"/>
      <c r="X857" s="103"/>
      <c r="Y857" s="103"/>
      <c r="Z857" s="103"/>
    </row>
    <row r="858" ht="15.75" customHeight="1">
      <c r="A858" s="103"/>
      <c r="B858" s="103"/>
      <c r="C858" s="103"/>
      <c r="D858" s="103"/>
      <c r="E858" s="103"/>
      <c r="F858" s="103"/>
      <c r="G858" s="103"/>
      <c r="H858" s="103"/>
      <c r="I858" s="103"/>
      <c r="J858" s="103"/>
      <c r="K858" s="103"/>
      <c r="L858" s="103"/>
      <c r="M858" s="103"/>
      <c r="N858" s="103"/>
      <c r="O858" s="103"/>
      <c r="P858" s="103"/>
      <c r="Q858" s="103"/>
      <c r="R858" s="103"/>
      <c r="S858" s="103"/>
      <c r="T858" s="103"/>
      <c r="U858" s="103"/>
      <c r="V858" s="103"/>
      <c r="W858" s="103"/>
      <c r="X858" s="103"/>
      <c r="Y858" s="103"/>
      <c r="Z858" s="103"/>
    </row>
    <row r="859" ht="15.75" customHeight="1">
      <c r="A859" s="103"/>
      <c r="B859" s="103"/>
      <c r="C859" s="103"/>
      <c r="D859" s="103"/>
      <c r="E859" s="103"/>
      <c r="F859" s="103"/>
      <c r="G859" s="103"/>
      <c r="H859" s="103"/>
      <c r="I859" s="103"/>
      <c r="J859" s="103"/>
      <c r="K859" s="103"/>
      <c r="L859" s="103"/>
      <c r="M859" s="103"/>
      <c r="N859" s="103"/>
      <c r="O859" s="103"/>
      <c r="P859" s="103"/>
      <c r="Q859" s="103"/>
      <c r="R859" s="103"/>
      <c r="S859" s="103"/>
      <c r="T859" s="103"/>
      <c r="U859" s="103"/>
      <c r="V859" s="103"/>
      <c r="W859" s="103"/>
      <c r="X859" s="103"/>
      <c r="Y859" s="103"/>
      <c r="Z859" s="103"/>
    </row>
    <row r="860" ht="15.75" customHeight="1">
      <c r="A860" s="103"/>
      <c r="B860" s="103"/>
      <c r="C860" s="103"/>
      <c r="D860" s="103"/>
      <c r="E860" s="103"/>
      <c r="F860" s="103"/>
      <c r="G860" s="103"/>
      <c r="H860" s="103"/>
      <c r="I860" s="103"/>
      <c r="J860" s="103"/>
      <c r="K860" s="103"/>
      <c r="L860" s="103"/>
      <c r="M860" s="103"/>
      <c r="N860" s="103"/>
      <c r="O860" s="103"/>
      <c r="P860" s="103"/>
      <c r="Q860" s="103"/>
      <c r="R860" s="103"/>
      <c r="S860" s="103"/>
      <c r="T860" s="103"/>
      <c r="U860" s="103"/>
      <c r="V860" s="103"/>
      <c r="W860" s="103"/>
      <c r="X860" s="103"/>
      <c r="Y860" s="103"/>
      <c r="Z860" s="103"/>
    </row>
    <row r="861" ht="15.75" customHeight="1">
      <c r="A861" s="103"/>
      <c r="B861" s="103"/>
      <c r="C861" s="103"/>
      <c r="D861" s="103"/>
      <c r="E861" s="103"/>
      <c r="F861" s="103"/>
      <c r="G861" s="103"/>
      <c r="H861" s="103"/>
      <c r="I861" s="103"/>
      <c r="J861" s="103"/>
      <c r="K861" s="103"/>
      <c r="L861" s="103"/>
      <c r="M861" s="103"/>
      <c r="N861" s="103"/>
      <c r="O861" s="103"/>
      <c r="P861" s="103"/>
      <c r="Q861" s="103"/>
      <c r="R861" s="103"/>
      <c r="S861" s="103"/>
      <c r="T861" s="103"/>
      <c r="U861" s="103"/>
      <c r="V861" s="103"/>
      <c r="W861" s="103"/>
      <c r="X861" s="103"/>
      <c r="Y861" s="103"/>
      <c r="Z861" s="103"/>
    </row>
    <row r="862" ht="15.75" customHeight="1">
      <c r="A862" s="103"/>
      <c r="B862" s="103"/>
      <c r="C862" s="103"/>
      <c r="D862" s="103"/>
      <c r="E862" s="103"/>
      <c r="F862" s="103"/>
      <c r="G862" s="103"/>
      <c r="H862" s="103"/>
      <c r="I862" s="103"/>
      <c r="J862" s="103"/>
      <c r="K862" s="103"/>
      <c r="L862" s="103"/>
      <c r="M862" s="103"/>
      <c r="N862" s="103"/>
      <c r="O862" s="103"/>
      <c r="P862" s="103"/>
      <c r="Q862" s="103"/>
      <c r="R862" s="103"/>
      <c r="S862" s="103"/>
      <c r="T862" s="103"/>
      <c r="U862" s="103"/>
      <c r="V862" s="103"/>
      <c r="W862" s="103"/>
      <c r="X862" s="103"/>
      <c r="Y862" s="103"/>
      <c r="Z862" s="103"/>
    </row>
    <row r="863" ht="15.75" customHeight="1">
      <c r="A863" s="103"/>
      <c r="B863" s="103"/>
      <c r="C863" s="103"/>
      <c r="D863" s="103"/>
      <c r="E863" s="103"/>
      <c r="F863" s="103"/>
      <c r="G863" s="103"/>
      <c r="H863" s="103"/>
      <c r="I863" s="103"/>
      <c r="J863" s="103"/>
      <c r="K863" s="103"/>
      <c r="L863" s="103"/>
      <c r="M863" s="103"/>
      <c r="N863" s="103"/>
      <c r="O863" s="103"/>
      <c r="P863" s="103"/>
      <c r="Q863" s="103"/>
      <c r="R863" s="103"/>
      <c r="S863" s="103"/>
      <c r="T863" s="103"/>
      <c r="U863" s="103"/>
      <c r="V863" s="103"/>
      <c r="W863" s="103"/>
      <c r="X863" s="103"/>
      <c r="Y863" s="103"/>
      <c r="Z863" s="103"/>
    </row>
    <row r="864" ht="15.75" customHeight="1">
      <c r="A864" s="103"/>
      <c r="B864" s="103"/>
      <c r="C864" s="103"/>
      <c r="D864" s="103"/>
      <c r="E864" s="103"/>
      <c r="F864" s="103"/>
      <c r="G864" s="103"/>
      <c r="H864" s="103"/>
      <c r="I864" s="103"/>
      <c r="J864" s="103"/>
      <c r="K864" s="103"/>
      <c r="L864" s="103"/>
      <c r="M864" s="103"/>
      <c r="N864" s="103"/>
      <c r="O864" s="103"/>
      <c r="P864" s="103"/>
      <c r="Q864" s="103"/>
      <c r="R864" s="103"/>
      <c r="S864" s="103"/>
      <c r="T864" s="103"/>
      <c r="U864" s="103"/>
      <c r="V864" s="103"/>
      <c r="W864" s="103"/>
      <c r="X864" s="103"/>
      <c r="Y864" s="103"/>
      <c r="Z864" s="103"/>
    </row>
    <row r="865" ht="15.75" customHeight="1">
      <c r="A865" s="103"/>
      <c r="B865" s="103"/>
      <c r="C865" s="103"/>
      <c r="D865" s="103"/>
      <c r="E865" s="103"/>
      <c r="F865" s="103"/>
      <c r="G865" s="103"/>
      <c r="H865" s="103"/>
      <c r="I865" s="103"/>
      <c r="J865" s="103"/>
      <c r="K865" s="103"/>
      <c r="L865" s="103"/>
      <c r="M865" s="103"/>
      <c r="N865" s="103"/>
      <c r="O865" s="103"/>
      <c r="P865" s="103"/>
      <c r="Q865" s="103"/>
      <c r="R865" s="103"/>
      <c r="S865" s="103"/>
      <c r="T865" s="103"/>
      <c r="U865" s="103"/>
      <c r="V865" s="103"/>
      <c r="W865" s="103"/>
      <c r="X865" s="103"/>
      <c r="Y865" s="103"/>
      <c r="Z865" s="103"/>
    </row>
    <row r="866" ht="15.75" customHeight="1">
      <c r="A866" s="103"/>
      <c r="B866" s="103"/>
      <c r="C866" s="103"/>
      <c r="D866" s="103"/>
      <c r="E866" s="103"/>
      <c r="F866" s="103"/>
      <c r="G866" s="103"/>
      <c r="H866" s="103"/>
      <c r="I866" s="103"/>
      <c r="J866" s="103"/>
      <c r="K866" s="103"/>
      <c r="L866" s="103"/>
      <c r="M866" s="103"/>
      <c r="N866" s="103"/>
      <c r="O866" s="103"/>
      <c r="P866" s="103"/>
      <c r="Q866" s="103"/>
      <c r="R866" s="103"/>
      <c r="S866" s="103"/>
      <c r="T866" s="103"/>
      <c r="U866" s="103"/>
      <c r="V866" s="103"/>
      <c r="W866" s="103"/>
      <c r="X866" s="103"/>
      <c r="Y866" s="103"/>
      <c r="Z866" s="103"/>
    </row>
    <row r="867" ht="15.75" customHeight="1">
      <c r="A867" s="103"/>
      <c r="B867" s="103"/>
      <c r="C867" s="103"/>
      <c r="D867" s="103"/>
      <c r="E867" s="103"/>
      <c r="F867" s="103"/>
      <c r="G867" s="103"/>
      <c r="H867" s="103"/>
      <c r="I867" s="103"/>
      <c r="J867" s="103"/>
      <c r="K867" s="103"/>
      <c r="L867" s="103"/>
      <c r="M867" s="103"/>
      <c r="N867" s="103"/>
      <c r="O867" s="103"/>
      <c r="P867" s="103"/>
      <c r="Q867" s="103"/>
      <c r="R867" s="103"/>
      <c r="S867" s="103"/>
      <c r="T867" s="103"/>
      <c r="U867" s="103"/>
      <c r="V867" s="103"/>
      <c r="W867" s="103"/>
      <c r="X867" s="103"/>
      <c r="Y867" s="103"/>
      <c r="Z867" s="103"/>
    </row>
    <row r="868" ht="15.75" customHeight="1">
      <c r="A868" s="103"/>
      <c r="B868" s="103"/>
      <c r="C868" s="103"/>
      <c r="D868" s="103"/>
      <c r="E868" s="103"/>
      <c r="F868" s="103"/>
      <c r="G868" s="103"/>
      <c r="H868" s="103"/>
      <c r="I868" s="103"/>
      <c r="J868" s="103"/>
      <c r="K868" s="103"/>
      <c r="L868" s="103"/>
      <c r="M868" s="103"/>
      <c r="N868" s="103"/>
      <c r="O868" s="103"/>
      <c r="P868" s="103"/>
      <c r="Q868" s="103"/>
      <c r="R868" s="103"/>
      <c r="S868" s="103"/>
      <c r="T868" s="103"/>
      <c r="U868" s="103"/>
      <c r="V868" s="103"/>
      <c r="W868" s="103"/>
      <c r="X868" s="103"/>
      <c r="Y868" s="103"/>
      <c r="Z868" s="103"/>
    </row>
    <row r="869" ht="15.75" customHeight="1">
      <c r="A869" s="103"/>
      <c r="B869" s="103"/>
      <c r="C869" s="103"/>
      <c r="D869" s="103"/>
      <c r="E869" s="103"/>
      <c r="F869" s="103"/>
      <c r="G869" s="103"/>
      <c r="H869" s="103"/>
      <c r="I869" s="103"/>
      <c r="J869" s="103"/>
      <c r="K869" s="103"/>
      <c r="L869" s="103"/>
      <c r="M869" s="103"/>
      <c r="N869" s="103"/>
      <c r="O869" s="103"/>
      <c r="P869" s="103"/>
      <c r="Q869" s="103"/>
      <c r="R869" s="103"/>
      <c r="S869" s="103"/>
      <c r="T869" s="103"/>
      <c r="U869" s="103"/>
      <c r="V869" s="103"/>
      <c r="W869" s="103"/>
      <c r="X869" s="103"/>
      <c r="Y869" s="103"/>
      <c r="Z869" s="103"/>
    </row>
    <row r="870" ht="15.75" customHeight="1">
      <c r="A870" s="103"/>
      <c r="B870" s="103"/>
      <c r="C870" s="103"/>
      <c r="D870" s="103"/>
      <c r="E870" s="103"/>
      <c r="F870" s="103"/>
      <c r="G870" s="103"/>
      <c r="H870" s="103"/>
      <c r="I870" s="103"/>
      <c r="J870" s="103"/>
      <c r="K870" s="103"/>
      <c r="L870" s="103"/>
      <c r="M870" s="103"/>
      <c r="N870" s="103"/>
      <c r="O870" s="103"/>
      <c r="P870" s="103"/>
      <c r="Q870" s="103"/>
      <c r="R870" s="103"/>
      <c r="S870" s="103"/>
      <c r="T870" s="103"/>
      <c r="U870" s="103"/>
      <c r="V870" s="103"/>
      <c r="W870" s="103"/>
      <c r="X870" s="103"/>
      <c r="Y870" s="103"/>
      <c r="Z870" s="103"/>
    </row>
    <row r="871" ht="15.75" customHeight="1">
      <c r="A871" s="103"/>
      <c r="B871" s="103"/>
      <c r="C871" s="103"/>
      <c r="D871" s="103"/>
      <c r="E871" s="103"/>
      <c r="F871" s="103"/>
      <c r="G871" s="103"/>
      <c r="H871" s="103"/>
      <c r="I871" s="103"/>
      <c r="J871" s="103"/>
      <c r="K871" s="103"/>
      <c r="L871" s="103"/>
      <c r="M871" s="103"/>
      <c r="N871" s="103"/>
      <c r="O871" s="103"/>
      <c r="P871" s="103"/>
      <c r="Q871" s="103"/>
      <c r="R871" s="103"/>
      <c r="S871" s="103"/>
      <c r="T871" s="103"/>
      <c r="U871" s="103"/>
      <c r="V871" s="103"/>
      <c r="W871" s="103"/>
      <c r="X871" s="103"/>
      <c r="Y871" s="103"/>
      <c r="Z871" s="103"/>
    </row>
    <row r="872" ht="15.75" customHeight="1">
      <c r="A872" s="103"/>
      <c r="B872" s="103"/>
      <c r="C872" s="103"/>
      <c r="D872" s="103"/>
      <c r="E872" s="103"/>
      <c r="F872" s="103"/>
      <c r="G872" s="103"/>
      <c r="H872" s="103"/>
      <c r="I872" s="103"/>
      <c r="J872" s="103"/>
      <c r="K872" s="103"/>
      <c r="L872" s="103"/>
      <c r="M872" s="103"/>
      <c r="N872" s="103"/>
      <c r="O872" s="103"/>
      <c r="P872" s="103"/>
      <c r="Q872" s="103"/>
      <c r="R872" s="103"/>
      <c r="S872" s="103"/>
      <c r="T872" s="103"/>
      <c r="U872" s="103"/>
      <c r="V872" s="103"/>
      <c r="W872" s="103"/>
      <c r="X872" s="103"/>
      <c r="Y872" s="103"/>
      <c r="Z872" s="103"/>
    </row>
    <row r="873" ht="15.75" customHeight="1">
      <c r="A873" s="103"/>
      <c r="B873" s="103"/>
      <c r="C873" s="103"/>
      <c r="D873" s="103"/>
      <c r="E873" s="103"/>
      <c r="F873" s="103"/>
      <c r="G873" s="103"/>
      <c r="H873" s="103"/>
      <c r="I873" s="103"/>
      <c r="J873" s="103"/>
      <c r="K873" s="103"/>
      <c r="L873" s="103"/>
      <c r="M873" s="103"/>
      <c r="N873" s="103"/>
      <c r="O873" s="103"/>
      <c r="P873" s="103"/>
      <c r="Q873" s="103"/>
      <c r="R873" s="103"/>
      <c r="S873" s="103"/>
      <c r="T873" s="103"/>
      <c r="U873" s="103"/>
      <c r="V873" s="103"/>
      <c r="W873" s="103"/>
      <c r="X873" s="103"/>
      <c r="Y873" s="103"/>
      <c r="Z873" s="103"/>
    </row>
    <row r="874" ht="15.75" customHeight="1">
      <c r="A874" s="103"/>
      <c r="B874" s="103"/>
      <c r="C874" s="103"/>
      <c r="D874" s="103"/>
      <c r="E874" s="103"/>
      <c r="F874" s="103"/>
      <c r="G874" s="103"/>
      <c r="H874" s="103"/>
      <c r="I874" s="103"/>
      <c r="J874" s="103"/>
      <c r="K874" s="103"/>
      <c r="L874" s="103"/>
      <c r="M874" s="103"/>
      <c r="N874" s="103"/>
      <c r="O874" s="103"/>
      <c r="P874" s="103"/>
      <c r="Q874" s="103"/>
      <c r="R874" s="103"/>
      <c r="S874" s="103"/>
      <c r="T874" s="103"/>
      <c r="U874" s="103"/>
      <c r="V874" s="103"/>
      <c r="W874" s="103"/>
      <c r="X874" s="103"/>
      <c r="Y874" s="103"/>
      <c r="Z874" s="103"/>
    </row>
    <row r="875" ht="15.75" customHeight="1">
      <c r="A875" s="103"/>
      <c r="B875" s="103"/>
      <c r="C875" s="103"/>
      <c r="D875" s="103"/>
      <c r="E875" s="103"/>
      <c r="F875" s="103"/>
      <c r="G875" s="103"/>
      <c r="H875" s="103"/>
      <c r="I875" s="103"/>
      <c r="J875" s="103"/>
      <c r="K875" s="103"/>
      <c r="L875" s="103"/>
      <c r="M875" s="103"/>
      <c r="N875" s="103"/>
      <c r="O875" s="103"/>
      <c r="P875" s="103"/>
      <c r="Q875" s="103"/>
      <c r="R875" s="103"/>
      <c r="S875" s="103"/>
      <c r="T875" s="103"/>
      <c r="U875" s="103"/>
      <c r="V875" s="103"/>
      <c r="W875" s="103"/>
      <c r="X875" s="103"/>
      <c r="Y875" s="103"/>
      <c r="Z875" s="103"/>
    </row>
    <row r="876" ht="15.75" customHeight="1">
      <c r="A876" s="103"/>
      <c r="B876" s="103"/>
      <c r="C876" s="103"/>
      <c r="D876" s="103"/>
      <c r="E876" s="103"/>
      <c r="F876" s="103"/>
      <c r="G876" s="103"/>
      <c r="H876" s="103"/>
      <c r="I876" s="103"/>
      <c r="J876" s="103"/>
      <c r="K876" s="103"/>
      <c r="L876" s="103"/>
      <c r="M876" s="103"/>
      <c r="N876" s="103"/>
      <c r="O876" s="103"/>
      <c r="P876" s="103"/>
      <c r="Q876" s="103"/>
      <c r="R876" s="103"/>
      <c r="S876" s="103"/>
      <c r="T876" s="103"/>
      <c r="U876" s="103"/>
      <c r="V876" s="103"/>
      <c r="W876" s="103"/>
      <c r="X876" s="103"/>
      <c r="Y876" s="103"/>
      <c r="Z876" s="103"/>
    </row>
    <row r="877" ht="15.75" customHeight="1">
      <c r="A877" s="103"/>
      <c r="B877" s="103"/>
      <c r="C877" s="103"/>
      <c r="D877" s="103"/>
      <c r="E877" s="103"/>
      <c r="F877" s="103"/>
      <c r="G877" s="103"/>
      <c r="H877" s="103"/>
      <c r="I877" s="103"/>
      <c r="J877" s="103"/>
      <c r="K877" s="103"/>
      <c r="L877" s="103"/>
      <c r="M877" s="103"/>
      <c r="N877" s="103"/>
      <c r="O877" s="103"/>
      <c r="P877" s="103"/>
      <c r="Q877" s="103"/>
      <c r="R877" s="103"/>
      <c r="S877" s="103"/>
      <c r="T877" s="103"/>
      <c r="U877" s="103"/>
      <c r="V877" s="103"/>
      <c r="W877" s="103"/>
      <c r="X877" s="103"/>
      <c r="Y877" s="103"/>
      <c r="Z877" s="103"/>
    </row>
    <row r="878" ht="15.75" customHeight="1">
      <c r="A878" s="103"/>
      <c r="B878" s="103"/>
      <c r="C878" s="103"/>
      <c r="D878" s="103"/>
      <c r="E878" s="103"/>
      <c r="F878" s="103"/>
      <c r="G878" s="103"/>
      <c r="H878" s="103"/>
      <c r="I878" s="103"/>
      <c r="J878" s="103"/>
      <c r="K878" s="103"/>
      <c r="L878" s="103"/>
      <c r="M878" s="103"/>
      <c r="N878" s="103"/>
      <c r="O878" s="103"/>
      <c r="P878" s="103"/>
      <c r="Q878" s="103"/>
      <c r="R878" s="103"/>
      <c r="S878" s="103"/>
      <c r="T878" s="103"/>
      <c r="U878" s="103"/>
      <c r="V878" s="103"/>
      <c r="W878" s="103"/>
      <c r="X878" s="103"/>
      <c r="Y878" s="103"/>
      <c r="Z878" s="103"/>
    </row>
    <row r="879" ht="15.75" customHeight="1">
      <c r="A879" s="103"/>
      <c r="B879" s="103"/>
      <c r="C879" s="103"/>
      <c r="D879" s="103"/>
      <c r="E879" s="103"/>
      <c r="F879" s="103"/>
      <c r="G879" s="103"/>
      <c r="H879" s="103"/>
      <c r="I879" s="103"/>
      <c r="J879" s="103"/>
      <c r="K879" s="103"/>
      <c r="L879" s="103"/>
      <c r="M879" s="103"/>
      <c r="N879" s="103"/>
      <c r="O879" s="103"/>
      <c r="P879" s="103"/>
      <c r="Q879" s="103"/>
      <c r="R879" s="103"/>
      <c r="S879" s="103"/>
      <c r="T879" s="103"/>
      <c r="U879" s="103"/>
      <c r="V879" s="103"/>
      <c r="W879" s="103"/>
      <c r="X879" s="103"/>
      <c r="Y879" s="103"/>
      <c r="Z879" s="103"/>
    </row>
    <row r="880" ht="15.75" customHeight="1">
      <c r="A880" s="103"/>
      <c r="B880" s="103"/>
      <c r="C880" s="103"/>
      <c r="D880" s="103"/>
      <c r="E880" s="103"/>
      <c r="F880" s="103"/>
      <c r="G880" s="103"/>
      <c r="H880" s="103"/>
      <c r="I880" s="103"/>
      <c r="J880" s="103"/>
      <c r="K880" s="103"/>
      <c r="L880" s="103"/>
      <c r="M880" s="103"/>
      <c r="N880" s="103"/>
      <c r="O880" s="103"/>
      <c r="P880" s="103"/>
      <c r="Q880" s="103"/>
      <c r="R880" s="103"/>
      <c r="S880" s="103"/>
      <c r="T880" s="103"/>
      <c r="U880" s="103"/>
      <c r="V880" s="103"/>
      <c r="W880" s="103"/>
      <c r="X880" s="103"/>
      <c r="Y880" s="103"/>
      <c r="Z880" s="103"/>
    </row>
    <row r="881" ht="15.75" customHeight="1">
      <c r="A881" s="103"/>
      <c r="B881" s="103"/>
      <c r="C881" s="103"/>
      <c r="D881" s="103"/>
      <c r="E881" s="103"/>
      <c r="F881" s="103"/>
      <c r="G881" s="103"/>
      <c r="H881" s="103"/>
      <c r="I881" s="103"/>
      <c r="J881" s="103"/>
      <c r="K881" s="103"/>
      <c r="L881" s="103"/>
      <c r="M881" s="103"/>
      <c r="N881" s="103"/>
      <c r="O881" s="103"/>
      <c r="P881" s="103"/>
      <c r="Q881" s="103"/>
      <c r="R881" s="103"/>
      <c r="S881" s="103"/>
      <c r="T881" s="103"/>
      <c r="U881" s="103"/>
      <c r="V881" s="103"/>
      <c r="W881" s="103"/>
      <c r="X881" s="103"/>
      <c r="Y881" s="103"/>
      <c r="Z881" s="103"/>
    </row>
    <row r="882" ht="15.75" customHeight="1">
      <c r="A882" s="103"/>
      <c r="B882" s="103"/>
      <c r="C882" s="103"/>
      <c r="D882" s="103"/>
      <c r="E882" s="103"/>
      <c r="F882" s="103"/>
      <c r="G882" s="103"/>
      <c r="H882" s="103"/>
      <c r="I882" s="103"/>
      <c r="J882" s="103"/>
      <c r="K882" s="103"/>
      <c r="L882" s="103"/>
      <c r="M882" s="103"/>
      <c r="N882" s="103"/>
      <c r="O882" s="103"/>
      <c r="P882" s="103"/>
      <c r="Q882" s="103"/>
      <c r="R882" s="103"/>
      <c r="S882" s="103"/>
      <c r="T882" s="103"/>
      <c r="U882" s="103"/>
      <c r="V882" s="103"/>
      <c r="W882" s="103"/>
      <c r="X882" s="103"/>
      <c r="Y882" s="103"/>
      <c r="Z882" s="103"/>
    </row>
    <row r="883" ht="15.75" customHeight="1">
      <c r="A883" s="103"/>
      <c r="B883" s="103"/>
      <c r="C883" s="103"/>
      <c r="D883" s="103"/>
      <c r="E883" s="103"/>
      <c r="F883" s="103"/>
      <c r="G883" s="103"/>
      <c r="H883" s="103"/>
      <c r="I883" s="103"/>
      <c r="J883" s="103"/>
      <c r="K883" s="103"/>
      <c r="L883" s="103"/>
      <c r="M883" s="103"/>
      <c r="N883" s="103"/>
      <c r="O883" s="103"/>
      <c r="P883" s="103"/>
      <c r="Q883" s="103"/>
      <c r="R883" s="103"/>
      <c r="S883" s="103"/>
      <c r="T883" s="103"/>
      <c r="U883" s="103"/>
      <c r="V883" s="103"/>
      <c r="W883" s="103"/>
      <c r="X883" s="103"/>
      <c r="Y883" s="103"/>
      <c r="Z883" s="103"/>
    </row>
    <row r="884" ht="15.75" customHeight="1">
      <c r="A884" s="103"/>
      <c r="B884" s="103"/>
      <c r="C884" s="103"/>
      <c r="D884" s="103"/>
      <c r="E884" s="103"/>
      <c r="F884" s="103"/>
      <c r="G884" s="103"/>
      <c r="H884" s="103"/>
      <c r="I884" s="103"/>
      <c r="J884" s="103"/>
      <c r="K884" s="103"/>
      <c r="L884" s="103"/>
      <c r="M884" s="103"/>
      <c r="N884" s="103"/>
      <c r="O884" s="103"/>
      <c r="P884" s="103"/>
      <c r="Q884" s="103"/>
      <c r="R884" s="103"/>
      <c r="S884" s="103"/>
      <c r="T884" s="103"/>
      <c r="U884" s="103"/>
      <c r="V884" s="103"/>
      <c r="W884" s="103"/>
      <c r="X884" s="103"/>
      <c r="Y884" s="103"/>
      <c r="Z884" s="103"/>
    </row>
    <row r="885" ht="15.75" customHeight="1">
      <c r="A885" s="103"/>
      <c r="B885" s="103"/>
      <c r="C885" s="103"/>
      <c r="D885" s="103"/>
      <c r="E885" s="103"/>
      <c r="F885" s="103"/>
      <c r="G885" s="103"/>
      <c r="H885" s="103"/>
      <c r="I885" s="103"/>
      <c r="J885" s="103"/>
      <c r="K885" s="103"/>
      <c r="L885" s="103"/>
      <c r="M885" s="103"/>
      <c r="N885" s="103"/>
      <c r="O885" s="103"/>
      <c r="P885" s="103"/>
      <c r="Q885" s="103"/>
      <c r="R885" s="103"/>
      <c r="S885" s="103"/>
      <c r="T885" s="103"/>
      <c r="U885" s="103"/>
      <c r="V885" s="103"/>
      <c r="W885" s="103"/>
      <c r="X885" s="103"/>
      <c r="Y885" s="103"/>
      <c r="Z885" s="103"/>
    </row>
    <row r="886" ht="15.75" customHeight="1">
      <c r="A886" s="103"/>
      <c r="B886" s="103"/>
      <c r="C886" s="103"/>
      <c r="D886" s="103"/>
      <c r="E886" s="103"/>
      <c r="F886" s="103"/>
      <c r="G886" s="103"/>
      <c r="H886" s="103"/>
      <c r="I886" s="103"/>
      <c r="J886" s="103"/>
      <c r="K886" s="103"/>
      <c r="L886" s="103"/>
      <c r="M886" s="103"/>
      <c r="N886" s="103"/>
      <c r="O886" s="103"/>
      <c r="P886" s="103"/>
      <c r="Q886" s="103"/>
      <c r="R886" s="103"/>
      <c r="S886" s="103"/>
      <c r="T886" s="103"/>
      <c r="U886" s="103"/>
      <c r="V886" s="103"/>
      <c r="W886" s="103"/>
      <c r="X886" s="103"/>
      <c r="Y886" s="103"/>
      <c r="Z886" s="103"/>
    </row>
    <row r="887" ht="15.75" customHeight="1">
      <c r="A887" s="103"/>
      <c r="B887" s="103"/>
      <c r="C887" s="103"/>
      <c r="D887" s="103"/>
      <c r="E887" s="103"/>
      <c r="F887" s="103"/>
      <c r="G887" s="103"/>
      <c r="H887" s="103"/>
      <c r="I887" s="103"/>
      <c r="J887" s="103"/>
      <c r="K887" s="103"/>
      <c r="L887" s="103"/>
      <c r="M887" s="103"/>
      <c r="N887" s="103"/>
      <c r="O887" s="103"/>
      <c r="P887" s="103"/>
      <c r="Q887" s="103"/>
      <c r="R887" s="103"/>
      <c r="S887" s="103"/>
      <c r="T887" s="103"/>
      <c r="U887" s="103"/>
      <c r="V887" s="103"/>
      <c r="W887" s="103"/>
      <c r="X887" s="103"/>
      <c r="Y887" s="103"/>
      <c r="Z887" s="103"/>
    </row>
    <row r="888" ht="15.75" customHeight="1">
      <c r="A888" s="103"/>
      <c r="B888" s="103"/>
      <c r="C888" s="103"/>
      <c r="D888" s="103"/>
      <c r="E888" s="103"/>
      <c r="F888" s="103"/>
      <c r="G888" s="103"/>
      <c r="H888" s="103"/>
      <c r="I888" s="103"/>
      <c r="J888" s="103"/>
      <c r="K888" s="103"/>
      <c r="L888" s="103"/>
      <c r="M888" s="103"/>
      <c r="N888" s="103"/>
      <c r="O888" s="103"/>
      <c r="P888" s="103"/>
      <c r="Q888" s="103"/>
      <c r="R888" s="103"/>
      <c r="S888" s="103"/>
      <c r="T888" s="103"/>
      <c r="U888" s="103"/>
      <c r="V888" s="103"/>
      <c r="W888" s="103"/>
      <c r="X888" s="103"/>
      <c r="Y888" s="103"/>
      <c r="Z888" s="103"/>
    </row>
    <row r="889" ht="15.75" customHeight="1">
      <c r="A889" s="103"/>
      <c r="B889" s="103"/>
      <c r="C889" s="103"/>
      <c r="D889" s="103"/>
      <c r="E889" s="103"/>
      <c r="F889" s="103"/>
      <c r="G889" s="103"/>
      <c r="H889" s="103"/>
      <c r="I889" s="103"/>
      <c r="J889" s="103"/>
      <c r="K889" s="103"/>
      <c r="L889" s="103"/>
      <c r="M889" s="103"/>
      <c r="N889" s="103"/>
      <c r="O889" s="103"/>
      <c r="P889" s="103"/>
      <c r="Q889" s="103"/>
      <c r="R889" s="103"/>
      <c r="S889" s="103"/>
      <c r="T889" s="103"/>
      <c r="U889" s="103"/>
      <c r="V889" s="103"/>
      <c r="W889" s="103"/>
      <c r="X889" s="103"/>
      <c r="Y889" s="103"/>
      <c r="Z889" s="103"/>
    </row>
    <row r="890" ht="15.75" customHeight="1">
      <c r="A890" s="103"/>
      <c r="B890" s="103"/>
      <c r="C890" s="103"/>
      <c r="D890" s="103"/>
      <c r="E890" s="103"/>
      <c r="F890" s="103"/>
      <c r="G890" s="103"/>
      <c r="H890" s="103"/>
      <c r="I890" s="103"/>
      <c r="J890" s="103"/>
      <c r="K890" s="103"/>
      <c r="L890" s="103"/>
      <c r="M890" s="103"/>
      <c r="N890" s="103"/>
      <c r="O890" s="103"/>
      <c r="P890" s="103"/>
      <c r="Q890" s="103"/>
      <c r="R890" s="103"/>
      <c r="S890" s="103"/>
      <c r="T890" s="103"/>
      <c r="U890" s="103"/>
      <c r="V890" s="103"/>
      <c r="W890" s="103"/>
      <c r="X890" s="103"/>
      <c r="Y890" s="103"/>
      <c r="Z890" s="103"/>
    </row>
    <row r="891" ht="15.75" customHeight="1">
      <c r="A891" s="103"/>
      <c r="B891" s="103"/>
      <c r="C891" s="103"/>
      <c r="D891" s="103"/>
      <c r="E891" s="103"/>
      <c r="F891" s="103"/>
      <c r="G891" s="103"/>
      <c r="H891" s="103"/>
      <c r="I891" s="103"/>
      <c r="J891" s="103"/>
      <c r="K891" s="103"/>
      <c r="L891" s="103"/>
      <c r="M891" s="103"/>
      <c r="N891" s="103"/>
      <c r="O891" s="103"/>
      <c r="P891" s="103"/>
      <c r="Q891" s="103"/>
      <c r="R891" s="103"/>
      <c r="S891" s="103"/>
      <c r="T891" s="103"/>
      <c r="U891" s="103"/>
      <c r="V891" s="103"/>
      <c r="W891" s="103"/>
      <c r="X891" s="103"/>
      <c r="Y891" s="103"/>
      <c r="Z891" s="103"/>
    </row>
    <row r="892" ht="15.75" customHeight="1">
      <c r="A892" s="103"/>
      <c r="B892" s="103"/>
      <c r="C892" s="103"/>
      <c r="D892" s="103"/>
      <c r="E892" s="103"/>
      <c r="F892" s="103"/>
      <c r="G892" s="103"/>
      <c r="H892" s="103"/>
      <c r="I892" s="103"/>
      <c r="J892" s="103"/>
      <c r="K892" s="103"/>
      <c r="L892" s="103"/>
      <c r="M892" s="103"/>
      <c r="N892" s="103"/>
      <c r="O892" s="103"/>
      <c r="P892" s="103"/>
      <c r="Q892" s="103"/>
      <c r="R892" s="103"/>
      <c r="S892" s="103"/>
      <c r="T892" s="103"/>
      <c r="U892" s="103"/>
      <c r="V892" s="103"/>
      <c r="W892" s="103"/>
      <c r="X892" s="103"/>
      <c r="Y892" s="103"/>
      <c r="Z892" s="103"/>
    </row>
    <row r="893" ht="15.75" customHeight="1">
      <c r="A893" s="103"/>
      <c r="B893" s="103"/>
      <c r="C893" s="103"/>
      <c r="D893" s="103"/>
      <c r="E893" s="103"/>
      <c r="F893" s="103"/>
      <c r="G893" s="103"/>
      <c r="H893" s="103"/>
      <c r="I893" s="103"/>
      <c r="J893" s="103"/>
      <c r="K893" s="103"/>
      <c r="L893" s="103"/>
      <c r="M893" s="103"/>
      <c r="N893" s="103"/>
      <c r="O893" s="103"/>
      <c r="P893" s="103"/>
      <c r="Q893" s="103"/>
      <c r="R893" s="103"/>
      <c r="S893" s="103"/>
      <c r="T893" s="103"/>
      <c r="U893" s="103"/>
      <c r="V893" s="103"/>
      <c r="W893" s="103"/>
      <c r="X893" s="103"/>
      <c r="Y893" s="103"/>
      <c r="Z893" s="103"/>
    </row>
    <row r="894" ht="15.75" customHeight="1">
      <c r="A894" s="103"/>
      <c r="B894" s="103"/>
      <c r="C894" s="103"/>
      <c r="D894" s="103"/>
      <c r="E894" s="103"/>
      <c r="F894" s="103"/>
      <c r="G894" s="103"/>
      <c r="H894" s="103"/>
      <c r="I894" s="103"/>
      <c r="J894" s="103"/>
      <c r="K894" s="103"/>
      <c r="L894" s="103"/>
      <c r="M894" s="103"/>
      <c r="N894" s="103"/>
      <c r="O894" s="103"/>
      <c r="P894" s="103"/>
      <c r="Q894" s="103"/>
      <c r="R894" s="103"/>
      <c r="S894" s="103"/>
      <c r="T894" s="103"/>
      <c r="U894" s="103"/>
      <c r="V894" s="103"/>
      <c r="W894" s="103"/>
      <c r="X894" s="103"/>
      <c r="Y894" s="103"/>
      <c r="Z894" s="103"/>
    </row>
    <row r="895" ht="15.75" customHeight="1">
      <c r="A895" s="103"/>
      <c r="B895" s="103"/>
      <c r="C895" s="103"/>
      <c r="D895" s="103"/>
      <c r="E895" s="103"/>
      <c r="F895" s="103"/>
      <c r="G895" s="103"/>
      <c r="H895" s="103"/>
      <c r="I895" s="103"/>
      <c r="J895" s="103"/>
      <c r="K895" s="103"/>
      <c r="L895" s="103"/>
      <c r="M895" s="103"/>
      <c r="N895" s="103"/>
      <c r="O895" s="103"/>
      <c r="P895" s="103"/>
      <c r="Q895" s="103"/>
      <c r="R895" s="103"/>
      <c r="S895" s="103"/>
      <c r="T895" s="103"/>
      <c r="U895" s="103"/>
      <c r="V895" s="103"/>
      <c r="W895" s="103"/>
      <c r="X895" s="103"/>
      <c r="Y895" s="103"/>
      <c r="Z895" s="103"/>
    </row>
    <row r="896" ht="15.75" customHeight="1">
      <c r="A896" s="103"/>
      <c r="B896" s="103"/>
      <c r="C896" s="103"/>
      <c r="D896" s="103"/>
      <c r="E896" s="103"/>
      <c r="F896" s="103"/>
      <c r="G896" s="103"/>
      <c r="H896" s="103"/>
      <c r="I896" s="103"/>
      <c r="J896" s="103"/>
      <c r="K896" s="103"/>
      <c r="L896" s="103"/>
      <c r="M896" s="103"/>
      <c r="N896" s="103"/>
      <c r="O896" s="103"/>
      <c r="P896" s="103"/>
      <c r="Q896" s="103"/>
      <c r="R896" s="103"/>
      <c r="S896" s="103"/>
      <c r="T896" s="103"/>
      <c r="U896" s="103"/>
      <c r="V896" s="103"/>
      <c r="W896" s="103"/>
      <c r="X896" s="103"/>
      <c r="Y896" s="103"/>
      <c r="Z896" s="103"/>
    </row>
    <row r="897" ht="15.75" customHeight="1">
      <c r="A897" s="103"/>
      <c r="B897" s="103"/>
      <c r="C897" s="103"/>
      <c r="D897" s="103"/>
      <c r="E897" s="103"/>
      <c r="F897" s="103"/>
      <c r="G897" s="103"/>
      <c r="H897" s="103"/>
      <c r="I897" s="103"/>
      <c r="J897" s="103"/>
      <c r="K897" s="103"/>
      <c r="L897" s="103"/>
      <c r="M897" s="103"/>
      <c r="N897" s="103"/>
      <c r="O897" s="103"/>
      <c r="P897" s="103"/>
      <c r="Q897" s="103"/>
      <c r="R897" s="103"/>
      <c r="S897" s="103"/>
      <c r="T897" s="103"/>
      <c r="U897" s="103"/>
      <c r="V897" s="103"/>
      <c r="W897" s="103"/>
      <c r="X897" s="103"/>
      <c r="Y897" s="103"/>
      <c r="Z897" s="103"/>
    </row>
    <row r="898" ht="15.75" customHeight="1">
      <c r="A898" s="103"/>
      <c r="B898" s="103"/>
      <c r="C898" s="103"/>
      <c r="D898" s="103"/>
      <c r="E898" s="103"/>
      <c r="F898" s="103"/>
      <c r="G898" s="103"/>
      <c r="H898" s="103"/>
      <c r="I898" s="103"/>
      <c r="J898" s="103"/>
      <c r="K898" s="103"/>
      <c r="L898" s="103"/>
      <c r="M898" s="103"/>
      <c r="N898" s="103"/>
      <c r="O898" s="103"/>
      <c r="P898" s="103"/>
      <c r="Q898" s="103"/>
      <c r="R898" s="103"/>
      <c r="S898" s="103"/>
      <c r="T898" s="103"/>
      <c r="U898" s="103"/>
      <c r="V898" s="103"/>
      <c r="W898" s="103"/>
      <c r="X898" s="103"/>
      <c r="Y898" s="103"/>
      <c r="Z898" s="103"/>
    </row>
    <row r="899" ht="15.75" customHeight="1">
      <c r="A899" s="103"/>
      <c r="B899" s="103"/>
      <c r="C899" s="103"/>
      <c r="D899" s="103"/>
      <c r="E899" s="103"/>
      <c r="F899" s="103"/>
      <c r="G899" s="103"/>
      <c r="H899" s="103"/>
      <c r="I899" s="103"/>
      <c r="J899" s="103"/>
      <c r="K899" s="103"/>
      <c r="L899" s="103"/>
      <c r="M899" s="103"/>
      <c r="N899" s="103"/>
      <c r="O899" s="103"/>
      <c r="P899" s="103"/>
      <c r="Q899" s="103"/>
      <c r="R899" s="103"/>
      <c r="S899" s="103"/>
      <c r="T899" s="103"/>
      <c r="U899" s="103"/>
      <c r="V899" s="103"/>
      <c r="W899" s="103"/>
      <c r="X899" s="103"/>
      <c r="Y899" s="103"/>
      <c r="Z899" s="103"/>
    </row>
    <row r="900" ht="15.75" customHeight="1">
      <c r="A900" s="103"/>
      <c r="B900" s="103"/>
      <c r="C900" s="103"/>
      <c r="D900" s="103"/>
      <c r="E900" s="103"/>
      <c r="F900" s="103"/>
      <c r="G900" s="103"/>
      <c r="H900" s="103"/>
      <c r="I900" s="103"/>
      <c r="J900" s="103"/>
      <c r="K900" s="103"/>
      <c r="L900" s="103"/>
      <c r="M900" s="103"/>
      <c r="N900" s="103"/>
      <c r="O900" s="103"/>
      <c r="P900" s="103"/>
      <c r="Q900" s="103"/>
      <c r="R900" s="103"/>
      <c r="S900" s="103"/>
      <c r="T900" s="103"/>
      <c r="U900" s="103"/>
      <c r="V900" s="103"/>
      <c r="W900" s="103"/>
      <c r="X900" s="103"/>
      <c r="Y900" s="103"/>
      <c r="Z900" s="103"/>
    </row>
    <row r="901" ht="15.75" customHeight="1">
      <c r="A901" s="103"/>
      <c r="B901" s="103"/>
      <c r="C901" s="103"/>
      <c r="D901" s="103"/>
      <c r="E901" s="103"/>
      <c r="F901" s="103"/>
      <c r="G901" s="103"/>
      <c r="H901" s="103"/>
      <c r="I901" s="103"/>
      <c r="J901" s="103"/>
      <c r="K901" s="103"/>
      <c r="L901" s="103"/>
      <c r="M901" s="103"/>
      <c r="N901" s="103"/>
      <c r="O901" s="103"/>
      <c r="P901" s="103"/>
      <c r="Q901" s="103"/>
      <c r="R901" s="103"/>
      <c r="S901" s="103"/>
      <c r="T901" s="103"/>
      <c r="U901" s="103"/>
      <c r="V901" s="103"/>
      <c r="W901" s="103"/>
      <c r="X901" s="103"/>
      <c r="Y901" s="103"/>
      <c r="Z901" s="103"/>
    </row>
    <row r="902" ht="15.75" customHeight="1">
      <c r="A902" s="103"/>
      <c r="B902" s="103"/>
      <c r="C902" s="103"/>
      <c r="D902" s="103"/>
      <c r="E902" s="103"/>
      <c r="F902" s="103"/>
      <c r="G902" s="103"/>
      <c r="H902" s="103"/>
      <c r="I902" s="103"/>
      <c r="J902" s="103"/>
      <c r="K902" s="103"/>
      <c r="L902" s="103"/>
      <c r="M902" s="103"/>
      <c r="N902" s="103"/>
      <c r="O902" s="103"/>
      <c r="P902" s="103"/>
      <c r="Q902" s="103"/>
      <c r="R902" s="103"/>
      <c r="S902" s="103"/>
      <c r="T902" s="103"/>
      <c r="U902" s="103"/>
      <c r="V902" s="103"/>
      <c r="W902" s="103"/>
      <c r="X902" s="103"/>
      <c r="Y902" s="103"/>
      <c r="Z902" s="103"/>
    </row>
    <row r="903" ht="15.75" customHeight="1">
      <c r="A903" s="103"/>
      <c r="B903" s="103"/>
      <c r="C903" s="103"/>
      <c r="D903" s="103"/>
      <c r="E903" s="103"/>
      <c r="F903" s="103"/>
      <c r="G903" s="103"/>
      <c r="H903" s="103"/>
      <c r="I903" s="103"/>
      <c r="J903" s="103"/>
      <c r="K903" s="103"/>
      <c r="L903" s="103"/>
      <c r="M903" s="103"/>
      <c r="N903" s="103"/>
      <c r="O903" s="103"/>
      <c r="P903" s="103"/>
      <c r="Q903" s="103"/>
      <c r="R903" s="103"/>
      <c r="S903" s="103"/>
      <c r="T903" s="103"/>
      <c r="U903" s="103"/>
      <c r="V903" s="103"/>
      <c r="W903" s="103"/>
      <c r="X903" s="103"/>
      <c r="Y903" s="103"/>
      <c r="Z903" s="103"/>
    </row>
    <row r="904" ht="15.75" customHeight="1">
      <c r="A904" s="103"/>
      <c r="B904" s="103"/>
      <c r="C904" s="103"/>
      <c r="D904" s="103"/>
      <c r="E904" s="103"/>
      <c r="F904" s="103"/>
      <c r="G904" s="103"/>
      <c r="H904" s="103"/>
      <c r="I904" s="103"/>
      <c r="J904" s="103"/>
      <c r="K904" s="103"/>
      <c r="L904" s="103"/>
      <c r="M904" s="103"/>
      <c r="N904" s="103"/>
      <c r="O904" s="103"/>
      <c r="P904" s="103"/>
      <c r="Q904" s="103"/>
      <c r="R904" s="103"/>
      <c r="S904" s="103"/>
      <c r="T904" s="103"/>
      <c r="U904" s="103"/>
      <c r="V904" s="103"/>
      <c r="W904" s="103"/>
      <c r="X904" s="103"/>
      <c r="Y904" s="103"/>
      <c r="Z904" s="103"/>
    </row>
    <row r="905" ht="15.75" customHeight="1">
      <c r="A905" s="103"/>
      <c r="B905" s="103"/>
      <c r="C905" s="103"/>
      <c r="D905" s="103"/>
      <c r="E905" s="103"/>
      <c r="F905" s="103"/>
      <c r="G905" s="103"/>
      <c r="H905" s="103"/>
      <c r="I905" s="103"/>
      <c r="J905" s="103"/>
      <c r="K905" s="103"/>
      <c r="L905" s="103"/>
      <c r="M905" s="103"/>
      <c r="N905" s="103"/>
      <c r="O905" s="103"/>
      <c r="P905" s="103"/>
      <c r="Q905" s="103"/>
      <c r="R905" s="103"/>
      <c r="S905" s="103"/>
      <c r="T905" s="103"/>
      <c r="U905" s="103"/>
      <c r="V905" s="103"/>
      <c r="W905" s="103"/>
      <c r="X905" s="103"/>
      <c r="Y905" s="103"/>
      <c r="Z905" s="103"/>
    </row>
    <row r="906" ht="15.75" customHeight="1">
      <c r="A906" s="103"/>
      <c r="B906" s="103"/>
      <c r="C906" s="103"/>
      <c r="D906" s="103"/>
      <c r="E906" s="103"/>
      <c r="F906" s="103"/>
      <c r="G906" s="103"/>
      <c r="H906" s="103"/>
      <c r="I906" s="103"/>
      <c r="J906" s="103"/>
      <c r="K906" s="103"/>
      <c r="L906" s="103"/>
      <c r="M906" s="103"/>
      <c r="N906" s="103"/>
      <c r="O906" s="103"/>
      <c r="P906" s="103"/>
      <c r="Q906" s="103"/>
      <c r="R906" s="103"/>
      <c r="S906" s="103"/>
      <c r="T906" s="103"/>
      <c r="U906" s="103"/>
      <c r="V906" s="103"/>
      <c r="W906" s="103"/>
      <c r="X906" s="103"/>
      <c r="Y906" s="103"/>
      <c r="Z906" s="103"/>
    </row>
    <row r="907" ht="15.75" customHeight="1">
      <c r="A907" s="103"/>
      <c r="B907" s="103"/>
      <c r="C907" s="103"/>
      <c r="D907" s="103"/>
      <c r="E907" s="103"/>
      <c r="F907" s="103"/>
      <c r="G907" s="103"/>
      <c r="H907" s="103"/>
      <c r="I907" s="103"/>
      <c r="J907" s="103"/>
      <c r="K907" s="103"/>
      <c r="L907" s="103"/>
      <c r="M907" s="103"/>
      <c r="N907" s="103"/>
      <c r="O907" s="103"/>
      <c r="P907" s="103"/>
      <c r="Q907" s="103"/>
      <c r="R907" s="103"/>
      <c r="S907" s="103"/>
      <c r="T907" s="103"/>
      <c r="U907" s="103"/>
      <c r="V907" s="103"/>
      <c r="W907" s="103"/>
      <c r="X907" s="103"/>
      <c r="Y907" s="103"/>
      <c r="Z907" s="103"/>
    </row>
    <row r="908" ht="15.75" customHeight="1">
      <c r="A908" s="103"/>
      <c r="B908" s="103"/>
      <c r="C908" s="103"/>
      <c r="D908" s="103"/>
      <c r="E908" s="103"/>
      <c r="F908" s="103"/>
      <c r="G908" s="103"/>
      <c r="H908" s="103"/>
      <c r="I908" s="103"/>
      <c r="J908" s="103"/>
      <c r="K908" s="103"/>
      <c r="L908" s="103"/>
      <c r="M908" s="103"/>
      <c r="N908" s="103"/>
      <c r="O908" s="103"/>
      <c r="P908" s="103"/>
      <c r="Q908" s="103"/>
      <c r="R908" s="103"/>
      <c r="S908" s="103"/>
      <c r="T908" s="103"/>
      <c r="U908" s="103"/>
      <c r="V908" s="103"/>
      <c r="W908" s="103"/>
      <c r="X908" s="103"/>
      <c r="Y908" s="103"/>
      <c r="Z908" s="103"/>
    </row>
    <row r="909" ht="15.75" customHeight="1">
      <c r="A909" s="103"/>
      <c r="B909" s="103"/>
      <c r="C909" s="103"/>
      <c r="D909" s="103"/>
      <c r="E909" s="103"/>
      <c r="F909" s="103"/>
      <c r="G909" s="103"/>
      <c r="H909" s="103"/>
      <c r="I909" s="103"/>
      <c r="J909" s="103"/>
      <c r="K909" s="103"/>
      <c r="L909" s="103"/>
      <c r="M909" s="103"/>
      <c r="N909" s="103"/>
      <c r="O909" s="103"/>
      <c r="P909" s="103"/>
      <c r="Q909" s="103"/>
      <c r="R909" s="103"/>
      <c r="S909" s="103"/>
      <c r="T909" s="103"/>
      <c r="U909" s="103"/>
      <c r="V909" s="103"/>
      <c r="W909" s="103"/>
      <c r="X909" s="103"/>
      <c r="Y909" s="103"/>
      <c r="Z909" s="103"/>
    </row>
    <row r="910" ht="15.75" customHeight="1">
      <c r="A910" s="103"/>
      <c r="B910" s="103"/>
      <c r="C910" s="103"/>
      <c r="D910" s="103"/>
      <c r="E910" s="103"/>
      <c r="F910" s="103"/>
      <c r="G910" s="103"/>
      <c r="H910" s="103"/>
      <c r="I910" s="103"/>
      <c r="J910" s="103"/>
      <c r="K910" s="103"/>
      <c r="L910" s="103"/>
      <c r="M910" s="103"/>
      <c r="N910" s="103"/>
      <c r="O910" s="103"/>
      <c r="P910" s="103"/>
      <c r="Q910" s="103"/>
      <c r="R910" s="103"/>
      <c r="S910" s="103"/>
      <c r="T910" s="103"/>
      <c r="U910" s="103"/>
      <c r="V910" s="103"/>
      <c r="W910" s="103"/>
      <c r="X910" s="103"/>
      <c r="Y910" s="103"/>
      <c r="Z910" s="103"/>
    </row>
    <row r="911" ht="15.75" customHeight="1">
      <c r="A911" s="103"/>
      <c r="B911" s="103"/>
      <c r="C911" s="103"/>
      <c r="D911" s="103"/>
      <c r="E911" s="103"/>
      <c r="F911" s="103"/>
      <c r="G911" s="103"/>
      <c r="H911" s="103"/>
      <c r="I911" s="103"/>
      <c r="J911" s="103"/>
      <c r="K911" s="103"/>
      <c r="L911" s="103"/>
      <c r="M911" s="103"/>
      <c r="N911" s="103"/>
      <c r="O911" s="103"/>
      <c r="P911" s="103"/>
      <c r="Q911" s="103"/>
      <c r="R911" s="103"/>
      <c r="S911" s="103"/>
      <c r="T911" s="103"/>
      <c r="U911" s="103"/>
      <c r="V911" s="103"/>
      <c r="W911" s="103"/>
      <c r="X911" s="103"/>
      <c r="Y911" s="103"/>
      <c r="Z911" s="103"/>
    </row>
    <row r="912" ht="15.75" customHeight="1">
      <c r="A912" s="103"/>
      <c r="B912" s="103"/>
      <c r="C912" s="103"/>
      <c r="D912" s="103"/>
      <c r="E912" s="103"/>
      <c r="F912" s="103"/>
      <c r="G912" s="103"/>
      <c r="H912" s="103"/>
      <c r="I912" s="103"/>
      <c r="J912" s="103"/>
      <c r="K912" s="103"/>
      <c r="L912" s="103"/>
      <c r="M912" s="103"/>
      <c r="N912" s="103"/>
      <c r="O912" s="103"/>
      <c r="P912" s="103"/>
      <c r="Q912" s="103"/>
      <c r="R912" s="103"/>
      <c r="S912" s="103"/>
      <c r="T912" s="103"/>
      <c r="U912" s="103"/>
      <c r="V912" s="103"/>
      <c r="W912" s="103"/>
      <c r="X912" s="103"/>
      <c r="Y912" s="103"/>
      <c r="Z912" s="103"/>
    </row>
    <row r="913" ht="15.75" customHeight="1">
      <c r="A913" s="103"/>
      <c r="B913" s="103"/>
      <c r="C913" s="103"/>
      <c r="D913" s="103"/>
      <c r="E913" s="103"/>
      <c r="F913" s="103"/>
      <c r="G913" s="103"/>
      <c r="H913" s="103"/>
      <c r="I913" s="103"/>
      <c r="J913" s="103"/>
      <c r="K913" s="103"/>
      <c r="L913" s="103"/>
      <c r="M913" s="103"/>
      <c r="N913" s="103"/>
      <c r="O913" s="103"/>
      <c r="P913" s="103"/>
      <c r="Q913" s="103"/>
      <c r="R913" s="103"/>
      <c r="S913" s="103"/>
      <c r="T913" s="103"/>
      <c r="U913" s="103"/>
      <c r="V913" s="103"/>
      <c r="W913" s="103"/>
      <c r="X913" s="103"/>
      <c r="Y913" s="103"/>
      <c r="Z913" s="103"/>
    </row>
    <row r="914" ht="15.75" customHeight="1">
      <c r="A914" s="103"/>
      <c r="B914" s="103"/>
      <c r="C914" s="103"/>
      <c r="D914" s="103"/>
      <c r="E914" s="103"/>
      <c r="F914" s="103"/>
      <c r="G914" s="103"/>
      <c r="H914" s="103"/>
      <c r="I914" s="103"/>
      <c r="J914" s="103"/>
      <c r="K914" s="103"/>
      <c r="L914" s="103"/>
      <c r="M914" s="103"/>
      <c r="N914" s="103"/>
      <c r="O914" s="103"/>
      <c r="P914" s="103"/>
      <c r="Q914" s="103"/>
      <c r="R914" s="103"/>
      <c r="S914" s="103"/>
      <c r="T914" s="103"/>
      <c r="U914" s="103"/>
      <c r="V914" s="103"/>
      <c r="W914" s="103"/>
      <c r="X914" s="103"/>
      <c r="Y914" s="103"/>
      <c r="Z914" s="103"/>
    </row>
    <row r="915" ht="15.75" customHeight="1">
      <c r="A915" s="103"/>
      <c r="B915" s="103"/>
      <c r="C915" s="103"/>
      <c r="D915" s="103"/>
      <c r="E915" s="103"/>
      <c r="F915" s="103"/>
      <c r="G915" s="103"/>
      <c r="H915" s="103"/>
      <c r="I915" s="103"/>
      <c r="J915" s="103"/>
      <c r="K915" s="103"/>
      <c r="L915" s="103"/>
      <c r="M915" s="103"/>
      <c r="N915" s="103"/>
      <c r="O915" s="103"/>
      <c r="P915" s="103"/>
      <c r="Q915" s="103"/>
      <c r="R915" s="103"/>
      <c r="S915" s="103"/>
      <c r="T915" s="103"/>
      <c r="U915" s="103"/>
      <c r="V915" s="103"/>
      <c r="W915" s="103"/>
      <c r="X915" s="103"/>
      <c r="Y915" s="103"/>
      <c r="Z915" s="103"/>
    </row>
    <row r="916" ht="15.75" customHeight="1">
      <c r="A916" s="103"/>
      <c r="B916" s="103"/>
      <c r="C916" s="103"/>
      <c r="D916" s="103"/>
      <c r="E916" s="103"/>
      <c r="F916" s="103"/>
      <c r="G916" s="103"/>
      <c r="H916" s="103"/>
      <c r="I916" s="103"/>
      <c r="J916" s="103"/>
      <c r="K916" s="103"/>
      <c r="L916" s="103"/>
      <c r="M916" s="103"/>
      <c r="N916" s="103"/>
      <c r="O916" s="103"/>
      <c r="P916" s="103"/>
      <c r="Q916" s="103"/>
      <c r="R916" s="103"/>
      <c r="S916" s="103"/>
      <c r="T916" s="103"/>
      <c r="U916" s="103"/>
      <c r="V916" s="103"/>
      <c r="W916" s="103"/>
      <c r="X916" s="103"/>
      <c r="Y916" s="103"/>
      <c r="Z916" s="103"/>
    </row>
    <row r="917" ht="15.75" customHeight="1">
      <c r="A917" s="103"/>
      <c r="B917" s="103"/>
      <c r="C917" s="103"/>
      <c r="D917" s="103"/>
      <c r="E917" s="103"/>
      <c r="F917" s="103"/>
      <c r="G917" s="103"/>
      <c r="H917" s="103"/>
      <c r="I917" s="103"/>
      <c r="J917" s="103"/>
      <c r="K917" s="103"/>
      <c r="L917" s="103"/>
      <c r="M917" s="103"/>
      <c r="N917" s="103"/>
      <c r="O917" s="103"/>
      <c r="P917" s="103"/>
      <c r="Q917" s="103"/>
      <c r="R917" s="103"/>
      <c r="S917" s="103"/>
      <c r="T917" s="103"/>
      <c r="U917" s="103"/>
      <c r="V917" s="103"/>
      <c r="W917" s="103"/>
      <c r="X917" s="103"/>
      <c r="Y917" s="103"/>
      <c r="Z917" s="103"/>
    </row>
    <row r="918" ht="15.75" customHeight="1">
      <c r="A918" s="103"/>
      <c r="B918" s="103"/>
      <c r="C918" s="103"/>
      <c r="D918" s="103"/>
      <c r="E918" s="103"/>
      <c r="F918" s="103"/>
      <c r="G918" s="103"/>
      <c r="H918" s="103"/>
      <c r="I918" s="103"/>
      <c r="J918" s="103"/>
      <c r="K918" s="103"/>
      <c r="L918" s="103"/>
      <c r="M918" s="103"/>
      <c r="N918" s="103"/>
      <c r="O918" s="103"/>
      <c r="P918" s="103"/>
      <c r="Q918" s="103"/>
      <c r="R918" s="103"/>
      <c r="S918" s="103"/>
      <c r="T918" s="103"/>
      <c r="U918" s="103"/>
      <c r="V918" s="103"/>
      <c r="W918" s="103"/>
      <c r="X918" s="103"/>
      <c r="Y918" s="103"/>
      <c r="Z918" s="103"/>
    </row>
    <row r="919" ht="15.75" customHeight="1">
      <c r="A919" s="103"/>
      <c r="B919" s="103"/>
      <c r="C919" s="103"/>
      <c r="D919" s="103"/>
      <c r="E919" s="103"/>
      <c r="F919" s="103"/>
      <c r="G919" s="103"/>
      <c r="H919" s="103"/>
      <c r="I919" s="103"/>
      <c r="J919" s="103"/>
      <c r="K919" s="103"/>
      <c r="L919" s="103"/>
      <c r="M919" s="103"/>
      <c r="N919" s="103"/>
      <c r="O919" s="103"/>
      <c r="P919" s="103"/>
      <c r="Q919" s="103"/>
      <c r="R919" s="103"/>
      <c r="S919" s="103"/>
      <c r="T919" s="103"/>
      <c r="U919" s="103"/>
      <c r="V919" s="103"/>
      <c r="W919" s="103"/>
      <c r="X919" s="103"/>
      <c r="Y919" s="103"/>
      <c r="Z919" s="103"/>
    </row>
    <row r="920" ht="15.75" customHeight="1">
      <c r="A920" s="103"/>
      <c r="B920" s="103"/>
      <c r="C920" s="103"/>
      <c r="D920" s="103"/>
      <c r="E920" s="103"/>
      <c r="F920" s="103"/>
      <c r="G920" s="103"/>
      <c r="H920" s="103"/>
      <c r="I920" s="103"/>
      <c r="J920" s="103"/>
      <c r="K920" s="103"/>
      <c r="L920" s="103"/>
      <c r="M920" s="103"/>
      <c r="N920" s="103"/>
      <c r="O920" s="103"/>
      <c r="P920" s="103"/>
      <c r="Q920" s="103"/>
      <c r="R920" s="103"/>
      <c r="S920" s="103"/>
      <c r="T920" s="103"/>
      <c r="U920" s="103"/>
      <c r="V920" s="103"/>
      <c r="W920" s="103"/>
      <c r="X920" s="103"/>
      <c r="Y920" s="103"/>
      <c r="Z920" s="103"/>
    </row>
    <row r="921" ht="15.75" customHeight="1">
      <c r="A921" s="103"/>
      <c r="B921" s="103"/>
      <c r="C921" s="103"/>
      <c r="D921" s="103"/>
      <c r="E921" s="103"/>
      <c r="F921" s="103"/>
      <c r="G921" s="103"/>
      <c r="H921" s="103"/>
      <c r="I921" s="103"/>
      <c r="J921" s="103"/>
      <c r="K921" s="103"/>
      <c r="L921" s="103"/>
      <c r="M921" s="103"/>
      <c r="N921" s="103"/>
      <c r="O921" s="103"/>
      <c r="P921" s="103"/>
      <c r="Q921" s="103"/>
      <c r="R921" s="103"/>
      <c r="S921" s="103"/>
      <c r="T921" s="103"/>
      <c r="U921" s="103"/>
      <c r="V921" s="103"/>
      <c r="W921" s="103"/>
      <c r="X921" s="103"/>
      <c r="Y921" s="103"/>
      <c r="Z921" s="103"/>
    </row>
    <row r="922" ht="15.75" customHeight="1">
      <c r="A922" s="103"/>
      <c r="B922" s="103"/>
      <c r="C922" s="103"/>
      <c r="D922" s="103"/>
      <c r="E922" s="103"/>
      <c r="F922" s="103"/>
      <c r="G922" s="103"/>
      <c r="H922" s="103"/>
      <c r="I922" s="103"/>
      <c r="J922" s="103"/>
      <c r="K922" s="103"/>
      <c r="L922" s="103"/>
      <c r="M922" s="103"/>
      <c r="N922" s="103"/>
      <c r="O922" s="103"/>
      <c r="P922" s="103"/>
      <c r="Q922" s="103"/>
      <c r="R922" s="103"/>
      <c r="S922" s="103"/>
      <c r="T922" s="103"/>
      <c r="U922" s="103"/>
      <c r="V922" s="103"/>
      <c r="W922" s="103"/>
      <c r="X922" s="103"/>
      <c r="Y922" s="103"/>
      <c r="Z922" s="103"/>
    </row>
    <row r="923" ht="15.75" customHeight="1">
      <c r="A923" s="103"/>
      <c r="B923" s="103"/>
      <c r="C923" s="103"/>
      <c r="D923" s="103"/>
      <c r="E923" s="103"/>
      <c r="F923" s="103"/>
      <c r="G923" s="103"/>
      <c r="H923" s="103"/>
      <c r="I923" s="103"/>
      <c r="J923" s="103"/>
      <c r="K923" s="103"/>
      <c r="L923" s="103"/>
      <c r="M923" s="103"/>
      <c r="N923" s="103"/>
      <c r="O923" s="103"/>
      <c r="P923" s="103"/>
      <c r="Q923" s="103"/>
      <c r="R923" s="103"/>
      <c r="S923" s="103"/>
      <c r="T923" s="103"/>
      <c r="U923" s="103"/>
      <c r="V923" s="103"/>
      <c r="W923" s="103"/>
      <c r="X923" s="103"/>
      <c r="Y923" s="103"/>
      <c r="Z923" s="103"/>
    </row>
    <row r="924" ht="15.75" customHeight="1">
      <c r="A924" s="103"/>
      <c r="B924" s="103"/>
      <c r="C924" s="103"/>
      <c r="D924" s="103"/>
      <c r="E924" s="103"/>
      <c r="F924" s="103"/>
      <c r="G924" s="103"/>
      <c r="H924" s="103"/>
      <c r="I924" s="103"/>
      <c r="J924" s="103"/>
      <c r="K924" s="103"/>
      <c r="L924" s="103"/>
      <c r="M924" s="103"/>
      <c r="N924" s="103"/>
      <c r="O924" s="103"/>
      <c r="P924" s="103"/>
      <c r="Q924" s="103"/>
      <c r="R924" s="103"/>
      <c r="S924" s="103"/>
      <c r="T924" s="103"/>
      <c r="U924" s="103"/>
      <c r="V924" s="103"/>
      <c r="W924" s="103"/>
      <c r="X924" s="103"/>
      <c r="Y924" s="103"/>
      <c r="Z924" s="103"/>
    </row>
    <row r="925" ht="15.75" customHeight="1">
      <c r="A925" s="103"/>
      <c r="B925" s="103"/>
      <c r="C925" s="103"/>
      <c r="D925" s="103"/>
      <c r="E925" s="103"/>
      <c r="F925" s="103"/>
      <c r="G925" s="103"/>
      <c r="H925" s="103"/>
      <c r="I925" s="103"/>
      <c r="J925" s="103"/>
      <c r="K925" s="103"/>
      <c r="L925" s="103"/>
      <c r="M925" s="103"/>
      <c r="N925" s="103"/>
      <c r="O925" s="103"/>
      <c r="P925" s="103"/>
      <c r="Q925" s="103"/>
      <c r="R925" s="103"/>
      <c r="S925" s="103"/>
      <c r="T925" s="103"/>
      <c r="U925" s="103"/>
      <c r="V925" s="103"/>
      <c r="W925" s="103"/>
      <c r="X925" s="103"/>
      <c r="Y925" s="103"/>
      <c r="Z925" s="103"/>
    </row>
    <row r="926" ht="15.75" customHeight="1">
      <c r="A926" s="103"/>
      <c r="B926" s="103"/>
      <c r="C926" s="103"/>
      <c r="D926" s="103"/>
      <c r="E926" s="103"/>
      <c r="F926" s="103"/>
      <c r="G926" s="103"/>
      <c r="H926" s="103"/>
      <c r="I926" s="103"/>
      <c r="J926" s="103"/>
      <c r="K926" s="103"/>
      <c r="L926" s="103"/>
      <c r="M926" s="103"/>
      <c r="N926" s="103"/>
      <c r="O926" s="103"/>
      <c r="P926" s="103"/>
      <c r="Q926" s="103"/>
      <c r="R926" s="103"/>
      <c r="S926" s="103"/>
      <c r="T926" s="103"/>
      <c r="U926" s="103"/>
      <c r="V926" s="103"/>
      <c r="W926" s="103"/>
      <c r="X926" s="103"/>
      <c r="Y926" s="103"/>
      <c r="Z926" s="103"/>
    </row>
    <row r="927" ht="15.75" customHeight="1">
      <c r="A927" s="103"/>
      <c r="B927" s="103"/>
      <c r="C927" s="103"/>
      <c r="D927" s="103"/>
      <c r="E927" s="103"/>
      <c r="F927" s="103"/>
      <c r="G927" s="103"/>
      <c r="H927" s="103"/>
      <c r="I927" s="103"/>
      <c r="J927" s="103"/>
      <c r="K927" s="103"/>
      <c r="L927" s="103"/>
      <c r="M927" s="103"/>
      <c r="N927" s="103"/>
      <c r="O927" s="103"/>
      <c r="P927" s="103"/>
      <c r="Q927" s="103"/>
      <c r="R927" s="103"/>
      <c r="S927" s="103"/>
      <c r="T927" s="103"/>
      <c r="U927" s="103"/>
      <c r="V927" s="103"/>
      <c r="W927" s="103"/>
      <c r="X927" s="103"/>
      <c r="Y927" s="103"/>
      <c r="Z927" s="103"/>
    </row>
    <row r="928" ht="15.75" customHeight="1">
      <c r="A928" s="103"/>
      <c r="B928" s="103"/>
      <c r="C928" s="103"/>
      <c r="D928" s="103"/>
      <c r="E928" s="103"/>
      <c r="F928" s="103"/>
      <c r="G928" s="103"/>
      <c r="H928" s="103"/>
      <c r="I928" s="103"/>
      <c r="J928" s="103"/>
      <c r="K928" s="103"/>
      <c r="L928" s="103"/>
      <c r="M928" s="103"/>
      <c r="N928" s="103"/>
      <c r="O928" s="103"/>
      <c r="P928" s="103"/>
      <c r="Q928" s="103"/>
      <c r="R928" s="103"/>
      <c r="S928" s="103"/>
      <c r="T928" s="103"/>
      <c r="U928" s="103"/>
      <c r="V928" s="103"/>
      <c r="W928" s="103"/>
      <c r="X928" s="103"/>
      <c r="Y928" s="103"/>
      <c r="Z928" s="103"/>
    </row>
    <row r="929" ht="15.75" customHeight="1">
      <c r="A929" s="103"/>
      <c r="B929" s="103"/>
      <c r="C929" s="103"/>
      <c r="D929" s="103"/>
      <c r="E929" s="103"/>
      <c r="F929" s="103"/>
      <c r="G929" s="103"/>
      <c r="H929" s="103"/>
      <c r="I929" s="103"/>
      <c r="J929" s="103"/>
      <c r="K929" s="103"/>
      <c r="L929" s="103"/>
      <c r="M929" s="103"/>
      <c r="N929" s="103"/>
      <c r="O929" s="103"/>
      <c r="P929" s="103"/>
      <c r="Q929" s="103"/>
      <c r="R929" s="103"/>
      <c r="S929" s="103"/>
      <c r="T929" s="103"/>
      <c r="U929" s="103"/>
      <c r="V929" s="103"/>
      <c r="W929" s="103"/>
      <c r="X929" s="103"/>
      <c r="Y929" s="103"/>
      <c r="Z929" s="103"/>
    </row>
    <row r="930" ht="15.75" customHeight="1">
      <c r="A930" s="103"/>
      <c r="B930" s="103"/>
      <c r="C930" s="103"/>
      <c r="D930" s="103"/>
      <c r="E930" s="103"/>
      <c r="F930" s="103"/>
      <c r="G930" s="103"/>
      <c r="H930" s="103"/>
      <c r="I930" s="103"/>
      <c r="J930" s="103"/>
      <c r="K930" s="103"/>
      <c r="L930" s="103"/>
      <c r="M930" s="103"/>
      <c r="N930" s="103"/>
      <c r="O930" s="103"/>
      <c r="P930" s="103"/>
      <c r="Q930" s="103"/>
      <c r="R930" s="103"/>
      <c r="S930" s="103"/>
      <c r="T930" s="103"/>
      <c r="U930" s="103"/>
      <c r="V930" s="103"/>
      <c r="W930" s="103"/>
      <c r="X930" s="103"/>
      <c r="Y930" s="103"/>
      <c r="Z930" s="103"/>
    </row>
    <row r="931" ht="15.75" customHeight="1">
      <c r="A931" s="103"/>
      <c r="B931" s="103"/>
      <c r="C931" s="103"/>
      <c r="D931" s="103"/>
      <c r="E931" s="103"/>
      <c r="F931" s="103"/>
      <c r="G931" s="103"/>
      <c r="H931" s="103"/>
      <c r="I931" s="103"/>
      <c r="J931" s="103"/>
      <c r="K931" s="103"/>
      <c r="L931" s="103"/>
      <c r="M931" s="103"/>
      <c r="N931" s="103"/>
      <c r="O931" s="103"/>
      <c r="P931" s="103"/>
      <c r="Q931" s="103"/>
      <c r="R931" s="103"/>
      <c r="S931" s="103"/>
      <c r="T931" s="103"/>
      <c r="U931" s="103"/>
      <c r="V931" s="103"/>
      <c r="W931" s="103"/>
      <c r="X931" s="103"/>
      <c r="Y931" s="103"/>
      <c r="Z931" s="103"/>
    </row>
    <row r="932" ht="15.75" customHeight="1">
      <c r="A932" s="103"/>
      <c r="B932" s="103"/>
      <c r="C932" s="103"/>
      <c r="D932" s="103"/>
      <c r="E932" s="103"/>
      <c r="F932" s="103"/>
      <c r="G932" s="103"/>
      <c r="H932" s="103"/>
      <c r="I932" s="103"/>
      <c r="J932" s="103"/>
      <c r="K932" s="103"/>
      <c r="L932" s="103"/>
      <c r="M932" s="103"/>
      <c r="N932" s="103"/>
      <c r="O932" s="103"/>
      <c r="P932" s="103"/>
      <c r="Q932" s="103"/>
      <c r="R932" s="103"/>
      <c r="S932" s="103"/>
      <c r="T932" s="103"/>
      <c r="U932" s="103"/>
      <c r="V932" s="103"/>
      <c r="W932" s="103"/>
      <c r="X932" s="103"/>
      <c r="Y932" s="103"/>
      <c r="Z932" s="103"/>
    </row>
    <row r="933" ht="15.75" customHeight="1">
      <c r="A933" s="103"/>
      <c r="B933" s="103"/>
      <c r="C933" s="103"/>
      <c r="D933" s="103"/>
      <c r="E933" s="103"/>
      <c r="F933" s="103"/>
      <c r="G933" s="103"/>
      <c r="H933" s="103"/>
      <c r="I933" s="103"/>
      <c r="J933" s="103"/>
      <c r="K933" s="103"/>
      <c r="L933" s="103"/>
      <c r="M933" s="103"/>
      <c r="N933" s="103"/>
      <c r="O933" s="103"/>
      <c r="P933" s="103"/>
      <c r="Q933" s="103"/>
      <c r="R933" s="103"/>
      <c r="S933" s="103"/>
      <c r="T933" s="103"/>
      <c r="U933" s="103"/>
      <c r="V933" s="103"/>
      <c r="W933" s="103"/>
      <c r="X933" s="103"/>
      <c r="Y933" s="103"/>
      <c r="Z933" s="103"/>
    </row>
    <row r="934" ht="15.75" customHeight="1">
      <c r="A934" s="103"/>
      <c r="B934" s="103"/>
      <c r="C934" s="103"/>
      <c r="D934" s="103"/>
      <c r="E934" s="103"/>
      <c r="F934" s="103"/>
      <c r="G934" s="103"/>
      <c r="H934" s="103"/>
      <c r="I934" s="103"/>
      <c r="J934" s="103"/>
      <c r="K934" s="103"/>
      <c r="L934" s="103"/>
      <c r="M934" s="103"/>
      <c r="N934" s="103"/>
      <c r="O934" s="103"/>
      <c r="P934" s="103"/>
      <c r="Q934" s="103"/>
      <c r="R934" s="103"/>
      <c r="S934" s="103"/>
      <c r="T934" s="103"/>
      <c r="U934" s="103"/>
      <c r="V934" s="103"/>
      <c r="W934" s="103"/>
      <c r="X934" s="103"/>
      <c r="Y934" s="103"/>
      <c r="Z934" s="103"/>
    </row>
    <row r="935" ht="15.75" customHeight="1">
      <c r="A935" s="103"/>
      <c r="B935" s="103"/>
      <c r="C935" s="103"/>
      <c r="D935" s="103"/>
      <c r="E935" s="103"/>
      <c r="F935" s="103"/>
      <c r="G935" s="103"/>
      <c r="H935" s="103"/>
      <c r="I935" s="103"/>
      <c r="J935" s="103"/>
      <c r="K935" s="103"/>
      <c r="L935" s="103"/>
      <c r="M935" s="103"/>
      <c r="N935" s="103"/>
      <c r="O935" s="103"/>
      <c r="P935" s="103"/>
      <c r="Q935" s="103"/>
      <c r="R935" s="103"/>
      <c r="S935" s="103"/>
      <c r="T935" s="103"/>
      <c r="U935" s="103"/>
      <c r="V935" s="103"/>
      <c r="W935" s="103"/>
      <c r="X935" s="103"/>
      <c r="Y935" s="103"/>
      <c r="Z935" s="103"/>
    </row>
    <row r="936" ht="15.75" customHeight="1">
      <c r="A936" s="103"/>
      <c r="B936" s="103"/>
      <c r="C936" s="103"/>
      <c r="D936" s="103"/>
      <c r="E936" s="103"/>
      <c r="F936" s="103"/>
      <c r="G936" s="103"/>
      <c r="H936" s="103"/>
      <c r="I936" s="103"/>
      <c r="J936" s="103"/>
      <c r="K936" s="103"/>
      <c r="L936" s="103"/>
      <c r="M936" s="103"/>
      <c r="N936" s="103"/>
      <c r="O936" s="103"/>
      <c r="P936" s="103"/>
      <c r="Q936" s="103"/>
      <c r="R936" s="103"/>
      <c r="S936" s="103"/>
      <c r="T936" s="103"/>
      <c r="U936" s="103"/>
      <c r="V936" s="103"/>
      <c r="W936" s="103"/>
      <c r="X936" s="103"/>
      <c r="Y936" s="103"/>
      <c r="Z936" s="103"/>
    </row>
    <row r="937" ht="15.75" customHeight="1">
      <c r="A937" s="103"/>
      <c r="B937" s="103"/>
      <c r="C937" s="103"/>
      <c r="D937" s="103"/>
      <c r="E937" s="103"/>
      <c r="F937" s="103"/>
      <c r="G937" s="103"/>
      <c r="H937" s="103"/>
      <c r="I937" s="103"/>
      <c r="J937" s="103"/>
      <c r="K937" s="103"/>
      <c r="L937" s="103"/>
      <c r="M937" s="103"/>
      <c r="N937" s="103"/>
      <c r="O937" s="103"/>
      <c r="P937" s="103"/>
      <c r="Q937" s="103"/>
      <c r="R937" s="103"/>
      <c r="S937" s="103"/>
      <c r="T937" s="103"/>
      <c r="U937" s="103"/>
      <c r="V937" s="103"/>
      <c r="W937" s="103"/>
      <c r="X937" s="103"/>
      <c r="Y937" s="103"/>
      <c r="Z937" s="103"/>
    </row>
    <row r="938" ht="15.75" customHeight="1">
      <c r="A938" s="103"/>
      <c r="B938" s="103"/>
      <c r="C938" s="103"/>
      <c r="D938" s="103"/>
      <c r="E938" s="103"/>
      <c r="F938" s="103"/>
      <c r="G938" s="103"/>
      <c r="H938" s="103"/>
      <c r="I938" s="103"/>
      <c r="J938" s="103"/>
      <c r="K938" s="103"/>
      <c r="L938" s="103"/>
      <c r="M938" s="103"/>
      <c r="N938" s="103"/>
      <c r="O938" s="103"/>
      <c r="P938" s="103"/>
      <c r="Q938" s="103"/>
      <c r="R938" s="103"/>
      <c r="S938" s="103"/>
      <c r="T938" s="103"/>
      <c r="U938" s="103"/>
      <c r="V938" s="103"/>
      <c r="W938" s="103"/>
      <c r="X938" s="103"/>
      <c r="Y938" s="103"/>
      <c r="Z938" s="103"/>
    </row>
    <row r="939" ht="15.75" customHeight="1">
      <c r="A939" s="103"/>
      <c r="B939" s="103"/>
      <c r="C939" s="103"/>
      <c r="D939" s="103"/>
      <c r="E939" s="103"/>
      <c r="F939" s="103"/>
      <c r="G939" s="103"/>
      <c r="H939" s="103"/>
      <c r="I939" s="103"/>
      <c r="J939" s="103"/>
      <c r="K939" s="103"/>
      <c r="L939" s="103"/>
      <c r="M939" s="103"/>
      <c r="N939" s="103"/>
      <c r="O939" s="103"/>
      <c r="P939" s="103"/>
      <c r="Q939" s="103"/>
      <c r="R939" s="103"/>
      <c r="S939" s="103"/>
      <c r="T939" s="103"/>
      <c r="U939" s="103"/>
      <c r="V939" s="103"/>
      <c r="W939" s="103"/>
      <c r="X939" s="103"/>
      <c r="Y939" s="103"/>
      <c r="Z939" s="103"/>
    </row>
    <row r="940" ht="15.75" customHeight="1">
      <c r="A940" s="103"/>
      <c r="B940" s="103"/>
      <c r="C940" s="103"/>
      <c r="D940" s="103"/>
      <c r="E940" s="103"/>
      <c r="F940" s="103"/>
      <c r="G940" s="103"/>
      <c r="H940" s="103"/>
      <c r="I940" s="103"/>
      <c r="J940" s="103"/>
      <c r="K940" s="103"/>
      <c r="L940" s="103"/>
      <c r="M940" s="103"/>
      <c r="N940" s="103"/>
      <c r="O940" s="103"/>
      <c r="P940" s="103"/>
      <c r="Q940" s="103"/>
      <c r="R940" s="103"/>
      <c r="S940" s="103"/>
      <c r="T940" s="103"/>
      <c r="U940" s="103"/>
      <c r="V940" s="103"/>
      <c r="W940" s="103"/>
      <c r="X940" s="103"/>
      <c r="Y940" s="103"/>
      <c r="Z940" s="103"/>
    </row>
    <row r="941" ht="15.75" customHeight="1">
      <c r="A941" s="103"/>
      <c r="B941" s="103"/>
      <c r="C941" s="103"/>
      <c r="D941" s="103"/>
      <c r="E941" s="103"/>
      <c r="F941" s="103"/>
      <c r="G941" s="103"/>
      <c r="H941" s="103"/>
      <c r="I941" s="103"/>
      <c r="J941" s="103"/>
      <c r="K941" s="103"/>
      <c r="L941" s="103"/>
      <c r="M941" s="103"/>
      <c r="N941" s="103"/>
      <c r="O941" s="103"/>
      <c r="P941" s="103"/>
      <c r="Q941" s="103"/>
      <c r="R941" s="103"/>
      <c r="S941" s="103"/>
      <c r="T941" s="103"/>
      <c r="U941" s="103"/>
      <c r="V941" s="103"/>
      <c r="W941" s="103"/>
      <c r="X941" s="103"/>
      <c r="Y941" s="103"/>
      <c r="Z941" s="103"/>
    </row>
    <row r="942" ht="15.75" customHeight="1">
      <c r="A942" s="103"/>
      <c r="B942" s="103"/>
      <c r="C942" s="103"/>
      <c r="D942" s="103"/>
      <c r="E942" s="103"/>
      <c r="F942" s="103"/>
      <c r="G942" s="103"/>
      <c r="H942" s="103"/>
      <c r="I942" s="103"/>
      <c r="J942" s="103"/>
      <c r="K942" s="103"/>
      <c r="L942" s="103"/>
      <c r="M942" s="103"/>
      <c r="N942" s="103"/>
      <c r="O942" s="103"/>
      <c r="P942" s="103"/>
      <c r="Q942" s="103"/>
      <c r="R942" s="103"/>
      <c r="S942" s="103"/>
      <c r="T942" s="103"/>
      <c r="U942" s="103"/>
      <c r="V942" s="103"/>
      <c r="W942" s="103"/>
      <c r="X942" s="103"/>
      <c r="Y942" s="103"/>
      <c r="Z942" s="103"/>
    </row>
    <row r="943" ht="15.75" customHeight="1">
      <c r="A943" s="103"/>
      <c r="B943" s="103"/>
      <c r="C943" s="103"/>
      <c r="D943" s="103"/>
      <c r="E943" s="103"/>
      <c r="F943" s="103"/>
      <c r="G943" s="103"/>
      <c r="H943" s="103"/>
      <c r="I943" s="103"/>
      <c r="J943" s="103"/>
      <c r="K943" s="103"/>
      <c r="L943" s="103"/>
      <c r="M943" s="103"/>
      <c r="N943" s="103"/>
      <c r="O943" s="103"/>
      <c r="P943" s="103"/>
      <c r="Q943" s="103"/>
      <c r="R943" s="103"/>
      <c r="S943" s="103"/>
      <c r="T943" s="103"/>
      <c r="U943" s="103"/>
      <c r="V943" s="103"/>
      <c r="W943" s="103"/>
      <c r="X943" s="103"/>
      <c r="Y943" s="103"/>
      <c r="Z943" s="103"/>
    </row>
    <row r="944" ht="15.75" customHeight="1">
      <c r="A944" s="103"/>
      <c r="B944" s="103"/>
      <c r="C944" s="103"/>
      <c r="D944" s="103"/>
      <c r="E944" s="103"/>
      <c r="F944" s="103"/>
      <c r="G944" s="103"/>
      <c r="H944" s="103"/>
      <c r="I944" s="103"/>
      <c r="J944" s="103"/>
      <c r="K944" s="103"/>
      <c r="L944" s="103"/>
      <c r="M944" s="103"/>
      <c r="N944" s="103"/>
      <c r="O944" s="103"/>
      <c r="P944" s="103"/>
      <c r="Q944" s="103"/>
      <c r="R944" s="103"/>
      <c r="S944" s="103"/>
      <c r="T944" s="103"/>
      <c r="U944" s="103"/>
      <c r="V944" s="103"/>
      <c r="W944" s="103"/>
      <c r="X944" s="103"/>
      <c r="Y944" s="103"/>
      <c r="Z944" s="103"/>
    </row>
    <row r="945" ht="15.75" customHeight="1">
      <c r="A945" s="103"/>
      <c r="B945" s="103"/>
      <c r="C945" s="103"/>
      <c r="D945" s="103"/>
      <c r="E945" s="103"/>
      <c r="F945" s="103"/>
      <c r="G945" s="103"/>
      <c r="H945" s="103"/>
      <c r="I945" s="103"/>
      <c r="J945" s="103"/>
      <c r="K945" s="103"/>
      <c r="L945" s="103"/>
      <c r="M945" s="103"/>
      <c r="N945" s="103"/>
      <c r="O945" s="103"/>
      <c r="P945" s="103"/>
      <c r="Q945" s="103"/>
      <c r="R945" s="103"/>
      <c r="S945" s="103"/>
      <c r="T945" s="103"/>
      <c r="U945" s="103"/>
      <c r="V945" s="103"/>
      <c r="W945" s="103"/>
      <c r="X945" s="103"/>
      <c r="Y945" s="103"/>
      <c r="Z945" s="103"/>
    </row>
    <row r="946" ht="15.75" customHeight="1">
      <c r="A946" s="103"/>
      <c r="B946" s="103"/>
      <c r="C946" s="103"/>
      <c r="D946" s="103"/>
      <c r="E946" s="103"/>
      <c r="F946" s="103"/>
      <c r="G946" s="103"/>
      <c r="H946" s="103"/>
      <c r="I946" s="103"/>
      <c r="J946" s="103"/>
      <c r="K946" s="103"/>
      <c r="L946" s="103"/>
      <c r="M946" s="103"/>
      <c r="N946" s="103"/>
      <c r="O946" s="103"/>
      <c r="P946" s="103"/>
      <c r="Q946" s="103"/>
      <c r="R946" s="103"/>
      <c r="S946" s="103"/>
      <c r="T946" s="103"/>
      <c r="U946" s="103"/>
      <c r="V946" s="103"/>
      <c r="W946" s="103"/>
      <c r="X946" s="103"/>
      <c r="Y946" s="103"/>
      <c r="Z946" s="103"/>
    </row>
    <row r="947" ht="15.75" customHeight="1">
      <c r="A947" s="103"/>
      <c r="B947" s="103"/>
      <c r="C947" s="103"/>
      <c r="D947" s="103"/>
      <c r="E947" s="103"/>
      <c r="F947" s="103"/>
      <c r="G947" s="103"/>
      <c r="H947" s="103"/>
      <c r="I947" s="103"/>
      <c r="J947" s="103"/>
      <c r="K947" s="103"/>
      <c r="L947" s="103"/>
      <c r="M947" s="103"/>
      <c r="N947" s="103"/>
      <c r="O947" s="103"/>
      <c r="P947" s="103"/>
      <c r="Q947" s="103"/>
      <c r="R947" s="103"/>
      <c r="S947" s="103"/>
      <c r="T947" s="103"/>
      <c r="U947" s="103"/>
      <c r="V947" s="103"/>
      <c r="W947" s="103"/>
      <c r="X947" s="103"/>
      <c r="Y947" s="103"/>
      <c r="Z947" s="103"/>
    </row>
    <row r="948" ht="15.75" customHeight="1">
      <c r="A948" s="103"/>
      <c r="B948" s="103"/>
      <c r="C948" s="103"/>
      <c r="D948" s="103"/>
      <c r="E948" s="103"/>
      <c r="F948" s="103"/>
      <c r="G948" s="103"/>
      <c r="H948" s="103"/>
      <c r="I948" s="103"/>
      <c r="J948" s="103"/>
      <c r="K948" s="103"/>
      <c r="L948" s="103"/>
      <c r="M948" s="103"/>
      <c r="N948" s="103"/>
      <c r="O948" s="103"/>
      <c r="P948" s="103"/>
      <c r="Q948" s="103"/>
      <c r="R948" s="103"/>
      <c r="S948" s="103"/>
      <c r="T948" s="103"/>
      <c r="U948" s="103"/>
      <c r="V948" s="103"/>
      <c r="W948" s="103"/>
      <c r="X948" s="103"/>
      <c r="Y948" s="103"/>
      <c r="Z948" s="103"/>
    </row>
    <row r="949" ht="15.75" customHeight="1">
      <c r="A949" s="103"/>
      <c r="B949" s="103"/>
      <c r="C949" s="103"/>
      <c r="D949" s="103"/>
      <c r="E949" s="103"/>
      <c r="F949" s="103"/>
      <c r="G949" s="103"/>
      <c r="H949" s="103"/>
      <c r="I949" s="103"/>
      <c r="J949" s="103"/>
      <c r="K949" s="103"/>
      <c r="L949" s="103"/>
      <c r="M949" s="103"/>
      <c r="N949" s="103"/>
      <c r="O949" s="103"/>
      <c r="P949" s="103"/>
      <c r="Q949" s="103"/>
      <c r="R949" s="103"/>
      <c r="S949" s="103"/>
      <c r="T949" s="103"/>
      <c r="U949" s="103"/>
      <c r="V949" s="103"/>
      <c r="W949" s="103"/>
      <c r="X949" s="103"/>
      <c r="Y949" s="103"/>
      <c r="Z949" s="103"/>
    </row>
    <row r="950" ht="15.75" customHeight="1">
      <c r="A950" s="103"/>
      <c r="B950" s="103"/>
      <c r="C950" s="103"/>
      <c r="D950" s="103"/>
      <c r="E950" s="103"/>
      <c r="F950" s="103"/>
      <c r="G950" s="103"/>
      <c r="H950" s="103"/>
      <c r="I950" s="103"/>
      <c r="J950" s="103"/>
      <c r="K950" s="103"/>
      <c r="L950" s="103"/>
      <c r="M950" s="103"/>
      <c r="N950" s="103"/>
      <c r="O950" s="103"/>
      <c r="P950" s="103"/>
      <c r="Q950" s="103"/>
      <c r="R950" s="103"/>
      <c r="S950" s="103"/>
      <c r="T950" s="103"/>
      <c r="U950" s="103"/>
      <c r="V950" s="103"/>
      <c r="W950" s="103"/>
      <c r="X950" s="103"/>
      <c r="Y950" s="103"/>
      <c r="Z950" s="103"/>
    </row>
    <row r="951" ht="15.75" customHeight="1">
      <c r="A951" s="103"/>
      <c r="B951" s="103"/>
      <c r="C951" s="103"/>
      <c r="D951" s="103"/>
      <c r="E951" s="103"/>
      <c r="F951" s="103"/>
      <c r="G951" s="103"/>
      <c r="H951" s="103"/>
      <c r="I951" s="103"/>
      <c r="J951" s="103"/>
      <c r="K951" s="103"/>
      <c r="L951" s="103"/>
      <c r="M951" s="103"/>
      <c r="N951" s="103"/>
      <c r="O951" s="103"/>
      <c r="P951" s="103"/>
      <c r="Q951" s="103"/>
      <c r="R951" s="103"/>
      <c r="S951" s="103"/>
      <c r="T951" s="103"/>
      <c r="U951" s="103"/>
      <c r="V951" s="103"/>
      <c r="W951" s="103"/>
      <c r="X951" s="103"/>
      <c r="Y951" s="103"/>
      <c r="Z951" s="103"/>
    </row>
    <row r="952" ht="15.75" customHeight="1">
      <c r="A952" s="103"/>
      <c r="B952" s="103"/>
      <c r="C952" s="103"/>
      <c r="D952" s="103"/>
      <c r="E952" s="103"/>
      <c r="F952" s="103"/>
      <c r="G952" s="103"/>
      <c r="H952" s="103"/>
      <c r="I952" s="103"/>
      <c r="J952" s="103"/>
      <c r="K952" s="103"/>
      <c r="L952" s="103"/>
      <c r="M952" s="103"/>
      <c r="N952" s="103"/>
      <c r="O952" s="103"/>
      <c r="P952" s="103"/>
      <c r="Q952" s="103"/>
      <c r="R952" s="103"/>
      <c r="S952" s="103"/>
      <c r="T952" s="103"/>
      <c r="U952" s="103"/>
      <c r="V952" s="103"/>
      <c r="W952" s="103"/>
      <c r="X952" s="103"/>
      <c r="Y952" s="103"/>
      <c r="Z952" s="103"/>
    </row>
    <row r="953" ht="15.75" customHeight="1">
      <c r="A953" s="103"/>
      <c r="B953" s="103"/>
      <c r="C953" s="103"/>
      <c r="D953" s="103"/>
      <c r="E953" s="103"/>
      <c r="F953" s="103"/>
      <c r="G953" s="103"/>
      <c r="H953" s="103"/>
      <c r="I953" s="103"/>
      <c r="J953" s="103"/>
      <c r="K953" s="103"/>
      <c r="L953" s="103"/>
      <c r="M953" s="103"/>
      <c r="N953" s="103"/>
      <c r="O953" s="103"/>
      <c r="P953" s="103"/>
      <c r="Q953" s="103"/>
      <c r="R953" s="103"/>
      <c r="S953" s="103"/>
      <c r="T953" s="103"/>
      <c r="U953" s="103"/>
      <c r="V953" s="103"/>
      <c r="W953" s="103"/>
      <c r="X953" s="103"/>
      <c r="Y953" s="103"/>
      <c r="Z953" s="103"/>
    </row>
    <row r="954" ht="15.75" customHeight="1">
      <c r="A954" s="103"/>
      <c r="B954" s="103"/>
      <c r="C954" s="103"/>
      <c r="D954" s="103"/>
      <c r="E954" s="103"/>
      <c r="F954" s="103"/>
      <c r="G954" s="103"/>
      <c r="H954" s="103"/>
      <c r="I954" s="103"/>
      <c r="J954" s="103"/>
      <c r="K954" s="103"/>
      <c r="L954" s="103"/>
      <c r="M954" s="103"/>
      <c r="N954" s="103"/>
      <c r="O954" s="103"/>
      <c r="P954" s="103"/>
      <c r="Q954" s="103"/>
      <c r="R954" s="103"/>
      <c r="S954" s="103"/>
      <c r="T954" s="103"/>
      <c r="U954" s="103"/>
      <c r="V954" s="103"/>
      <c r="W954" s="103"/>
      <c r="X954" s="103"/>
      <c r="Y954" s="103"/>
      <c r="Z954" s="103"/>
    </row>
    <row r="955" ht="15.75" customHeight="1">
      <c r="A955" s="103"/>
      <c r="B955" s="103"/>
      <c r="C955" s="103"/>
      <c r="D955" s="103"/>
      <c r="E955" s="103"/>
      <c r="F955" s="103"/>
      <c r="G955" s="103"/>
      <c r="H955" s="103"/>
      <c r="I955" s="103"/>
      <c r="J955" s="103"/>
      <c r="K955" s="103"/>
      <c r="L955" s="103"/>
      <c r="M955" s="103"/>
      <c r="N955" s="103"/>
      <c r="O955" s="103"/>
      <c r="P955" s="103"/>
      <c r="Q955" s="103"/>
      <c r="R955" s="103"/>
      <c r="S955" s="103"/>
      <c r="T955" s="103"/>
      <c r="U955" s="103"/>
      <c r="V955" s="103"/>
      <c r="W955" s="103"/>
      <c r="X955" s="103"/>
      <c r="Y955" s="103"/>
      <c r="Z955" s="103"/>
    </row>
    <row r="956" ht="15.75" customHeight="1">
      <c r="A956" s="103"/>
      <c r="B956" s="103"/>
      <c r="C956" s="103"/>
      <c r="D956" s="103"/>
      <c r="E956" s="103"/>
      <c r="F956" s="103"/>
      <c r="G956" s="103"/>
      <c r="H956" s="103"/>
      <c r="I956" s="103"/>
      <c r="J956" s="103"/>
      <c r="K956" s="103"/>
      <c r="L956" s="103"/>
      <c r="M956" s="103"/>
      <c r="N956" s="103"/>
      <c r="O956" s="103"/>
      <c r="P956" s="103"/>
      <c r="Q956" s="103"/>
      <c r="R956" s="103"/>
      <c r="S956" s="103"/>
      <c r="T956" s="103"/>
      <c r="U956" s="103"/>
      <c r="V956" s="103"/>
      <c r="W956" s="103"/>
      <c r="X956" s="103"/>
      <c r="Y956" s="103"/>
      <c r="Z956" s="103"/>
    </row>
    <row r="957" ht="15.75" customHeight="1">
      <c r="A957" s="103"/>
      <c r="B957" s="103"/>
      <c r="C957" s="103"/>
      <c r="D957" s="103"/>
      <c r="E957" s="103"/>
      <c r="F957" s="103"/>
      <c r="G957" s="103"/>
      <c r="H957" s="103"/>
      <c r="I957" s="103"/>
      <c r="J957" s="103"/>
      <c r="K957" s="103"/>
      <c r="L957" s="103"/>
      <c r="M957" s="103"/>
      <c r="N957" s="103"/>
      <c r="O957" s="103"/>
      <c r="P957" s="103"/>
      <c r="Q957" s="103"/>
      <c r="R957" s="103"/>
      <c r="S957" s="103"/>
      <c r="T957" s="103"/>
      <c r="U957" s="103"/>
      <c r="V957" s="103"/>
      <c r="W957" s="103"/>
      <c r="X957" s="103"/>
      <c r="Y957" s="103"/>
      <c r="Z957" s="103"/>
    </row>
    <row r="958" ht="15.75" customHeight="1">
      <c r="A958" s="103"/>
      <c r="B958" s="103"/>
      <c r="C958" s="103"/>
      <c r="D958" s="103"/>
      <c r="E958" s="103"/>
      <c r="F958" s="103"/>
      <c r="G958" s="103"/>
      <c r="H958" s="103"/>
      <c r="I958" s="103"/>
      <c r="J958" s="103"/>
      <c r="K958" s="103"/>
      <c r="L958" s="103"/>
      <c r="M958" s="103"/>
      <c r="N958" s="103"/>
      <c r="O958" s="103"/>
      <c r="P958" s="103"/>
      <c r="Q958" s="103"/>
      <c r="R958" s="103"/>
      <c r="S958" s="103"/>
      <c r="T958" s="103"/>
      <c r="U958" s="103"/>
      <c r="V958" s="103"/>
      <c r="W958" s="103"/>
      <c r="X958" s="103"/>
      <c r="Y958" s="103"/>
      <c r="Z958" s="103"/>
    </row>
    <row r="959" ht="15.75" customHeight="1">
      <c r="A959" s="103"/>
      <c r="B959" s="103"/>
      <c r="C959" s="103"/>
      <c r="D959" s="103"/>
      <c r="E959" s="103"/>
      <c r="F959" s="103"/>
      <c r="G959" s="103"/>
      <c r="H959" s="103"/>
      <c r="I959" s="103"/>
      <c r="J959" s="103"/>
      <c r="K959" s="103"/>
      <c r="L959" s="103"/>
      <c r="M959" s="103"/>
      <c r="N959" s="103"/>
      <c r="O959" s="103"/>
      <c r="P959" s="103"/>
      <c r="Q959" s="103"/>
      <c r="R959" s="103"/>
      <c r="S959" s="103"/>
      <c r="T959" s="103"/>
      <c r="U959" s="103"/>
      <c r="V959" s="103"/>
      <c r="W959" s="103"/>
      <c r="X959" s="103"/>
      <c r="Y959" s="103"/>
      <c r="Z959" s="103"/>
    </row>
    <row r="960" ht="15.75" customHeight="1">
      <c r="A960" s="103"/>
      <c r="B960" s="103"/>
      <c r="C960" s="103"/>
      <c r="D960" s="103"/>
      <c r="E960" s="103"/>
      <c r="F960" s="103"/>
      <c r="G960" s="103"/>
      <c r="H960" s="103"/>
      <c r="I960" s="103"/>
      <c r="J960" s="103"/>
      <c r="K960" s="103"/>
      <c r="L960" s="103"/>
      <c r="M960" s="103"/>
      <c r="N960" s="103"/>
      <c r="O960" s="103"/>
      <c r="P960" s="103"/>
      <c r="Q960" s="103"/>
      <c r="R960" s="103"/>
      <c r="S960" s="103"/>
      <c r="T960" s="103"/>
      <c r="U960" s="103"/>
      <c r="V960" s="103"/>
      <c r="W960" s="103"/>
      <c r="X960" s="103"/>
      <c r="Y960" s="103"/>
      <c r="Z960" s="103"/>
    </row>
    <row r="961" ht="15.75" customHeight="1">
      <c r="A961" s="103"/>
      <c r="B961" s="103"/>
      <c r="C961" s="103"/>
      <c r="D961" s="103"/>
      <c r="E961" s="103"/>
      <c r="F961" s="103"/>
      <c r="G961" s="103"/>
      <c r="H961" s="103"/>
      <c r="I961" s="103"/>
      <c r="J961" s="103"/>
      <c r="K961" s="103"/>
      <c r="L961" s="103"/>
      <c r="M961" s="103"/>
      <c r="N961" s="103"/>
      <c r="O961" s="103"/>
      <c r="P961" s="103"/>
      <c r="Q961" s="103"/>
      <c r="R961" s="103"/>
      <c r="S961" s="103"/>
      <c r="T961" s="103"/>
      <c r="U961" s="103"/>
      <c r="V961" s="103"/>
      <c r="W961" s="103"/>
      <c r="X961" s="103"/>
      <c r="Y961" s="103"/>
      <c r="Z961" s="103"/>
    </row>
    <row r="962" ht="15.75" customHeight="1">
      <c r="A962" s="103"/>
      <c r="B962" s="103"/>
      <c r="C962" s="103"/>
      <c r="D962" s="103"/>
      <c r="E962" s="103"/>
      <c r="F962" s="103"/>
      <c r="G962" s="103"/>
      <c r="H962" s="103"/>
      <c r="I962" s="103"/>
      <c r="J962" s="103"/>
      <c r="K962" s="103"/>
      <c r="L962" s="103"/>
      <c r="M962" s="103"/>
      <c r="N962" s="103"/>
      <c r="O962" s="103"/>
      <c r="P962" s="103"/>
      <c r="Q962" s="103"/>
      <c r="R962" s="103"/>
      <c r="S962" s="103"/>
      <c r="T962" s="103"/>
      <c r="U962" s="103"/>
      <c r="V962" s="103"/>
      <c r="W962" s="103"/>
      <c r="X962" s="103"/>
      <c r="Y962" s="103"/>
      <c r="Z962" s="103"/>
    </row>
    <row r="963" ht="15.75" customHeight="1">
      <c r="A963" s="103"/>
      <c r="B963" s="103"/>
      <c r="C963" s="103"/>
      <c r="D963" s="103"/>
      <c r="E963" s="103"/>
      <c r="F963" s="103"/>
      <c r="G963" s="103"/>
      <c r="H963" s="103"/>
      <c r="I963" s="103"/>
      <c r="J963" s="103"/>
      <c r="K963" s="103"/>
      <c r="L963" s="103"/>
      <c r="M963" s="103"/>
      <c r="N963" s="103"/>
      <c r="O963" s="103"/>
      <c r="P963" s="103"/>
      <c r="Q963" s="103"/>
      <c r="R963" s="103"/>
      <c r="S963" s="103"/>
      <c r="T963" s="103"/>
      <c r="U963" s="103"/>
      <c r="V963" s="103"/>
      <c r="W963" s="103"/>
      <c r="X963" s="103"/>
      <c r="Y963" s="103"/>
      <c r="Z963" s="103"/>
    </row>
    <row r="964" ht="15.75" customHeight="1">
      <c r="A964" s="103"/>
      <c r="B964" s="103"/>
      <c r="C964" s="103"/>
      <c r="D964" s="103"/>
      <c r="E964" s="103"/>
      <c r="F964" s="103"/>
      <c r="G964" s="103"/>
      <c r="H964" s="103"/>
      <c r="I964" s="103"/>
      <c r="J964" s="103"/>
      <c r="K964" s="103"/>
      <c r="L964" s="103"/>
      <c r="M964" s="103"/>
      <c r="N964" s="103"/>
      <c r="O964" s="103"/>
      <c r="P964" s="103"/>
      <c r="Q964" s="103"/>
      <c r="R964" s="103"/>
      <c r="S964" s="103"/>
      <c r="T964" s="103"/>
      <c r="U964" s="103"/>
      <c r="V964" s="103"/>
      <c r="W964" s="103"/>
      <c r="X964" s="103"/>
      <c r="Y964" s="103"/>
      <c r="Z964" s="103"/>
    </row>
    <row r="965" ht="15.75" customHeight="1">
      <c r="A965" s="103"/>
      <c r="B965" s="103"/>
      <c r="C965" s="103"/>
      <c r="D965" s="103"/>
      <c r="E965" s="103"/>
      <c r="F965" s="103"/>
      <c r="G965" s="103"/>
      <c r="H965" s="103"/>
      <c r="I965" s="103"/>
      <c r="J965" s="103"/>
      <c r="K965" s="103"/>
      <c r="L965" s="103"/>
      <c r="M965" s="103"/>
      <c r="N965" s="103"/>
      <c r="O965" s="103"/>
      <c r="P965" s="103"/>
      <c r="Q965" s="103"/>
      <c r="R965" s="103"/>
      <c r="S965" s="103"/>
      <c r="T965" s="103"/>
      <c r="U965" s="103"/>
      <c r="V965" s="103"/>
      <c r="W965" s="103"/>
      <c r="X965" s="103"/>
      <c r="Y965" s="103"/>
      <c r="Z965" s="103"/>
    </row>
    <row r="966" ht="15.75" customHeight="1">
      <c r="A966" s="103"/>
      <c r="B966" s="103"/>
      <c r="C966" s="103"/>
      <c r="D966" s="103"/>
      <c r="E966" s="103"/>
      <c r="F966" s="103"/>
      <c r="G966" s="103"/>
      <c r="H966" s="103"/>
      <c r="I966" s="103"/>
      <c r="J966" s="103"/>
      <c r="K966" s="103"/>
      <c r="L966" s="103"/>
      <c r="M966" s="103"/>
      <c r="N966" s="103"/>
      <c r="O966" s="103"/>
      <c r="P966" s="103"/>
      <c r="Q966" s="103"/>
      <c r="R966" s="103"/>
      <c r="S966" s="103"/>
      <c r="T966" s="103"/>
      <c r="U966" s="103"/>
      <c r="V966" s="103"/>
      <c r="W966" s="103"/>
      <c r="X966" s="103"/>
      <c r="Y966" s="103"/>
      <c r="Z966" s="103"/>
    </row>
    <row r="967" ht="15.75" customHeight="1">
      <c r="A967" s="103"/>
      <c r="B967" s="103"/>
      <c r="C967" s="103"/>
      <c r="D967" s="103"/>
      <c r="E967" s="103"/>
      <c r="F967" s="103"/>
      <c r="G967" s="103"/>
      <c r="H967" s="103"/>
      <c r="I967" s="103"/>
      <c r="J967" s="103"/>
      <c r="K967" s="103"/>
      <c r="L967" s="103"/>
      <c r="M967" s="103"/>
      <c r="N967" s="103"/>
      <c r="O967" s="103"/>
      <c r="P967" s="103"/>
      <c r="Q967" s="103"/>
      <c r="R967" s="103"/>
      <c r="S967" s="103"/>
      <c r="T967" s="103"/>
      <c r="U967" s="103"/>
      <c r="V967" s="103"/>
      <c r="W967" s="103"/>
      <c r="X967" s="103"/>
      <c r="Y967" s="103"/>
      <c r="Z967" s="103"/>
    </row>
    <row r="968" ht="15.75" customHeight="1">
      <c r="A968" s="103"/>
      <c r="B968" s="103"/>
      <c r="C968" s="103"/>
      <c r="D968" s="103"/>
      <c r="E968" s="103"/>
      <c r="F968" s="103"/>
      <c r="G968" s="103"/>
      <c r="H968" s="103"/>
      <c r="I968" s="103"/>
      <c r="J968" s="103"/>
      <c r="K968" s="103"/>
      <c r="L968" s="103"/>
      <c r="M968" s="103"/>
      <c r="N968" s="103"/>
      <c r="O968" s="103"/>
      <c r="P968" s="103"/>
      <c r="Q968" s="103"/>
      <c r="R968" s="103"/>
      <c r="S968" s="103"/>
      <c r="T968" s="103"/>
      <c r="U968" s="103"/>
      <c r="V968" s="103"/>
      <c r="W968" s="103"/>
      <c r="X968" s="103"/>
      <c r="Y968" s="103"/>
      <c r="Z968" s="103"/>
    </row>
    <row r="969" ht="15.75" customHeight="1">
      <c r="A969" s="103"/>
      <c r="B969" s="103"/>
      <c r="C969" s="103"/>
      <c r="D969" s="103"/>
      <c r="E969" s="103"/>
      <c r="F969" s="103"/>
      <c r="G969" s="103"/>
      <c r="H969" s="103"/>
      <c r="I969" s="103"/>
      <c r="J969" s="103"/>
      <c r="K969" s="103"/>
      <c r="L969" s="103"/>
      <c r="M969" s="103"/>
      <c r="N969" s="103"/>
      <c r="O969" s="103"/>
      <c r="P969" s="103"/>
      <c r="Q969" s="103"/>
      <c r="R969" s="103"/>
      <c r="S969" s="103"/>
      <c r="T969" s="103"/>
      <c r="U969" s="103"/>
      <c r="V969" s="103"/>
      <c r="W969" s="103"/>
      <c r="X969" s="103"/>
      <c r="Y969" s="103"/>
      <c r="Z969" s="103"/>
    </row>
    <row r="970" ht="15.75" customHeight="1">
      <c r="A970" s="103"/>
      <c r="B970" s="103"/>
      <c r="C970" s="103"/>
      <c r="D970" s="103"/>
      <c r="E970" s="103"/>
      <c r="F970" s="103"/>
      <c r="G970" s="103"/>
      <c r="H970" s="103"/>
      <c r="I970" s="103"/>
      <c r="J970" s="103"/>
      <c r="K970" s="103"/>
      <c r="L970" s="103"/>
      <c r="M970" s="103"/>
      <c r="N970" s="103"/>
      <c r="O970" s="103"/>
      <c r="P970" s="103"/>
      <c r="Q970" s="103"/>
      <c r="R970" s="103"/>
      <c r="S970" s="103"/>
      <c r="T970" s="103"/>
      <c r="U970" s="103"/>
      <c r="V970" s="103"/>
      <c r="W970" s="103"/>
      <c r="X970" s="103"/>
      <c r="Y970" s="103"/>
      <c r="Z970" s="103"/>
    </row>
    <row r="971" ht="15.75" customHeight="1">
      <c r="A971" s="103"/>
      <c r="B971" s="103"/>
      <c r="C971" s="103"/>
      <c r="D971" s="103"/>
      <c r="E971" s="103"/>
      <c r="F971" s="103"/>
      <c r="G971" s="103"/>
      <c r="H971" s="103"/>
      <c r="I971" s="103"/>
      <c r="J971" s="103"/>
      <c r="K971" s="103"/>
      <c r="L971" s="103"/>
      <c r="M971" s="103"/>
      <c r="N971" s="103"/>
      <c r="O971" s="103"/>
      <c r="P971" s="103"/>
      <c r="Q971" s="103"/>
      <c r="R971" s="103"/>
      <c r="S971" s="103"/>
      <c r="T971" s="103"/>
      <c r="U971" s="103"/>
      <c r="V971" s="103"/>
      <c r="W971" s="103"/>
      <c r="X971" s="103"/>
      <c r="Y971" s="103"/>
      <c r="Z971" s="103"/>
    </row>
    <row r="972" ht="15.75" customHeight="1">
      <c r="A972" s="103"/>
      <c r="B972" s="103"/>
      <c r="C972" s="103"/>
      <c r="D972" s="103"/>
      <c r="E972" s="103"/>
      <c r="F972" s="103"/>
      <c r="G972" s="103"/>
      <c r="H972" s="103"/>
      <c r="I972" s="103"/>
      <c r="J972" s="103"/>
      <c r="K972" s="103"/>
      <c r="L972" s="103"/>
      <c r="M972" s="103"/>
      <c r="N972" s="103"/>
      <c r="O972" s="103"/>
      <c r="P972" s="103"/>
      <c r="Q972" s="103"/>
      <c r="R972" s="103"/>
      <c r="S972" s="103"/>
      <c r="T972" s="103"/>
      <c r="U972" s="103"/>
      <c r="V972" s="103"/>
      <c r="W972" s="103"/>
      <c r="X972" s="103"/>
      <c r="Y972" s="103"/>
      <c r="Z972" s="103"/>
    </row>
    <row r="973" ht="15.75" customHeight="1">
      <c r="A973" s="103"/>
      <c r="B973" s="103"/>
      <c r="C973" s="103"/>
      <c r="D973" s="103"/>
      <c r="E973" s="103"/>
      <c r="F973" s="103"/>
      <c r="G973" s="103"/>
      <c r="H973" s="103"/>
      <c r="I973" s="103"/>
      <c r="J973" s="103"/>
      <c r="K973" s="103"/>
      <c r="L973" s="103"/>
      <c r="M973" s="103"/>
      <c r="N973" s="103"/>
      <c r="O973" s="103"/>
      <c r="P973" s="103"/>
      <c r="Q973" s="103"/>
      <c r="R973" s="103"/>
      <c r="S973" s="103"/>
      <c r="T973" s="103"/>
      <c r="U973" s="103"/>
      <c r="V973" s="103"/>
      <c r="W973" s="103"/>
      <c r="X973" s="103"/>
      <c r="Y973" s="103"/>
      <c r="Z973" s="103"/>
    </row>
    <row r="974" ht="15.75" customHeight="1">
      <c r="A974" s="103"/>
      <c r="B974" s="103"/>
      <c r="C974" s="103"/>
      <c r="D974" s="103"/>
      <c r="E974" s="103"/>
      <c r="F974" s="103"/>
      <c r="G974" s="103"/>
      <c r="H974" s="103"/>
      <c r="I974" s="103"/>
      <c r="J974" s="103"/>
      <c r="K974" s="103"/>
      <c r="L974" s="103"/>
      <c r="M974" s="103"/>
      <c r="N974" s="103"/>
      <c r="O974" s="103"/>
      <c r="P974" s="103"/>
      <c r="Q974" s="103"/>
      <c r="R974" s="103"/>
      <c r="S974" s="103"/>
      <c r="T974" s="103"/>
      <c r="U974" s="103"/>
      <c r="V974" s="103"/>
      <c r="W974" s="103"/>
      <c r="X974" s="103"/>
      <c r="Y974" s="103"/>
      <c r="Z974" s="103"/>
    </row>
    <row r="975" ht="15.75" customHeight="1">
      <c r="A975" s="103"/>
      <c r="B975" s="103"/>
      <c r="C975" s="103"/>
      <c r="D975" s="103"/>
      <c r="E975" s="103"/>
      <c r="F975" s="103"/>
      <c r="G975" s="103"/>
      <c r="H975" s="103"/>
      <c r="I975" s="103"/>
      <c r="J975" s="103"/>
      <c r="K975" s="103"/>
      <c r="L975" s="103"/>
      <c r="M975" s="103"/>
      <c r="N975" s="103"/>
      <c r="O975" s="103"/>
      <c r="P975" s="103"/>
      <c r="Q975" s="103"/>
      <c r="R975" s="103"/>
      <c r="S975" s="103"/>
      <c r="T975" s="103"/>
      <c r="U975" s="103"/>
      <c r="V975" s="103"/>
      <c r="W975" s="103"/>
      <c r="X975" s="103"/>
      <c r="Y975" s="103"/>
      <c r="Z975" s="103"/>
    </row>
    <row r="976" ht="15.75" customHeight="1">
      <c r="A976" s="103"/>
      <c r="B976" s="103"/>
      <c r="C976" s="103"/>
      <c r="D976" s="103"/>
      <c r="E976" s="103"/>
      <c r="F976" s="103"/>
      <c r="G976" s="103"/>
      <c r="H976" s="103"/>
      <c r="I976" s="103"/>
      <c r="J976" s="103"/>
      <c r="K976" s="103"/>
      <c r="L976" s="103"/>
      <c r="M976" s="103"/>
      <c r="N976" s="103"/>
      <c r="O976" s="103"/>
      <c r="P976" s="103"/>
      <c r="Q976" s="103"/>
      <c r="R976" s="103"/>
      <c r="S976" s="103"/>
      <c r="T976" s="103"/>
      <c r="U976" s="103"/>
      <c r="V976" s="103"/>
      <c r="W976" s="103"/>
      <c r="X976" s="103"/>
      <c r="Y976" s="103"/>
      <c r="Z976" s="103"/>
    </row>
    <row r="977" ht="15.75" customHeight="1">
      <c r="A977" s="103"/>
      <c r="B977" s="103"/>
      <c r="C977" s="103"/>
      <c r="D977" s="103"/>
      <c r="E977" s="103"/>
      <c r="F977" s="103"/>
      <c r="G977" s="103"/>
      <c r="H977" s="103"/>
      <c r="I977" s="103"/>
      <c r="J977" s="103"/>
      <c r="K977" s="103"/>
      <c r="L977" s="103"/>
      <c r="M977" s="103"/>
      <c r="N977" s="103"/>
      <c r="O977" s="103"/>
      <c r="P977" s="103"/>
      <c r="Q977" s="103"/>
      <c r="R977" s="103"/>
      <c r="S977" s="103"/>
      <c r="T977" s="103"/>
      <c r="U977" s="103"/>
      <c r="V977" s="103"/>
      <c r="W977" s="103"/>
      <c r="X977" s="103"/>
      <c r="Y977" s="103"/>
      <c r="Z977" s="103"/>
    </row>
    <row r="978" ht="15.75" customHeight="1">
      <c r="A978" s="103"/>
      <c r="B978" s="103"/>
      <c r="C978" s="103"/>
      <c r="D978" s="103"/>
      <c r="E978" s="103"/>
      <c r="F978" s="103"/>
      <c r="G978" s="103"/>
      <c r="H978" s="103"/>
      <c r="I978" s="103"/>
      <c r="J978" s="103"/>
      <c r="K978" s="103"/>
      <c r="L978" s="103"/>
      <c r="M978" s="103"/>
      <c r="N978" s="103"/>
      <c r="O978" s="103"/>
      <c r="P978" s="103"/>
      <c r="Q978" s="103"/>
      <c r="R978" s="103"/>
      <c r="S978" s="103"/>
      <c r="T978" s="103"/>
      <c r="U978" s="103"/>
      <c r="V978" s="103"/>
      <c r="W978" s="103"/>
      <c r="X978" s="103"/>
      <c r="Y978" s="103"/>
      <c r="Z978" s="103"/>
    </row>
    <row r="979" ht="15.75" customHeight="1">
      <c r="A979" s="103"/>
      <c r="B979" s="103"/>
      <c r="C979" s="103"/>
      <c r="D979" s="103"/>
      <c r="E979" s="103"/>
      <c r="F979" s="103"/>
      <c r="G979" s="103"/>
      <c r="H979" s="103"/>
      <c r="I979" s="103"/>
      <c r="J979" s="103"/>
      <c r="K979" s="103"/>
      <c r="L979" s="103"/>
      <c r="M979" s="103"/>
      <c r="N979" s="103"/>
      <c r="O979" s="103"/>
      <c r="P979" s="103"/>
      <c r="Q979" s="103"/>
      <c r="R979" s="103"/>
      <c r="S979" s="103"/>
      <c r="T979" s="103"/>
      <c r="U979" s="103"/>
      <c r="V979" s="103"/>
      <c r="W979" s="103"/>
      <c r="X979" s="103"/>
      <c r="Y979" s="103"/>
      <c r="Z979" s="103"/>
    </row>
    <row r="980" ht="15.75" customHeight="1">
      <c r="A980" s="103"/>
      <c r="B980" s="103"/>
      <c r="C980" s="103"/>
      <c r="D980" s="103"/>
      <c r="E980" s="103"/>
      <c r="F980" s="103"/>
      <c r="G980" s="103"/>
      <c r="H980" s="103"/>
      <c r="I980" s="103"/>
      <c r="J980" s="103"/>
      <c r="K980" s="103"/>
      <c r="L980" s="103"/>
      <c r="M980" s="103"/>
      <c r="N980" s="103"/>
      <c r="O980" s="103"/>
      <c r="P980" s="103"/>
      <c r="Q980" s="103"/>
      <c r="R980" s="103"/>
      <c r="S980" s="103"/>
      <c r="T980" s="103"/>
      <c r="U980" s="103"/>
      <c r="V980" s="103"/>
      <c r="W980" s="103"/>
      <c r="X980" s="103"/>
      <c r="Y980" s="103"/>
      <c r="Z980" s="103"/>
    </row>
    <row r="981" ht="15.75" customHeight="1">
      <c r="A981" s="103"/>
      <c r="B981" s="103"/>
      <c r="C981" s="103"/>
      <c r="D981" s="103"/>
      <c r="E981" s="103"/>
      <c r="F981" s="103"/>
      <c r="G981" s="103"/>
      <c r="H981" s="103"/>
      <c r="I981" s="103"/>
      <c r="J981" s="103"/>
      <c r="K981" s="103"/>
      <c r="L981" s="103"/>
      <c r="M981" s="103"/>
      <c r="N981" s="103"/>
      <c r="O981" s="103"/>
      <c r="P981" s="103"/>
      <c r="Q981" s="103"/>
      <c r="R981" s="103"/>
      <c r="S981" s="103"/>
      <c r="T981" s="103"/>
      <c r="U981" s="103"/>
      <c r="V981" s="103"/>
      <c r="W981" s="103"/>
      <c r="X981" s="103"/>
      <c r="Y981" s="103"/>
      <c r="Z981" s="103"/>
    </row>
    <row r="982" ht="15.75" customHeight="1">
      <c r="A982" s="103"/>
      <c r="B982" s="103"/>
      <c r="C982" s="103"/>
      <c r="D982" s="103"/>
      <c r="E982" s="103"/>
      <c r="F982" s="103"/>
      <c r="G982" s="103"/>
      <c r="H982" s="103"/>
      <c r="I982" s="103"/>
      <c r="J982" s="103"/>
      <c r="K982" s="103"/>
      <c r="L982" s="103"/>
      <c r="M982" s="103"/>
      <c r="N982" s="103"/>
      <c r="O982" s="103"/>
      <c r="P982" s="103"/>
      <c r="Q982" s="103"/>
      <c r="R982" s="103"/>
      <c r="S982" s="103"/>
      <c r="T982" s="103"/>
      <c r="U982" s="103"/>
      <c r="V982" s="103"/>
      <c r="W982" s="103"/>
      <c r="X982" s="103"/>
      <c r="Y982" s="103"/>
      <c r="Z982" s="103"/>
    </row>
    <row r="983" ht="15.75" customHeight="1">
      <c r="A983" s="103"/>
      <c r="B983" s="103"/>
      <c r="C983" s="103"/>
      <c r="D983" s="103"/>
      <c r="E983" s="103"/>
      <c r="F983" s="103"/>
      <c r="G983" s="103"/>
      <c r="H983" s="103"/>
      <c r="I983" s="103"/>
      <c r="J983" s="103"/>
      <c r="K983" s="103"/>
      <c r="L983" s="103"/>
      <c r="M983" s="103"/>
      <c r="N983" s="103"/>
      <c r="O983" s="103"/>
      <c r="P983" s="103"/>
      <c r="Q983" s="103"/>
      <c r="R983" s="103"/>
      <c r="S983" s="103"/>
      <c r="T983" s="103"/>
      <c r="U983" s="103"/>
      <c r="V983" s="103"/>
      <c r="W983" s="103"/>
      <c r="X983" s="103"/>
      <c r="Y983" s="103"/>
      <c r="Z983" s="103"/>
    </row>
    <row r="984" ht="15.75" customHeight="1">
      <c r="A984" s="103"/>
      <c r="B984" s="103"/>
      <c r="C984" s="103"/>
      <c r="D984" s="103"/>
      <c r="E984" s="103"/>
      <c r="F984" s="103"/>
      <c r="G984" s="103"/>
      <c r="H984" s="103"/>
      <c r="I984" s="103"/>
      <c r="J984" s="103"/>
      <c r="K984" s="103"/>
      <c r="L984" s="103"/>
      <c r="M984" s="103"/>
      <c r="N984" s="103"/>
      <c r="O984" s="103"/>
      <c r="P984" s="103"/>
      <c r="Q984" s="103"/>
      <c r="R984" s="103"/>
      <c r="S984" s="103"/>
      <c r="T984" s="103"/>
      <c r="U984" s="103"/>
      <c r="V984" s="103"/>
      <c r="W984" s="103"/>
      <c r="X984" s="103"/>
      <c r="Y984" s="103"/>
      <c r="Z984" s="103"/>
    </row>
    <row r="985" ht="15.75" customHeight="1">
      <c r="A985" s="103"/>
      <c r="B985" s="103"/>
      <c r="C985" s="103"/>
      <c r="D985" s="103"/>
      <c r="E985" s="103"/>
      <c r="F985" s="103"/>
      <c r="G985" s="103"/>
      <c r="H985" s="103"/>
      <c r="I985" s="103"/>
      <c r="J985" s="103"/>
      <c r="K985" s="103"/>
      <c r="L985" s="103"/>
      <c r="M985" s="103"/>
      <c r="N985" s="103"/>
      <c r="O985" s="103"/>
      <c r="P985" s="103"/>
      <c r="Q985" s="103"/>
      <c r="R985" s="103"/>
      <c r="S985" s="103"/>
      <c r="T985" s="103"/>
      <c r="U985" s="103"/>
      <c r="V985" s="103"/>
      <c r="W985" s="103"/>
      <c r="X985" s="103"/>
      <c r="Y985" s="103"/>
      <c r="Z985" s="103"/>
    </row>
    <row r="986" ht="15.75" customHeight="1">
      <c r="A986" s="103"/>
      <c r="B986" s="103"/>
      <c r="C986" s="103"/>
      <c r="D986" s="103"/>
      <c r="E986" s="103"/>
      <c r="F986" s="103"/>
      <c r="G986" s="103"/>
      <c r="H986" s="103"/>
      <c r="I986" s="103"/>
      <c r="J986" s="103"/>
      <c r="K986" s="103"/>
      <c r="L986" s="103"/>
      <c r="M986" s="103"/>
      <c r="N986" s="103"/>
      <c r="O986" s="103"/>
      <c r="P986" s="103"/>
      <c r="Q986" s="103"/>
      <c r="R986" s="103"/>
      <c r="S986" s="103"/>
      <c r="T986" s="103"/>
      <c r="U986" s="103"/>
      <c r="V986" s="103"/>
      <c r="W986" s="103"/>
      <c r="X986" s="103"/>
      <c r="Y986" s="103"/>
      <c r="Z986" s="103"/>
    </row>
    <row r="987" ht="15.75" customHeight="1">
      <c r="A987" s="103"/>
      <c r="B987" s="103"/>
      <c r="C987" s="103"/>
      <c r="D987" s="103"/>
      <c r="E987" s="103"/>
      <c r="F987" s="103"/>
      <c r="G987" s="103"/>
      <c r="H987" s="103"/>
      <c r="I987" s="103"/>
      <c r="J987" s="103"/>
      <c r="K987" s="103"/>
      <c r="L987" s="103"/>
      <c r="M987" s="103"/>
      <c r="N987" s="103"/>
      <c r="O987" s="103"/>
      <c r="P987" s="103"/>
      <c r="Q987" s="103"/>
      <c r="R987" s="103"/>
      <c r="S987" s="103"/>
      <c r="T987" s="103"/>
      <c r="U987" s="103"/>
      <c r="V987" s="103"/>
      <c r="W987" s="103"/>
      <c r="X987" s="103"/>
      <c r="Y987" s="103"/>
      <c r="Z987" s="103"/>
    </row>
    <row r="988" ht="15.75" customHeight="1">
      <c r="A988" s="103"/>
      <c r="B988" s="103"/>
      <c r="C988" s="103"/>
      <c r="D988" s="103"/>
      <c r="E988" s="103"/>
      <c r="F988" s="103"/>
      <c r="G988" s="103"/>
      <c r="H988" s="103"/>
      <c r="I988" s="103"/>
      <c r="J988" s="103"/>
      <c r="K988" s="103"/>
      <c r="L988" s="103"/>
      <c r="M988" s="103"/>
      <c r="N988" s="103"/>
      <c r="O988" s="103"/>
      <c r="P988" s="103"/>
      <c r="Q988" s="103"/>
      <c r="R988" s="103"/>
      <c r="S988" s="103"/>
      <c r="T988" s="103"/>
      <c r="U988" s="103"/>
      <c r="V988" s="103"/>
      <c r="W988" s="103"/>
      <c r="X988" s="103"/>
      <c r="Y988" s="103"/>
      <c r="Z988" s="103"/>
    </row>
    <row r="989" ht="15.75" customHeight="1">
      <c r="A989" s="103"/>
      <c r="B989" s="103"/>
      <c r="C989" s="103"/>
      <c r="D989" s="103"/>
      <c r="E989" s="103"/>
      <c r="F989" s="103"/>
      <c r="G989" s="103"/>
      <c r="H989" s="103"/>
      <c r="I989" s="103"/>
      <c r="J989" s="103"/>
      <c r="K989" s="103"/>
      <c r="L989" s="103"/>
      <c r="M989" s="103"/>
      <c r="N989" s="103"/>
      <c r="O989" s="103"/>
      <c r="P989" s="103"/>
      <c r="Q989" s="103"/>
      <c r="R989" s="103"/>
      <c r="S989" s="103"/>
      <c r="T989" s="103"/>
      <c r="U989" s="103"/>
      <c r="V989" s="103"/>
      <c r="W989" s="103"/>
      <c r="X989" s="103"/>
      <c r="Y989" s="103"/>
      <c r="Z989" s="103"/>
    </row>
    <row r="990" ht="15.75" customHeight="1">
      <c r="A990" s="103"/>
      <c r="B990" s="103"/>
      <c r="C990" s="103"/>
      <c r="D990" s="103"/>
      <c r="E990" s="103"/>
      <c r="F990" s="103"/>
      <c r="G990" s="103"/>
      <c r="H990" s="103"/>
      <c r="I990" s="103"/>
      <c r="J990" s="103"/>
      <c r="K990" s="103"/>
      <c r="L990" s="103"/>
      <c r="M990" s="103"/>
      <c r="N990" s="103"/>
      <c r="O990" s="103"/>
      <c r="P990" s="103"/>
      <c r="Q990" s="103"/>
      <c r="R990" s="103"/>
      <c r="S990" s="103"/>
      <c r="T990" s="103"/>
      <c r="U990" s="103"/>
      <c r="V990" s="103"/>
      <c r="W990" s="103"/>
      <c r="X990" s="103"/>
      <c r="Y990" s="103"/>
      <c r="Z990" s="103"/>
    </row>
    <row r="991" ht="15.75" customHeight="1">
      <c r="A991" s="103"/>
      <c r="B991" s="103"/>
      <c r="C991" s="103"/>
      <c r="D991" s="103"/>
      <c r="E991" s="103"/>
      <c r="F991" s="103"/>
      <c r="G991" s="103"/>
      <c r="H991" s="103"/>
      <c r="I991" s="103"/>
      <c r="J991" s="103"/>
      <c r="K991" s="103"/>
      <c r="L991" s="103"/>
      <c r="M991" s="103"/>
      <c r="N991" s="103"/>
      <c r="O991" s="103"/>
      <c r="P991" s="103"/>
      <c r="Q991" s="103"/>
      <c r="R991" s="103"/>
      <c r="S991" s="103"/>
      <c r="T991" s="103"/>
      <c r="U991" s="103"/>
      <c r="V991" s="103"/>
      <c r="W991" s="103"/>
      <c r="X991" s="103"/>
      <c r="Y991" s="103"/>
      <c r="Z991" s="103"/>
    </row>
    <row r="992" ht="15.75" customHeight="1">
      <c r="A992" s="103"/>
      <c r="B992" s="103"/>
      <c r="C992" s="103"/>
      <c r="D992" s="103"/>
      <c r="E992" s="103"/>
      <c r="F992" s="103"/>
      <c r="G992" s="103"/>
      <c r="H992" s="103"/>
      <c r="I992" s="103"/>
      <c r="J992" s="103"/>
      <c r="K992" s="103"/>
      <c r="L992" s="103"/>
      <c r="M992" s="103"/>
      <c r="N992" s="103"/>
      <c r="O992" s="103"/>
      <c r="P992" s="103"/>
      <c r="Q992" s="103"/>
      <c r="R992" s="103"/>
      <c r="S992" s="103"/>
      <c r="T992" s="103"/>
      <c r="U992" s="103"/>
      <c r="V992" s="103"/>
      <c r="W992" s="103"/>
      <c r="X992" s="103"/>
      <c r="Y992" s="103"/>
      <c r="Z992" s="103"/>
    </row>
    <row r="993" ht="15.75" customHeight="1">
      <c r="A993" s="103"/>
      <c r="B993" s="103"/>
      <c r="C993" s="103"/>
      <c r="D993" s="103"/>
      <c r="E993" s="103"/>
      <c r="F993" s="103"/>
      <c r="G993" s="103"/>
      <c r="H993" s="103"/>
      <c r="I993" s="103"/>
      <c r="J993" s="103"/>
      <c r="K993" s="103"/>
      <c r="L993" s="103"/>
      <c r="M993" s="103"/>
      <c r="N993" s="103"/>
      <c r="O993" s="103"/>
      <c r="P993" s="103"/>
      <c r="Q993" s="103"/>
      <c r="R993" s="103"/>
      <c r="S993" s="103"/>
      <c r="T993" s="103"/>
      <c r="U993" s="103"/>
      <c r="V993" s="103"/>
      <c r="W993" s="103"/>
      <c r="X993" s="103"/>
      <c r="Y993" s="103"/>
      <c r="Z993" s="103"/>
    </row>
    <row r="994" ht="15.75" customHeight="1">
      <c r="A994" s="103"/>
      <c r="B994" s="103"/>
      <c r="C994" s="103"/>
      <c r="D994" s="103"/>
      <c r="E994" s="103"/>
      <c r="F994" s="103"/>
      <c r="G994" s="103"/>
      <c r="H994" s="103"/>
      <c r="I994" s="103"/>
      <c r="J994" s="103"/>
      <c r="K994" s="103"/>
      <c r="L994" s="103"/>
      <c r="M994" s="103"/>
      <c r="N994" s="103"/>
      <c r="O994" s="103"/>
      <c r="P994" s="103"/>
      <c r="Q994" s="103"/>
      <c r="R994" s="103"/>
      <c r="S994" s="103"/>
      <c r="T994" s="103"/>
      <c r="U994" s="103"/>
      <c r="V994" s="103"/>
      <c r="W994" s="103"/>
      <c r="X994" s="103"/>
      <c r="Y994" s="103"/>
      <c r="Z994" s="103"/>
    </row>
    <row r="995" ht="15.75" customHeight="1">
      <c r="A995" s="103"/>
      <c r="B995" s="103"/>
      <c r="C995" s="103"/>
      <c r="D995" s="103"/>
      <c r="E995" s="103"/>
      <c r="F995" s="103"/>
      <c r="G995" s="103"/>
      <c r="H995" s="103"/>
      <c r="I995" s="103"/>
      <c r="J995" s="103"/>
      <c r="K995" s="103"/>
      <c r="L995" s="103"/>
      <c r="M995" s="103"/>
      <c r="N995" s="103"/>
      <c r="O995" s="103"/>
      <c r="P995" s="103"/>
      <c r="Q995" s="103"/>
      <c r="R995" s="103"/>
      <c r="S995" s="103"/>
      <c r="T995" s="103"/>
      <c r="U995" s="103"/>
      <c r="V995" s="103"/>
      <c r="W995" s="103"/>
      <c r="X995" s="103"/>
      <c r="Y995" s="103"/>
      <c r="Z995" s="103"/>
    </row>
    <row r="996" ht="15.75" customHeight="1">
      <c r="A996" s="103"/>
      <c r="B996" s="103"/>
      <c r="C996" s="103"/>
      <c r="D996" s="103"/>
      <c r="E996" s="103"/>
      <c r="F996" s="103"/>
      <c r="G996" s="103"/>
      <c r="H996" s="103"/>
      <c r="I996" s="103"/>
      <c r="J996" s="103"/>
      <c r="K996" s="103"/>
      <c r="L996" s="103"/>
      <c r="M996" s="103"/>
      <c r="N996" s="103"/>
      <c r="O996" s="103"/>
      <c r="P996" s="103"/>
      <c r="Q996" s="103"/>
      <c r="R996" s="103"/>
      <c r="S996" s="103"/>
      <c r="T996" s="103"/>
      <c r="U996" s="103"/>
      <c r="V996" s="103"/>
      <c r="W996" s="103"/>
      <c r="X996" s="103"/>
      <c r="Y996" s="103"/>
      <c r="Z996" s="103"/>
    </row>
    <row r="997" ht="15.75" customHeight="1">
      <c r="A997" s="103"/>
      <c r="B997" s="103"/>
      <c r="C997" s="103"/>
      <c r="D997" s="103"/>
      <c r="E997" s="103"/>
      <c r="F997" s="103"/>
      <c r="G997" s="103"/>
      <c r="H997" s="103"/>
      <c r="I997" s="103"/>
      <c r="J997" s="103"/>
      <c r="K997" s="103"/>
      <c r="L997" s="103"/>
      <c r="M997" s="103"/>
      <c r="N997" s="103"/>
      <c r="O997" s="103"/>
      <c r="P997" s="103"/>
      <c r="Q997" s="103"/>
      <c r="R997" s="103"/>
      <c r="S997" s="103"/>
      <c r="T997" s="103"/>
      <c r="U997" s="103"/>
      <c r="V997" s="103"/>
      <c r="W997" s="103"/>
      <c r="X997" s="103"/>
      <c r="Y997" s="103"/>
      <c r="Z997" s="103"/>
    </row>
    <row r="998" ht="15.75" customHeight="1">
      <c r="A998" s="103"/>
      <c r="B998" s="103"/>
      <c r="C998" s="103"/>
      <c r="D998" s="103"/>
      <c r="E998" s="103"/>
      <c r="F998" s="103"/>
      <c r="G998" s="103"/>
      <c r="H998" s="103"/>
      <c r="I998" s="103"/>
      <c r="J998" s="103"/>
      <c r="K998" s="103"/>
      <c r="L998" s="103"/>
      <c r="M998" s="103"/>
      <c r="N998" s="103"/>
      <c r="O998" s="103"/>
      <c r="P998" s="103"/>
      <c r="Q998" s="103"/>
      <c r="R998" s="103"/>
      <c r="S998" s="103"/>
      <c r="T998" s="103"/>
      <c r="U998" s="103"/>
      <c r="V998" s="103"/>
      <c r="W998" s="103"/>
      <c r="X998" s="103"/>
      <c r="Y998" s="103"/>
      <c r="Z998" s="103"/>
    </row>
    <row r="999" ht="15.75" customHeight="1">
      <c r="A999" s="103"/>
      <c r="B999" s="103"/>
      <c r="C999" s="103"/>
      <c r="D999" s="103"/>
      <c r="E999" s="103"/>
      <c r="F999" s="103"/>
      <c r="G999" s="103"/>
      <c r="H999" s="103"/>
      <c r="I999" s="103"/>
      <c r="J999" s="103"/>
      <c r="K999" s="103"/>
      <c r="L999" s="103"/>
      <c r="M999" s="103"/>
      <c r="N999" s="103"/>
      <c r="O999" s="103"/>
      <c r="P999" s="103"/>
      <c r="Q999" s="103"/>
      <c r="R999" s="103"/>
      <c r="S999" s="103"/>
      <c r="T999" s="103"/>
      <c r="U999" s="103"/>
      <c r="V999" s="103"/>
      <c r="W999" s="103"/>
      <c r="X999" s="103"/>
      <c r="Y999" s="103"/>
      <c r="Z999" s="103"/>
    </row>
    <row r="1000" ht="15.75" customHeight="1">
      <c r="A1000" s="103"/>
      <c r="B1000" s="103"/>
      <c r="C1000" s="103"/>
      <c r="D1000" s="103"/>
      <c r="E1000" s="103"/>
      <c r="F1000" s="103"/>
      <c r="G1000" s="103"/>
      <c r="H1000" s="103"/>
      <c r="I1000" s="103"/>
      <c r="J1000" s="103"/>
      <c r="K1000" s="103"/>
      <c r="L1000" s="103"/>
      <c r="M1000" s="103"/>
      <c r="N1000" s="103"/>
      <c r="O1000" s="103"/>
      <c r="P1000" s="103"/>
      <c r="Q1000" s="103"/>
      <c r="R1000" s="103"/>
      <c r="S1000" s="103"/>
      <c r="T1000" s="103"/>
      <c r="U1000" s="103"/>
      <c r="V1000" s="103"/>
      <c r="W1000" s="103"/>
      <c r="X1000" s="103"/>
      <c r="Y1000" s="103"/>
      <c r="Z1000" s="103"/>
    </row>
  </sheetData>
  <hyperlinks>
    <hyperlink r:id="rId1" ref="A8"/>
    <hyperlink r:id="rId2" ref="A9"/>
    <hyperlink r:id="rId3" ref="A19"/>
    <hyperlink r:id="rId4" ref="A20"/>
    <hyperlink r:id="rId5" ref="A21"/>
    <hyperlink r:id="rId6" ref="A22"/>
  </hyperlinks>
  <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38"/>
    <col customWidth="1" min="2" max="12" width="18.88"/>
  </cols>
  <sheetData>
    <row r="1">
      <c r="A1" s="105" t="s">
        <v>1096</v>
      </c>
      <c r="G1" s="106"/>
      <c r="H1" s="106"/>
      <c r="I1" s="106"/>
      <c r="J1" s="106"/>
      <c r="K1" s="106"/>
      <c r="L1" s="106"/>
      <c r="M1" s="106"/>
      <c r="N1" s="106"/>
      <c r="O1" s="106"/>
      <c r="P1" s="106"/>
      <c r="Q1" s="106"/>
      <c r="R1" s="106"/>
      <c r="S1" s="106"/>
      <c r="T1" s="106"/>
      <c r="U1" s="106"/>
      <c r="V1" s="106"/>
      <c r="W1" s="106"/>
      <c r="X1" s="106"/>
      <c r="Y1" s="106"/>
      <c r="Z1" s="106"/>
    </row>
    <row r="2">
      <c r="A2" s="107" t="s">
        <v>2</v>
      </c>
      <c r="B2" s="107" t="s">
        <v>1097</v>
      </c>
      <c r="C2" s="107" t="s">
        <v>1098</v>
      </c>
      <c r="D2" s="107" t="s">
        <v>1099</v>
      </c>
      <c r="E2" s="107" t="s">
        <v>1100</v>
      </c>
      <c r="F2" s="107" t="s">
        <v>1101</v>
      </c>
      <c r="G2" s="107" t="s">
        <v>1102</v>
      </c>
      <c r="H2" s="107" t="s">
        <v>1103</v>
      </c>
      <c r="I2" s="107" t="s">
        <v>1104</v>
      </c>
      <c r="J2" s="107" t="s">
        <v>1105</v>
      </c>
      <c r="K2" s="107" t="s">
        <v>1106</v>
      </c>
      <c r="L2" s="107" t="s">
        <v>1107</v>
      </c>
      <c r="M2" s="106"/>
      <c r="N2" s="106"/>
      <c r="O2" s="106"/>
      <c r="P2" s="106"/>
      <c r="Q2" s="106"/>
      <c r="R2" s="106"/>
      <c r="S2" s="106"/>
      <c r="T2" s="106"/>
      <c r="U2" s="106"/>
      <c r="V2" s="106"/>
      <c r="W2" s="106"/>
      <c r="X2" s="106"/>
      <c r="Y2" s="106"/>
      <c r="Z2" s="106"/>
    </row>
    <row r="3">
      <c r="A3" s="107" t="s">
        <v>1108</v>
      </c>
      <c r="B3" s="108" t="s">
        <v>1109</v>
      </c>
      <c r="C3" s="107" t="s">
        <v>1110</v>
      </c>
      <c r="D3" s="107" t="s">
        <v>1111</v>
      </c>
      <c r="E3" s="107" t="s">
        <v>1112</v>
      </c>
      <c r="F3" s="107" t="s">
        <v>1113</v>
      </c>
      <c r="G3" s="107" t="s">
        <v>1114</v>
      </c>
      <c r="H3" s="108" t="s">
        <v>1115</v>
      </c>
      <c r="I3" s="107" t="s">
        <v>1116</v>
      </c>
      <c r="J3" s="107" t="s">
        <v>1117</v>
      </c>
      <c r="K3" s="107" t="s">
        <v>1118</v>
      </c>
      <c r="L3" s="107" t="s">
        <v>1119</v>
      </c>
      <c r="M3" s="106"/>
      <c r="N3" s="106"/>
      <c r="O3" s="106"/>
      <c r="P3" s="106"/>
      <c r="Q3" s="106"/>
      <c r="R3" s="106"/>
      <c r="S3" s="106"/>
      <c r="T3" s="106"/>
      <c r="U3" s="106"/>
      <c r="V3" s="106"/>
      <c r="W3" s="106"/>
      <c r="X3" s="106"/>
      <c r="Y3" s="106"/>
      <c r="Z3" s="106"/>
    </row>
    <row r="4">
      <c r="A4" s="107" t="s">
        <v>1120</v>
      </c>
      <c r="B4" s="107" t="s">
        <v>1121</v>
      </c>
      <c r="C4" s="107" t="s">
        <v>1121</v>
      </c>
      <c r="D4" s="107" t="s">
        <v>1121</v>
      </c>
      <c r="E4" s="107" t="s">
        <v>1121</v>
      </c>
      <c r="F4" s="107" t="s">
        <v>1121</v>
      </c>
      <c r="G4" s="107" t="s">
        <v>1121</v>
      </c>
      <c r="H4" s="107" t="s">
        <v>1121</v>
      </c>
      <c r="I4" s="107" t="s">
        <v>1121</v>
      </c>
      <c r="J4" s="107" t="s">
        <v>1121</v>
      </c>
      <c r="K4" s="107" t="s">
        <v>1121</v>
      </c>
      <c r="L4" s="107" t="s">
        <v>1121</v>
      </c>
      <c r="M4" s="106"/>
      <c r="N4" s="106"/>
      <c r="O4" s="106"/>
      <c r="P4" s="106"/>
      <c r="Q4" s="106"/>
      <c r="R4" s="106"/>
      <c r="S4" s="106"/>
      <c r="T4" s="106"/>
      <c r="U4" s="106"/>
      <c r="V4" s="106"/>
      <c r="W4" s="106"/>
      <c r="X4" s="106"/>
      <c r="Y4" s="106"/>
      <c r="Z4" s="106"/>
    </row>
    <row r="5">
      <c r="A5" s="107" t="s">
        <v>573</v>
      </c>
      <c r="B5" s="108" t="s">
        <v>1122</v>
      </c>
      <c r="C5" s="108" t="s">
        <v>1123</v>
      </c>
      <c r="D5" s="108" t="s">
        <v>1124</v>
      </c>
      <c r="E5" s="108" t="s">
        <v>1125</v>
      </c>
      <c r="F5" s="108" t="s">
        <v>1126</v>
      </c>
      <c r="G5" s="108" t="s">
        <v>1127</v>
      </c>
      <c r="H5" s="109" t="s">
        <v>1128</v>
      </c>
      <c r="I5" s="108" t="s">
        <v>1129</v>
      </c>
      <c r="J5" s="108" t="s">
        <v>1130</v>
      </c>
      <c r="K5" s="109" t="s">
        <v>1131</v>
      </c>
      <c r="L5" s="108" t="s">
        <v>1132</v>
      </c>
      <c r="M5" s="106"/>
      <c r="N5" s="106"/>
      <c r="O5" s="106"/>
      <c r="P5" s="106"/>
      <c r="Q5" s="106"/>
      <c r="R5" s="106"/>
      <c r="S5" s="106"/>
      <c r="T5" s="106"/>
      <c r="U5" s="106"/>
      <c r="V5" s="106"/>
      <c r="W5" s="106"/>
      <c r="X5" s="106"/>
      <c r="Y5" s="106"/>
      <c r="Z5" s="106"/>
    </row>
    <row r="6">
      <c r="A6" s="53" t="s">
        <v>1133</v>
      </c>
      <c r="B6" s="53" t="s">
        <v>1134</v>
      </c>
      <c r="C6" s="53" t="s">
        <v>1135</v>
      </c>
      <c r="D6" s="53" t="s">
        <v>1136</v>
      </c>
      <c r="E6" s="53" t="s">
        <v>1134</v>
      </c>
      <c r="F6" s="53" t="s">
        <v>1137</v>
      </c>
      <c r="G6" s="63"/>
      <c r="H6" s="53" t="s">
        <v>1134</v>
      </c>
      <c r="I6" s="53" t="s">
        <v>1134</v>
      </c>
      <c r="J6" s="53" t="s">
        <v>1134</v>
      </c>
      <c r="K6" s="63"/>
      <c r="L6" s="53" t="s">
        <v>1138</v>
      </c>
      <c r="M6" s="63"/>
      <c r="N6" s="63"/>
      <c r="O6" s="63"/>
      <c r="P6" s="63"/>
      <c r="Q6" s="63"/>
      <c r="R6" s="63"/>
      <c r="S6" s="63"/>
      <c r="T6" s="63"/>
      <c r="U6" s="63"/>
      <c r="V6" s="63"/>
      <c r="W6" s="63"/>
      <c r="X6" s="63"/>
      <c r="Y6" s="63"/>
      <c r="Z6" s="63"/>
    </row>
    <row r="7">
      <c r="A7" s="110" t="s">
        <v>1139</v>
      </c>
      <c r="B7" s="110" t="s">
        <v>1140</v>
      </c>
      <c r="C7" s="110" t="s">
        <v>1141</v>
      </c>
      <c r="D7" s="110" t="s">
        <v>1142</v>
      </c>
      <c r="E7" s="111" t="s">
        <v>1143</v>
      </c>
      <c r="F7" s="110" t="s">
        <v>1144</v>
      </c>
      <c r="G7" s="110" t="s">
        <v>1145</v>
      </c>
      <c r="H7" s="112">
        <v>45969.0</v>
      </c>
      <c r="I7" s="112">
        <v>45969.0</v>
      </c>
      <c r="J7" s="112">
        <v>45985.0</v>
      </c>
      <c r="K7" s="106"/>
      <c r="L7" s="106"/>
      <c r="M7" s="106"/>
      <c r="N7" s="106"/>
      <c r="O7" s="106"/>
      <c r="P7" s="106"/>
      <c r="Q7" s="106"/>
      <c r="R7" s="106"/>
      <c r="S7" s="106"/>
      <c r="T7" s="106"/>
      <c r="U7" s="106"/>
      <c r="V7" s="106"/>
      <c r="W7" s="106"/>
      <c r="X7" s="106"/>
      <c r="Y7" s="106"/>
      <c r="Z7" s="106"/>
    </row>
    <row r="8">
      <c r="A8" s="113"/>
      <c r="B8" s="113"/>
      <c r="C8" s="113"/>
      <c r="D8" s="113"/>
      <c r="E8" s="113"/>
      <c r="F8" s="113"/>
      <c r="G8" s="113"/>
      <c r="H8" s="113"/>
      <c r="I8" s="113"/>
      <c r="J8" s="106"/>
      <c r="K8" s="106"/>
      <c r="L8" s="106"/>
      <c r="M8" s="106"/>
      <c r="N8" s="106"/>
      <c r="O8" s="106"/>
      <c r="P8" s="106"/>
      <c r="Q8" s="106"/>
      <c r="R8" s="106"/>
      <c r="S8" s="106"/>
      <c r="T8" s="106"/>
      <c r="U8" s="106"/>
      <c r="V8" s="106"/>
      <c r="W8" s="106"/>
      <c r="X8" s="106"/>
      <c r="Y8" s="106"/>
      <c r="Z8" s="106"/>
    </row>
    <row r="9">
      <c r="A9" s="113"/>
      <c r="B9" s="113"/>
      <c r="C9" s="113"/>
      <c r="D9" s="113"/>
      <c r="E9" s="113"/>
      <c r="F9" s="113"/>
      <c r="G9" s="113"/>
      <c r="H9" s="113"/>
      <c r="I9" s="113"/>
      <c r="J9" s="106"/>
      <c r="K9" s="106"/>
      <c r="L9" s="108" t="s">
        <v>1146</v>
      </c>
      <c r="M9" s="106"/>
      <c r="N9" s="106"/>
      <c r="O9" s="106"/>
      <c r="P9" s="106"/>
      <c r="Q9" s="106"/>
      <c r="R9" s="106"/>
      <c r="S9" s="106"/>
      <c r="T9" s="106"/>
      <c r="U9" s="106"/>
      <c r="V9" s="106"/>
      <c r="W9" s="106"/>
      <c r="X9" s="106"/>
      <c r="Y9" s="106"/>
      <c r="Z9" s="106"/>
    </row>
    <row r="10">
      <c r="A10" s="113"/>
      <c r="B10" s="113"/>
      <c r="C10" s="113"/>
      <c r="D10" s="113"/>
      <c r="E10" s="113"/>
      <c r="F10" s="113"/>
      <c r="G10" s="113"/>
      <c r="H10" s="113"/>
      <c r="I10" s="113"/>
      <c r="J10" s="106"/>
      <c r="K10" s="106"/>
      <c r="L10" s="107"/>
      <c r="M10" s="106"/>
      <c r="N10" s="106"/>
      <c r="O10" s="106"/>
      <c r="P10" s="106"/>
      <c r="Q10" s="106"/>
      <c r="R10" s="106"/>
      <c r="S10" s="106"/>
      <c r="T10" s="106"/>
      <c r="U10" s="106"/>
      <c r="V10" s="106"/>
      <c r="W10" s="106"/>
      <c r="X10" s="106"/>
      <c r="Y10" s="106"/>
      <c r="Z10" s="106"/>
    </row>
    <row r="11">
      <c r="A11" s="105" t="s">
        <v>1147</v>
      </c>
      <c r="G11" s="106"/>
      <c r="L11" s="114"/>
      <c r="N11" s="106"/>
      <c r="O11" s="106"/>
      <c r="P11" s="106"/>
      <c r="Q11" s="106"/>
      <c r="R11" s="106"/>
      <c r="S11" s="106"/>
      <c r="T11" s="106"/>
      <c r="U11" s="106"/>
      <c r="V11" s="106"/>
      <c r="W11" s="106"/>
      <c r="X11" s="106"/>
      <c r="Y11" s="106"/>
      <c r="Z11" s="106"/>
    </row>
    <row r="12">
      <c r="A12" s="107" t="s">
        <v>1108</v>
      </c>
      <c r="B12" s="107" t="s">
        <v>1148</v>
      </c>
      <c r="C12" s="107" t="s">
        <v>1149</v>
      </c>
      <c r="D12" s="107" t="s">
        <v>1150</v>
      </c>
      <c r="E12" s="107" t="s">
        <v>1151</v>
      </c>
      <c r="F12" s="107" t="s">
        <v>1152</v>
      </c>
      <c r="G12" s="113"/>
      <c r="N12" s="106"/>
      <c r="O12" s="106"/>
      <c r="P12" s="106"/>
      <c r="Q12" s="106"/>
      <c r="R12" s="106"/>
      <c r="S12" s="106"/>
      <c r="T12" s="106"/>
      <c r="U12" s="106"/>
      <c r="V12" s="106"/>
      <c r="W12" s="106"/>
      <c r="X12" s="106"/>
      <c r="Y12" s="106"/>
      <c r="Z12" s="106"/>
    </row>
    <row r="13">
      <c r="A13" s="107" t="s">
        <v>2</v>
      </c>
      <c r="B13" s="107" t="s">
        <v>1153</v>
      </c>
      <c r="C13" s="107" t="s">
        <v>1154</v>
      </c>
      <c r="D13" s="107" t="s">
        <v>1155</v>
      </c>
      <c r="E13" s="107" t="s">
        <v>1156</v>
      </c>
      <c r="F13" s="107" t="s">
        <v>1157</v>
      </c>
      <c r="G13" s="106"/>
      <c r="N13" s="106"/>
      <c r="O13" s="106"/>
      <c r="P13" s="106"/>
      <c r="Q13" s="106"/>
      <c r="R13" s="106"/>
      <c r="S13" s="106"/>
      <c r="T13" s="106"/>
      <c r="U13" s="106"/>
      <c r="V13" s="106"/>
      <c r="W13" s="106"/>
      <c r="X13" s="106"/>
      <c r="Y13" s="106"/>
      <c r="Z13" s="106"/>
    </row>
    <row r="14" ht="15.0" customHeight="1">
      <c r="A14" s="107" t="s">
        <v>1158</v>
      </c>
      <c r="B14" s="107" t="s">
        <v>1159</v>
      </c>
      <c r="C14" s="107" t="s">
        <v>1160</v>
      </c>
      <c r="D14" s="107" t="s">
        <v>1161</v>
      </c>
      <c r="E14" s="107" t="s">
        <v>1162</v>
      </c>
      <c r="F14" s="107" t="s">
        <v>1163</v>
      </c>
      <c r="G14" s="106"/>
      <c r="N14" s="106"/>
      <c r="O14" s="106"/>
      <c r="P14" s="106"/>
      <c r="Q14" s="106"/>
      <c r="R14" s="106"/>
      <c r="S14" s="106"/>
      <c r="T14" s="106"/>
      <c r="U14" s="106"/>
      <c r="V14" s="106"/>
      <c r="W14" s="106"/>
      <c r="X14" s="106"/>
      <c r="Y14" s="106"/>
      <c r="Z14" s="106"/>
    </row>
    <row r="15">
      <c r="A15" s="115"/>
      <c r="B15" s="115"/>
      <c r="C15" s="115"/>
      <c r="D15" s="115"/>
      <c r="E15" s="115"/>
      <c r="F15" s="115"/>
      <c r="G15" s="106"/>
      <c r="N15" s="106"/>
      <c r="O15" s="106"/>
      <c r="P15" s="106"/>
      <c r="Q15" s="106"/>
      <c r="R15" s="106"/>
      <c r="S15" s="106"/>
      <c r="T15" s="106"/>
      <c r="U15" s="106"/>
      <c r="V15" s="106"/>
      <c r="W15" s="106"/>
      <c r="X15" s="106"/>
      <c r="Y15" s="106"/>
      <c r="Z15" s="106"/>
    </row>
    <row r="16">
      <c r="A16" s="107" t="s">
        <v>1108</v>
      </c>
      <c r="B16" s="107" t="s">
        <v>1164</v>
      </c>
      <c r="C16" s="107" t="s">
        <v>1165</v>
      </c>
      <c r="D16" s="107" t="s">
        <v>1166</v>
      </c>
      <c r="E16" s="107" t="s">
        <v>1167</v>
      </c>
      <c r="F16" s="113"/>
      <c r="G16" s="106"/>
      <c r="N16" s="106"/>
      <c r="O16" s="106"/>
      <c r="P16" s="106"/>
      <c r="Q16" s="106"/>
      <c r="R16" s="106"/>
      <c r="S16" s="106"/>
      <c r="T16" s="106"/>
      <c r="U16" s="106"/>
      <c r="V16" s="106"/>
      <c r="W16" s="106"/>
      <c r="X16" s="106"/>
      <c r="Y16" s="106"/>
      <c r="Z16" s="106"/>
    </row>
    <row r="17">
      <c r="A17" s="107" t="s">
        <v>2</v>
      </c>
      <c r="B17" s="107" t="s">
        <v>1168</v>
      </c>
      <c r="C17" s="107" t="s">
        <v>1169</v>
      </c>
      <c r="D17" s="107" t="s">
        <v>1170</v>
      </c>
      <c r="E17" s="107" t="s">
        <v>1171</v>
      </c>
      <c r="F17" s="106"/>
      <c r="G17" s="106"/>
      <c r="N17" s="106"/>
      <c r="O17" s="106"/>
      <c r="P17" s="106"/>
      <c r="Q17" s="106"/>
      <c r="R17" s="106"/>
      <c r="S17" s="106"/>
      <c r="T17" s="106"/>
      <c r="U17" s="106"/>
      <c r="V17" s="106"/>
      <c r="W17" s="106"/>
      <c r="X17" s="106"/>
      <c r="Y17" s="106"/>
      <c r="Z17" s="106"/>
    </row>
    <row r="18">
      <c r="A18" s="107" t="s">
        <v>1158</v>
      </c>
      <c r="B18" s="107" t="s">
        <v>1172</v>
      </c>
      <c r="C18" s="107" t="s">
        <v>1173</v>
      </c>
      <c r="D18" s="107" t="s">
        <v>1174</v>
      </c>
      <c r="E18" s="107" t="s">
        <v>1175</v>
      </c>
      <c r="F18" s="106"/>
      <c r="G18" s="113"/>
      <c r="N18" s="106"/>
      <c r="O18" s="106"/>
      <c r="P18" s="106"/>
      <c r="Q18" s="106"/>
      <c r="R18" s="106"/>
      <c r="S18" s="106"/>
      <c r="T18" s="106"/>
      <c r="U18" s="106"/>
      <c r="V18" s="106"/>
      <c r="W18" s="106"/>
      <c r="X18" s="106"/>
      <c r="Y18" s="106"/>
      <c r="Z18" s="106"/>
    </row>
    <row r="19">
      <c r="G19" s="113"/>
      <c r="H19" s="113"/>
      <c r="I19" s="113"/>
      <c r="J19" s="106"/>
      <c r="K19" s="106"/>
      <c r="L19" s="116"/>
      <c r="M19" s="106"/>
      <c r="N19" s="106"/>
      <c r="O19" s="106"/>
      <c r="P19" s="106"/>
      <c r="Q19" s="106"/>
      <c r="R19" s="106"/>
      <c r="S19" s="106"/>
      <c r="T19" s="106"/>
      <c r="U19" s="106"/>
      <c r="V19" s="106"/>
      <c r="W19" s="106"/>
      <c r="X19" s="106"/>
      <c r="Y19" s="106"/>
      <c r="Z19" s="106"/>
    </row>
    <row r="20">
      <c r="A20" s="105" t="s">
        <v>10</v>
      </c>
      <c r="G20" s="113"/>
      <c r="H20" s="113"/>
      <c r="I20" s="113"/>
      <c r="J20" s="106"/>
      <c r="K20" s="106"/>
      <c r="L20" s="116"/>
      <c r="M20" s="106"/>
      <c r="N20" s="106"/>
      <c r="O20" s="106"/>
      <c r="P20" s="106"/>
      <c r="Q20" s="106"/>
      <c r="R20" s="106"/>
      <c r="S20" s="106"/>
      <c r="T20" s="106"/>
      <c r="U20" s="106"/>
      <c r="V20" s="106"/>
      <c r="W20" s="106"/>
      <c r="X20" s="106"/>
      <c r="Y20" s="106"/>
      <c r="Z20" s="106"/>
    </row>
    <row r="21">
      <c r="A21" s="107" t="s">
        <v>1108</v>
      </c>
      <c r="B21" s="107" t="s">
        <v>1149</v>
      </c>
      <c r="C21" s="107" t="s">
        <v>1165</v>
      </c>
      <c r="D21" s="107" t="s">
        <v>1176</v>
      </c>
      <c r="E21" s="107" t="s">
        <v>937</v>
      </c>
      <c r="F21" s="106"/>
      <c r="H21" s="107"/>
      <c r="I21" s="107"/>
      <c r="J21" s="106"/>
      <c r="K21" s="106"/>
      <c r="L21" s="116"/>
      <c r="M21" s="106"/>
      <c r="N21" s="106"/>
      <c r="O21" s="106"/>
      <c r="P21" s="106"/>
      <c r="Q21" s="106"/>
      <c r="R21" s="106"/>
      <c r="S21" s="106"/>
      <c r="T21" s="106"/>
      <c r="U21" s="106"/>
      <c r="V21" s="106"/>
      <c r="W21" s="106"/>
      <c r="X21" s="106"/>
      <c r="Y21" s="106"/>
      <c r="Z21" s="106"/>
    </row>
    <row r="22">
      <c r="A22" s="107" t="s">
        <v>1108</v>
      </c>
      <c r="B22" s="107" t="s">
        <v>1177</v>
      </c>
      <c r="C22" s="107" t="s">
        <v>1178</v>
      </c>
      <c r="D22" s="107" t="s">
        <v>1179</v>
      </c>
      <c r="E22" s="107" t="s">
        <v>1180</v>
      </c>
      <c r="F22" s="107" t="s">
        <v>1181</v>
      </c>
      <c r="G22" s="107"/>
      <c r="H22" s="107"/>
      <c r="I22" s="107"/>
      <c r="J22" s="106"/>
      <c r="K22" s="106"/>
      <c r="L22" s="116"/>
      <c r="M22" s="106"/>
      <c r="N22" s="106"/>
      <c r="O22" s="106"/>
      <c r="P22" s="106"/>
      <c r="Q22" s="106"/>
      <c r="R22" s="106"/>
      <c r="S22" s="106"/>
      <c r="T22" s="106"/>
      <c r="U22" s="106"/>
      <c r="V22" s="106"/>
      <c r="W22" s="106"/>
      <c r="X22" s="106"/>
      <c r="Y22" s="106"/>
      <c r="Z22" s="106"/>
    </row>
    <row r="23">
      <c r="A23" s="43" t="s">
        <v>1108</v>
      </c>
      <c r="B23" s="107" t="s">
        <v>1182</v>
      </c>
      <c r="C23" s="107" t="s">
        <v>1183</v>
      </c>
      <c r="D23" s="110" t="s">
        <v>1184</v>
      </c>
      <c r="E23" s="108" t="s">
        <v>1185</v>
      </c>
      <c r="F23" s="107" t="s">
        <v>1186</v>
      </c>
      <c r="G23" s="107"/>
      <c r="H23" s="107"/>
      <c r="I23" s="107"/>
      <c r="J23" s="106"/>
      <c r="K23" s="106"/>
      <c r="L23" s="116"/>
      <c r="M23" s="106"/>
      <c r="N23" s="106"/>
      <c r="O23" s="106"/>
      <c r="P23" s="106"/>
      <c r="Q23" s="106"/>
      <c r="R23" s="106"/>
      <c r="S23" s="106"/>
      <c r="T23" s="106"/>
      <c r="U23" s="106"/>
      <c r="V23" s="106"/>
      <c r="W23" s="106"/>
      <c r="X23" s="106"/>
      <c r="Y23" s="106"/>
      <c r="Z23" s="106"/>
    </row>
    <row r="24">
      <c r="A24" s="106"/>
      <c r="B24" s="117"/>
      <c r="D24" s="113"/>
      <c r="E24" s="113"/>
      <c r="F24" s="113"/>
      <c r="G24" s="106"/>
      <c r="H24" s="106"/>
      <c r="I24" s="106"/>
      <c r="J24" s="106"/>
      <c r="K24" s="106"/>
      <c r="L24" s="106"/>
      <c r="M24" s="106"/>
      <c r="N24" s="106"/>
      <c r="O24" s="106"/>
      <c r="P24" s="106"/>
      <c r="Q24" s="106"/>
      <c r="R24" s="106"/>
      <c r="S24" s="106"/>
      <c r="T24" s="106"/>
      <c r="U24" s="106"/>
      <c r="V24" s="106"/>
      <c r="W24" s="106"/>
      <c r="X24" s="106"/>
      <c r="Y24" s="106"/>
      <c r="Z24" s="106"/>
    </row>
    <row r="25">
      <c r="A25" s="105" t="s">
        <v>1187</v>
      </c>
      <c r="G25" s="118"/>
      <c r="H25" s="106"/>
      <c r="I25" s="106"/>
      <c r="J25" s="106"/>
      <c r="K25" s="106"/>
      <c r="L25" s="106"/>
      <c r="M25" s="106"/>
      <c r="N25" s="106"/>
      <c r="O25" s="106"/>
      <c r="P25" s="106"/>
      <c r="Q25" s="106"/>
      <c r="R25" s="106"/>
      <c r="S25" s="106"/>
      <c r="T25" s="106"/>
      <c r="U25" s="106"/>
      <c r="V25" s="106"/>
      <c r="W25" s="106"/>
      <c r="X25" s="106"/>
      <c r="Y25" s="106"/>
      <c r="Z25" s="106"/>
    </row>
    <row r="26">
      <c r="B26" s="43" t="s">
        <v>1188</v>
      </c>
      <c r="C26" s="119" t="s">
        <v>1189</v>
      </c>
      <c r="D26" s="107"/>
      <c r="E26" s="107"/>
      <c r="F26" s="120"/>
      <c r="G26" s="118"/>
      <c r="H26" s="106"/>
      <c r="I26" s="106"/>
      <c r="J26" s="106"/>
      <c r="K26" s="106"/>
      <c r="L26" s="106"/>
      <c r="M26" s="106"/>
      <c r="N26" s="106"/>
      <c r="O26" s="106"/>
      <c r="P26" s="106"/>
      <c r="Q26" s="106"/>
      <c r="R26" s="106"/>
      <c r="S26" s="106"/>
      <c r="T26" s="106"/>
      <c r="U26" s="106"/>
      <c r="V26" s="106"/>
      <c r="W26" s="106"/>
      <c r="X26" s="106"/>
      <c r="Y26" s="106"/>
      <c r="Z26" s="106"/>
    </row>
    <row r="27">
      <c r="A27" s="107" t="s">
        <v>1190</v>
      </c>
      <c r="B27" s="43" t="s">
        <v>484</v>
      </c>
      <c r="C27" s="43" t="s">
        <v>1191</v>
      </c>
      <c r="D27" s="107"/>
      <c r="E27" s="107"/>
      <c r="F27" s="107"/>
      <c r="G27" s="106"/>
      <c r="H27" s="106"/>
      <c r="I27" s="106"/>
      <c r="J27" s="106"/>
      <c r="K27" s="106"/>
      <c r="L27" s="106"/>
      <c r="M27" s="106"/>
      <c r="N27" s="106"/>
      <c r="O27" s="106"/>
      <c r="P27" s="106"/>
      <c r="Q27" s="106"/>
      <c r="R27" s="106"/>
      <c r="S27" s="106"/>
      <c r="T27" s="106"/>
      <c r="U27" s="106"/>
      <c r="V27" s="106"/>
      <c r="W27" s="106"/>
      <c r="X27" s="106"/>
      <c r="Y27" s="106"/>
      <c r="Z27" s="106"/>
    </row>
    <row r="28">
      <c r="A28" s="106"/>
      <c r="B28" s="107"/>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row>
    <row r="29">
      <c r="A29" s="105" t="s">
        <v>1192</v>
      </c>
      <c r="G29" s="106"/>
      <c r="H29" s="106"/>
      <c r="I29" s="106"/>
      <c r="J29" s="106"/>
      <c r="K29" s="106"/>
      <c r="L29" s="106"/>
      <c r="M29" s="106"/>
      <c r="N29" s="106"/>
      <c r="O29" s="106"/>
      <c r="P29" s="106"/>
      <c r="Q29" s="106"/>
      <c r="R29" s="106"/>
      <c r="S29" s="106"/>
      <c r="T29" s="106"/>
      <c r="U29" s="106"/>
      <c r="V29" s="106"/>
      <c r="W29" s="106"/>
      <c r="X29" s="106"/>
      <c r="Y29" s="106"/>
      <c r="Z29" s="106"/>
    </row>
    <row r="30">
      <c r="A30" s="107" t="s">
        <v>1190</v>
      </c>
      <c r="B30" s="107" t="s">
        <v>1193</v>
      </c>
      <c r="E30" s="106"/>
      <c r="F30" s="106"/>
      <c r="G30" s="106"/>
      <c r="H30" s="106"/>
      <c r="I30" s="106"/>
      <c r="J30" s="106"/>
      <c r="K30" s="106"/>
      <c r="L30" s="106"/>
      <c r="M30" s="106"/>
      <c r="N30" s="106"/>
      <c r="O30" s="106"/>
      <c r="P30" s="106"/>
      <c r="Q30" s="106"/>
      <c r="R30" s="106"/>
      <c r="S30" s="106"/>
      <c r="T30" s="106"/>
      <c r="U30" s="106"/>
      <c r="V30" s="106"/>
      <c r="W30" s="106"/>
      <c r="X30" s="106"/>
      <c r="Y30" s="106"/>
      <c r="Z30" s="106"/>
    </row>
    <row r="31">
      <c r="A31" s="106"/>
      <c r="B31" s="107"/>
      <c r="E31" s="106"/>
      <c r="F31" s="106"/>
      <c r="G31" s="106"/>
      <c r="H31" s="106"/>
      <c r="I31" s="106"/>
      <c r="J31" s="106"/>
      <c r="K31" s="106"/>
      <c r="L31" s="106"/>
      <c r="M31" s="106"/>
      <c r="N31" s="106"/>
      <c r="O31" s="106"/>
      <c r="P31" s="106"/>
      <c r="Q31" s="106"/>
      <c r="R31" s="106"/>
      <c r="S31" s="106"/>
      <c r="T31" s="106"/>
      <c r="U31" s="106"/>
      <c r="V31" s="106"/>
      <c r="W31" s="106"/>
      <c r="X31" s="106"/>
      <c r="Y31" s="106"/>
      <c r="Z31" s="106"/>
    </row>
    <row r="32">
      <c r="A32" s="105" t="s">
        <v>530</v>
      </c>
      <c r="G32" s="106"/>
      <c r="H32" s="106"/>
      <c r="I32" s="106"/>
      <c r="J32" s="106"/>
      <c r="K32" s="106"/>
      <c r="L32" s="106"/>
      <c r="M32" s="106"/>
      <c r="N32" s="106"/>
      <c r="O32" s="106"/>
      <c r="P32" s="106"/>
      <c r="Q32" s="106"/>
      <c r="R32" s="106"/>
      <c r="S32" s="106"/>
      <c r="T32" s="106"/>
      <c r="U32" s="106"/>
      <c r="V32" s="106"/>
      <c r="W32" s="106"/>
      <c r="X32" s="106"/>
      <c r="Y32" s="106"/>
      <c r="Z32" s="106"/>
    </row>
    <row r="33">
      <c r="A33" s="107" t="s">
        <v>1194</v>
      </c>
      <c r="B33" s="121">
        <v>0.0</v>
      </c>
      <c r="D33" s="43" t="s">
        <v>1195</v>
      </c>
      <c r="J33" s="106"/>
      <c r="K33" s="106"/>
      <c r="L33" s="106"/>
      <c r="M33" s="106"/>
      <c r="N33" s="106"/>
      <c r="O33" s="106"/>
      <c r="P33" s="106"/>
      <c r="Q33" s="106"/>
      <c r="R33" s="106"/>
      <c r="S33" s="106"/>
      <c r="T33" s="106"/>
      <c r="U33" s="106"/>
      <c r="V33" s="106"/>
      <c r="W33" s="106"/>
      <c r="X33" s="106"/>
      <c r="Y33" s="106"/>
      <c r="Z33" s="106"/>
    </row>
    <row r="34">
      <c r="A34" s="107" t="s">
        <v>1108</v>
      </c>
      <c r="B34" s="107" t="s">
        <v>1196</v>
      </c>
      <c r="C34" s="43" t="s">
        <v>1197</v>
      </c>
      <c r="D34" s="43" t="s">
        <v>1198</v>
      </c>
      <c r="J34" s="106"/>
      <c r="K34" s="106"/>
      <c r="L34" s="106"/>
      <c r="M34" s="106"/>
      <c r="N34" s="106"/>
      <c r="O34" s="106"/>
      <c r="P34" s="106"/>
      <c r="Q34" s="106"/>
      <c r="R34" s="106"/>
      <c r="S34" s="106"/>
      <c r="T34" s="106"/>
      <c r="U34" s="106"/>
      <c r="V34" s="106"/>
      <c r="W34" s="106"/>
      <c r="X34" s="106"/>
      <c r="Y34" s="106"/>
      <c r="Z34" s="106"/>
    </row>
    <row r="35">
      <c r="A35" s="107" t="s">
        <v>2</v>
      </c>
      <c r="B35" s="107" t="s">
        <v>1199</v>
      </c>
      <c r="C35" s="43" t="s">
        <v>1200</v>
      </c>
      <c r="D35" s="43" t="s">
        <v>1201</v>
      </c>
      <c r="J35" s="106"/>
      <c r="K35" s="106"/>
      <c r="L35" s="106"/>
      <c r="M35" s="106"/>
      <c r="N35" s="106"/>
      <c r="O35" s="106"/>
      <c r="P35" s="106"/>
      <c r="Q35" s="106"/>
      <c r="R35" s="106"/>
      <c r="S35" s="106"/>
      <c r="T35" s="106"/>
      <c r="U35" s="106"/>
      <c r="V35" s="106"/>
      <c r="W35" s="106"/>
      <c r="X35" s="106"/>
      <c r="Y35" s="106"/>
      <c r="Z35" s="106"/>
    </row>
    <row r="36">
      <c r="A36" s="107" t="s">
        <v>1158</v>
      </c>
      <c r="B36" s="107" t="s">
        <v>1202</v>
      </c>
      <c r="C36" s="43" t="s">
        <v>1203</v>
      </c>
      <c r="D36" s="43" t="s">
        <v>1204</v>
      </c>
      <c r="J36" s="106"/>
      <c r="K36" s="106"/>
      <c r="L36" s="106"/>
      <c r="M36" s="106"/>
      <c r="N36" s="106"/>
      <c r="O36" s="106"/>
      <c r="P36" s="106"/>
      <c r="Q36" s="106"/>
      <c r="R36" s="106"/>
      <c r="S36" s="106"/>
      <c r="T36" s="106"/>
      <c r="U36" s="106"/>
      <c r="V36" s="106"/>
      <c r="W36" s="106"/>
      <c r="X36" s="106"/>
      <c r="Y36" s="106"/>
      <c r="Z36" s="106"/>
    </row>
    <row r="37">
      <c r="A37" s="122"/>
      <c r="B37" s="123"/>
      <c r="C37" s="123"/>
      <c r="D37" s="123"/>
      <c r="E37" s="123"/>
      <c r="F37" s="123"/>
      <c r="G37" s="106"/>
      <c r="H37" s="106"/>
      <c r="I37" s="106"/>
      <c r="J37" s="106"/>
      <c r="K37" s="106"/>
      <c r="L37" s="106"/>
      <c r="M37" s="107" t="s">
        <v>1205</v>
      </c>
      <c r="U37" s="106"/>
      <c r="V37" s="106"/>
      <c r="W37" s="106"/>
      <c r="X37" s="106"/>
      <c r="Y37" s="106"/>
      <c r="Z37" s="106"/>
    </row>
    <row r="38">
      <c r="A38" s="107" t="s">
        <v>1194</v>
      </c>
      <c r="B38" s="121">
        <v>1.0</v>
      </c>
      <c r="C38" s="121">
        <v>2.0</v>
      </c>
      <c r="D38" s="121">
        <v>3.0</v>
      </c>
      <c r="E38" s="121">
        <v>4.0</v>
      </c>
      <c r="F38" s="121">
        <v>5.0</v>
      </c>
      <c r="G38" s="121">
        <v>6.0</v>
      </c>
      <c r="H38" s="121">
        <v>7.0</v>
      </c>
      <c r="I38" s="121">
        <v>8.0</v>
      </c>
      <c r="J38" s="106"/>
      <c r="K38" s="106"/>
      <c r="L38" s="106"/>
      <c r="M38" s="107" t="s">
        <v>1206</v>
      </c>
      <c r="N38" s="106"/>
      <c r="O38" s="106"/>
      <c r="P38" s="106"/>
      <c r="Q38" s="106"/>
      <c r="R38" s="106"/>
      <c r="S38" s="106"/>
      <c r="T38" s="106"/>
      <c r="U38" s="106"/>
      <c r="V38" s="106"/>
      <c r="W38" s="106"/>
      <c r="X38" s="106"/>
      <c r="Y38" s="106"/>
      <c r="Z38" s="106"/>
    </row>
    <row r="39">
      <c r="A39" s="107" t="s">
        <v>1108</v>
      </c>
      <c r="B39" s="107" t="s">
        <v>1205</v>
      </c>
      <c r="C39" s="107" t="s">
        <v>1206</v>
      </c>
      <c r="D39" s="43" t="s">
        <v>1207</v>
      </c>
      <c r="E39" s="107" t="s">
        <v>1208</v>
      </c>
      <c r="F39" s="43" t="s">
        <v>1209</v>
      </c>
      <c r="G39" s="107" t="s">
        <v>1210</v>
      </c>
      <c r="H39" s="43" t="s">
        <v>1211</v>
      </c>
      <c r="I39" s="107" t="s">
        <v>1212</v>
      </c>
      <c r="J39" s="106"/>
      <c r="K39" s="106"/>
      <c r="L39" s="106"/>
      <c r="M39" s="43" t="s">
        <v>1207</v>
      </c>
      <c r="N39" s="106"/>
      <c r="O39" s="106"/>
      <c r="P39" s="106"/>
      <c r="Q39" s="106"/>
      <c r="R39" s="106"/>
      <c r="S39" s="106"/>
      <c r="T39" s="106"/>
      <c r="U39" s="106"/>
      <c r="V39" s="106"/>
      <c r="W39" s="106"/>
      <c r="X39" s="106"/>
      <c r="Y39" s="106"/>
      <c r="Z39" s="106"/>
    </row>
    <row r="40">
      <c r="A40" s="107" t="s">
        <v>2</v>
      </c>
      <c r="B40" s="107" t="s">
        <v>1213</v>
      </c>
      <c r="C40" s="107" t="s">
        <v>1214</v>
      </c>
      <c r="D40" s="43" t="s">
        <v>1215</v>
      </c>
      <c r="E40" s="107" t="s">
        <v>1216</v>
      </c>
      <c r="F40" s="43" t="s">
        <v>1217</v>
      </c>
      <c r="G40" s="107" t="s">
        <v>1218</v>
      </c>
      <c r="H40" s="43" t="s">
        <v>1219</v>
      </c>
      <c r="I40" s="107" t="s">
        <v>1220</v>
      </c>
      <c r="J40" s="106"/>
      <c r="K40" s="106"/>
      <c r="L40" s="106"/>
      <c r="M40" s="107" t="s">
        <v>1208</v>
      </c>
      <c r="N40" s="106"/>
      <c r="O40" s="106"/>
      <c r="P40" s="106"/>
      <c r="Q40" s="106"/>
      <c r="R40" s="106"/>
      <c r="S40" s="106"/>
      <c r="T40" s="106"/>
      <c r="U40" s="106"/>
      <c r="V40" s="106"/>
      <c r="W40" s="106"/>
      <c r="X40" s="106"/>
      <c r="Y40" s="106"/>
      <c r="Z40" s="106"/>
    </row>
    <row r="41">
      <c r="A41" s="107" t="s">
        <v>3</v>
      </c>
      <c r="B41" s="107" t="s">
        <v>1221</v>
      </c>
      <c r="C41" s="107" t="s">
        <v>1222</v>
      </c>
      <c r="D41" s="43" t="s">
        <v>1223</v>
      </c>
      <c r="E41" s="107" t="s">
        <v>1224</v>
      </c>
      <c r="F41" s="43" t="s">
        <v>1225</v>
      </c>
      <c r="G41" s="107" t="s">
        <v>1226</v>
      </c>
      <c r="H41" s="43" t="s">
        <v>1227</v>
      </c>
      <c r="I41" s="107" t="s">
        <v>1228</v>
      </c>
      <c r="J41" s="106"/>
      <c r="K41" s="106"/>
      <c r="L41" s="106"/>
      <c r="M41" s="43" t="s">
        <v>1209</v>
      </c>
      <c r="O41" s="106"/>
      <c r="P41" s="106"/>
      <c r="Q41" s="106"/>
      <c r="R41" s="106"/>
      <c r="S41" s="106"/>
      <c r="T41" s="106"/>
      <c r="U41" s="106"/>
      <c r="V41" s="106"/>
      <c r="W41" s="106"/>
      <c r="X41" s="106"/>
      <c r="Y41" s="106"/>
      <c r="Z41" s="106"/>
    </row>
    <row r="42">
      <c r="A42" s="107" t="s">
        <v>1158</v>
      </c>
      <c r="B42" s="107" t="s">
        <v>1229</v>
      </c>
      <c r="C42" s="107" t="s">
        <v>1230</v>
      </c>
      <c r="D42" s="43" t="s">
        <v>1231</v>
      </c>
      <c r="E42" s="107" t="s">
        <v>1232</v>
      </c>
      <c r="F42" s="43" t="s">
        <v>1233</v>
      </c>
      <c r="G42" s="107" t="s">
        <v>1234</v>
      </c>
      <c r="H42" s="43" t="s">
        <v>1235</v>
      </c>
      <c r="I42" s="107" t="s">
        <v>1236</v>
      </c>
      <c r="J42" s="106"/>
      <c r="K42" s="106"/>
      <c r="L42" s="106"/>
      <c r="M42" s="107" t="s">
        <v>1210</v>
      </c>
      <c r="N42" s="106"/>
      <c r="O42" s="106"/>
      <c r="P42" s="106"/>
      <c r="Q42" s="106"/>
      <c r="R42" s="106"/>
      <c r="S42" s="106"/>
      <c r="T42" s="106"/>
      <c r="U42" s="106"/>
      <c r="V42" s="106"/>
      <c r="W42" s="106"/>
      <c r="X42" s="106"/>
      <c r="Y42" s="106"/>
      <c r="Z42" s="106"/>
    </row>
    <row r="43">
      <c r="A43" s="123"/>
      <c r="B43" s="123"/>
      <c r="C43" s="123"/>
      <c r="D43" s="123"/>
      <c r="E43" s="123"/>
      <c r="F43" s="123"/>
      <c r="G43" s="106"/>
      <c r="H43" s="106"/>
      <c r="I43" s="106"/>
      <c r="J43" s="106"/>
      <c r="K43" s="106"/>
      <c r="L43" s="106"/>
      <c r="M43" s="43" t="s">
        <v>1211</v>
      </c>
      <c r="N43" s="106"/>
      <c r="O43" s="106"/>
      <c r="P43" s="106"/>
      <c r="Q43" s="106"/>
      <c r="R43" s="106"/>
      <c r="S43" s="106"/>
      <c r="T43" s="106"/>
      <c r="U43" s="106"/>
      <c r="V43" s="106"/>
      <c r="W43" s="106"/>
      <c r="X43" s="106"/>
      <c r="Y43" s="106"/>
      <c r="Z43" s="106"/>
    </row>
    <row r="44">
      <c r="A44" s="107" t="s">
        <v>1194</v>
      </c>
      <c r="B44" s="121">
        <v>9.0</v>
      </c>
      <c r="C44" s="121">
        <v>10.0</v>
      </c>
      <c r="D44" s="121">
        <v>11.0</v>
      </c>
      <c r="E44" s="121">
        <v>12.0</v>
      </c>
      <c r="F44" s="121">
        <v>13.0</v>
      </c>
      <c r="G44" s="121">
        <v>14.0</v>
      </c>
      <c r="H44" s="121">
        <v>15.0</v>
      </c>
      <c r="I44" s="121">
        <v>16.0</v>
      </c>
      <c r="J44" s="106"/>
      <c r="K44" s="106"/>
      <c r="L44" s="106"/>
      <c r="M44" s="107" t="s">
        <v>1212</v>
      </c>
      <c r="N44" s="106"/>
      <c r="O44" s="106"/>
      <c r="P44" s="106"/>
      <c r="Q44" s="106"/>
      <c r="R44" s="106"/>
      <c r="S44" s="106"/>
      <c r="T44" s="106"/>
      <c r="U44" s="106"/>
      <c r="V44" s="106"/>
      <c r="W44" s="106"/>
      <c r="X44" s="106"/>
      <c r="Y44" s="106"/>
      <c r="Z44" s="106"/>
    </row>
    <row r="45">
      <c r="A45" s="107" t="s">
        <v>1108</v>
      </c>
      <c r="B45" s="107" t="s">
        <v>1237</v>
      </c>
      <c r="C45" s="107" t="s">
        <v>1238</v>
      </c>
      <c r="D45" s="43" t="s">
        <v>1239</v>
      </c>
      <c r="E45" s="107" t="s">
        <v>1240</v>
      </c>
      <c r="F45" s="43" t="s">
        <v>1241</v>
      </c>
      <c r="G45" s="107" t="s">
        <v>1242</v>
      </c>
      <c r="H45" s="107" t="s">
        <v>1243</v>
      </c>
      <c r="I45" s="107" t="s">
        <v>1244</v>
      </c>
      <c r="J45" s="106"/>
      <c r="K45" s="106"/>
      <c r="L45" s="106"/>
      <c r="M45" s="106"/>
      <c r="N45" s="106"/>
      <c r="O45" s="106"/>
      <c r="P45" s="106"/>
      <c r="Q45" s="106"/>
      <c r="R45" s="106"/>
      <c r="S45" s="106"/>
      <c r="T45" s="106"/>
      <c r="U45" s="106"/>
      <c r="V45" s="106"/>
      <c r="W45" s="106"/>
      <c r="X45" s="106"/>
      <c r="Y45" s="106"/>
      <c r="Z45" s="106"/>
    </row>
    <row r="46">
      <c r="A46" s="107" t="s">
        <v>2</v>
      </c>
      <c r="B46" s="107" t="s">
        <v>1245</v>
      </c>
      <c r="C46" s="107" t="s">
        <v>1246</v>
      </c>
      <c r="D46" s="43" t="s">
        <v>1247</v>
      </c>
      <c r="E46" s="107" t="s">
        <v>1248</v>
      </c>
      <c r="F46" s="43" t="s">
        <v>1249</v>
      </c>
      <c r="G46" s="107" t="s">
        <v>1250</v>
      </c>
      <c r="H46" s="107" t="s">
        <v>1251</v>
      </c>
      <c r="I46" s="107" t="s">
        <v>1252</v>
      </c>
      <c r="J46" s="106"/>
      <c r="K46" s="106"/>
      <c r="L46" s="106"/>
      <c r="M46" s="106"/>
      <c r="N46" s="106"/>
      <c r="O46" s="106"/>
      <c r="P46" s="106"/>
      <c r="Q46" s="106"/>
      <c r="R46" s="106"/>
      <c r="S46" s="106"/>
      <c r="T46" s="106"/>
      <c r="U46" s="106"/>
      <c r="V46" s="106"/>
      <c r="W46" s="106"/>
      <c r="X46" s="106"/>
      <c r="Y46" s="106"/>
      <c r="Z46" s="106"/>
    </row>
    <row r="47">
      <c r="A47" s="107" t="s">
        <v>3</v>
      </c>
      <c r="B47" s="107" t="s">
        <v>1253</v>
      </c>
      <c r="C47" s="107" t="s">
        <v>1254</v>
      </c>
      <c r="D47" s="43" t="s">
        <v>1255</v>
      </c>
      <c r="E47" s="107" t="s">
        <v>1256</v>
      </c>
      <c r="F47" s="43" t="s">
        <v>1257</v>
      </c>
      <c r="G47" s="107" t="s">
        <v>1258</v>
      </c>
      <c r="H47" s="107" t="s">
        <v>1259</v>
      </c>
      <c r="I47" s="107" t="s">
        <v>1260</v>
      </c>
      <c r="J47" s="106"/>
      <c r="K47" s="106"/>
      <c r="L47" s="106"/>
      <c r="M47" s="106"/>
      <c r="N47" s="106"/>
      <c r="O47" s="106"/>
      <c r="P47" s="106"/>
      <c r="Q47" s="106"/>
      <c r="R47" s="106"/>
      <c r="S47" s="106"/>
      <c r="T47" s="106"/>
      <c r="U47" s="106"/>
      <c r="V47" s="106"/>
      <c r="W47" s="106"/>
      <c r="X47" s="106"/>
      <c r="Y47" s="106"/>
      <c r="Z47" s="106"/>
    </row>
    <row r="48">
      <c r="A48" s="107" t="s">
        <v>1158</v>
      </c>
      <c r="B48" s="107" t="s">
        <v>1261</v>
      </c>
      <c r="C48" s="107" t="s">
        <v>1262</v>
      </c>
      <c r="D48" s="43" t="s">
        <v>1263</v>
      </c>
      <c r="E48" s="107" t="s">
        <v>1264</v>
      </c>
      <c r="F48" s="43" t="s">
        <v>1265</v>
      </c>
      <c r="G48" s="107" t="s">
        <v>1266</v>
      </c>
      <c r="H48" s="107" t="s">
        <v>1267</v>
      </c>
      <c r="I48" s="107" t="s">
        <v>1268</v>
      </c>
      <c r="J48" s="106"/>
      <c r="K48" s="106"/>
      <c r="L48" s="106"/>
      <c r="M48" s="106"/>
      <c r="N48" s="106"/>
      <c r="O48" s="106"/>
      <c r="P48" s="106"/>
      <c r="Q48" s="106"/>
      <c r="R48" s="106"/>
      <c r="S48" s="106"/>
      <c r="T48" s="106"/>
      <c r="U48" s="106"/>
      <c r="V48" s="106"/>
      <c r="W48" s="106"/>
      <c r="X48" s="106"/>
      <c r="Y48" s="106"/>
      <c r="Z48" s="106"/>
    </row>
    <row r="49">
      <c r="J49" s="106"/>
      <c r="K49" s="106"/>
      <c r="L49" s="106"/>
      <c r="M49" s="106"/>
      <c r="N49" s="106"/>
      <c r="O49" s="106"/>
      <c r="P49" s="106"/>
      <c r="Q49" s="106"/>
      <c r="R49" s="106"/>
      <c r="S49" s="106"/>
      <c r="T49" s="106"/>
      <c r="U49" s="106"/>
      <c r="V49" s="106"/>
      <c r="W49" s="106"/>
      <c r="X49" s="106"/>
      <c r="Y49" s="106"/>
      <c r="Z49" s="106"/>
    </row>
    <row r="50">
      <c r="A50" s="105" t="s">
        <v>1269</v>
      </c>
      <c r="G50" s="107"/>
      <c r="H50" s="106"/>
      <c r="I50" s="113"/>
      <c r="J50" s="106"/>
      <c r="K50" s="106"/>
      <c r="L50" s="106"/>
      <c r="M50" s="106"/>
      <c r="N50" s="106"/>
      <c r="O50" s="106"/>
      <c r="P50" s="106"/>
      <c r="Q50" s="106"/>
      <c r="R50" s="106"/>
      <c r="S50" s="106"/>
      <c r="T50" s="106"/>
      <c r="U50" s="106"/>
      <c r="V50" s="106"/>
      <c r="W50" s="106"/>
      <c r="X50" s="106"/>
      <c r="Y50" s="106"/>
      <c r="Z50" s="106"/>
    </row>
    <row r="51">
      <c r="A51" s="107" t="s">
        <v>1108</v>
      </c>
      <c r="E51" s="43" t="s">
        <v>1270</v>
      </c>
      <c r="F51" s="107" t="s">
        <v>1271</v>
      </c>
      <c r="G51" s="107" t="s">
        <v>1272</v>
      </c>
      <c r="H51" s="107" t="s">
        <v>1273</v>
      </c>
      <c r="I51" s="107" t="s">
        <v>1274</v>
      </c>
      <c r="K51" s="107" t="s">
        <v>1275</v>
      </c>
      <c r="L51" s="106"/>
      <c r="M51" s="106"/>
      <c r="N51" s="106"/>
      <c r="O51" s="106"/>
      <c r="P51" s="106"/>
      <c r="Q51" s="106"/>
      <c r="R51" s="106"/>
      <c r="S51" s="106"/>
      <c r="T51" s="106"/>
      <c r="U51" s="106"/>
      <c r="V51" s="106"/>
      <c r="W51" s="106"/>
      <c r="X51" s="106"/>
      <c r="Y51" s="106"/>
      <c r="Z51" s="106"/>
    </row>
    <row r="52">
      <c r="A52" s="107" t="s">
        <v>2</v>
      </c>
      <c r="E52" s="43" t="s">
        <v>1276</v>
      </c>
      <c r="F52" s="107" t="s">
        <v>1277</v>
      </c>
      <c r="G52" s="107" t="s">
        <v>1278</v>
      </c>
      <c r="H52" s="107" t="s">
        <v>1279</v>
      </c>
      <c r="I52" s="107" t="s">
        <v>1280</v>
      </c>
      <c r="K52" s="107" t="s">
        <v>1281</v>
      </c>
      <c r="L52" s="106"/>
      <c r="M52" s="106"/>
      <c r="N52" s="106"/>
      <c r="O52" s="106"/>
      <c r="P52" s="106"/>
      <c r="Q52" s="106"/>
      <c r="R52" s="106"/>
      <c r="S52" s="106"/>
      <c r="T52" s="106"/>
      <c r="U52" s="106"/>
      <c r="V52" s="106"/>
      <c r="W52" s="106"/>
      <c r="X52" s="106"/>
      <c r="Y52" s="106"/>
      <c r="Z52" s="106"/>
    </row>
    <row r="53">
      <c r="A53" s="107" t="s">
        <v>3</v>
      </c>
      <c r="E53" s="43" t="s">
        <v>1282</v>
      </c>
      <c r="F53" s="107" t="s">
        <v>1283</v>
      </c>
      <c r="G53" s="107" t="s">
        <v>1284</v>
      </c>
      <c r="H53" s="107" t="s">
        <v>1285</v>
      </c>
      <c r="I53" s="107" t="s">
        <v>1286</v>
      </c>
      <c r="K53" s="107" t="s">
        <v>1287</v>
      </c>
      <c r="L53" s="106"/>
      <c r="M53" s="106"/>
      <c r="N53" s="106"/>
      <c r="O53" s="106"/>
      <c r="P53" s="106"/>
      <c r="Q53" s="106"/>
      <c r="R53" s="106"/>
      <c r="S53" s="106"/>
      <c r="T53" s="106"/>
      <c r="U53" s="106"/>
      <c r="V53" s="106"/>
      <c r="W53" s="106"/>
      <c r="X53" s="106"/>
      <c r="Y53" s="106"/>
      <c r="Z53" s="106"/>
    </row>
    <row r="54">
      <c r="A54" s="107" t="s">
        <v>1158</v>
      </c>
      <c r="E54" s="43" t="s">
        <v>1288</v>
      </c>
      <c r="F54" s="107" t="s">
        <v>1289</v>
      </c>
      <c r="G54" s="107" t="s">
        <v>1290</v>
      </c>
      <c r="H54" s="107" t="s">
        <v>1291</v>
      </c>
      <c r="I54" s="107" t="s">
        <v>1292</v>
      </c>
      <c r="K54" s="107" t="s">
        <v>1293</v>
      </c>
      <c r="L54" s="106"/>
      <c r="M54" s="106"/>
      <c r="N54" s="106"/>
      <c r="O54" s="106"/>
      <c r="P54" s="106"/>
      <c r="Q54" s="106"/>
      <c r="R54" s="106"/>
      <c r="S54" s="106"/>
      <c r="T54" s="106"/>
      <c r="U54" s="106"/>
      <c r="V54" s="106"/>
      <c r="W54" s="106"/>
      <c r="X54" s="106"/>
      <c r="Y54" s="106"/>
      <c r="Z54" s="106"/>
    </row>
    <row r="55">
      <c r="A55" s="123"/>
      <c r="B55" s="123"/>
      <c r="C55" s="123"/>
      <c r="D55" s="123"/>
      <c r="E55" s="123"/>
      <c r="F55" s="123"/>
      <c r="K55" s="106"/>
      <c r="L55" s="106"/>
      <c r="M55" s="106"/>
      <c r="N55" s="106"/>
      <c r="O55" s="106"/>
      <c r="P55" s="106"/>
      <c r="Q55" s="106"/>
      <c r="R55" s="106"/>
      <c r="S55" s="106"/>
      <c r="T55" s="106"/>
      <c r="U55" s="106"/>
      <c r="V55" s="106"/>
      <c r="W55" s="106"/>
      <c r="X55" s="106"/>
      <c r="Y55" s="106"/>
      <c r="Z55" s="106"/>
    </row>
    <row r="56">
      <c r="A56" s="107" t="s">
        <v>1108</v>
      </c>
      <c r="B56" s="43" t="s">
        <v>1294</v>
      </c>
      <c r="K56" s="106"/>
      <c r="L56" s="106"/>
      <c r="M56" s="106"/>
      <c r="N56" s="106"/>
      <c r="O56" s="106"/>
      <c r="P56" s="106"/>
      <c r="Q56" s="106"/>
      <c r="R56" s="106"/>
      <c r="S56" s="106"/>
      <c r="T56" s="106"/>
      <c r="U56" s="106"/>
      <c r="V56" s="106"/>
      <c r="W56" s="106"/>
      <c r="X56" s="106"/>
      <c r="Y56" s="106"/>
      <c r="Z56" s="106"/>
    </row>
    <row r="57">
      <c r="A57" s="107" t="s">
        <v>2</v>
      </c>
      <c r="B57" s="43" t="s">
        <v>1295</v>
      </c>
      <c r="K57" s="106"/>
      <c r="L57" s="106"/>
      <c r="M57" s="106"/>
      <c r="N57" s="106"/>
      <c r="O57" s="106"/>
      <c r="P57" s="106"/>
      <c r="Q57" s="106"/>
      <c r="R57" s="106"/>
      <c r="S57" s="106"/>
      <c r="T57" s="106"/>
      <c r="U57" s="106"/>
      <c r="V57" s="106"/>
      <c r="W57" s="106"/>
      <c r="X57" s="106"/>
      <c r="Y57" s="106"/>
      <c r="Z57" s="106"/>
    </row>
    <row r="58">
      <c r="A58" s="107" t="s">
        <v>3</v>
      </c>
      <c r="B58" s="43" t="s">
        <v>1296</v>
      </c>
      <c r="K58" s="106"/>
      <c r="L58" s="106"/>
      <c r="M58" s="106"/>
      <c r="N58" s="106"/>
      <c r="O58" s="106"/>
      <c r="P58" s="106"/>
      <c r="Q58" s="106"/>
      <c r="R58" s="106"/>
      <c r="S58" s="106"/>
      <c r="T58" s="106"/>
      <c r="U58" s="106"/>
      <c r="V58" s="106"/>
      <c r="W58" s="106"/>
      <c r="X58" s="106"/>
      <c r="Y58" s="106"/>
      <c r="Z58" s="106"/>
    </row>
    <row r="59">
      <c r="A59" s="107" t="s">
        <v>1158</v>
      </c>
      <c r="B59" s="43" t="s">
        <v>1297</v>
      </c>
      <c r="K59" s="106"/>
      <c r="L59" s="106"/>
      <c r="M59" s="106"/>
      <c r="N59" s="106"/>
      <c r="O59" s="106"/>
      <c r="P59" s="106"/>
      <c r="Q59" s="106"/>
      <c r="R59" s="106"/>
      <c r="S59" s="106"/>
      <c r="T59" s="106"/>
      <c r="U59" s="106"/>
      <c r="V59" s="106"/>
      <c r="W59" s="106"/>
      <c r="X59" s="106"/>
      <c r="Y59" s="106"/>
      <c r="Z59" s="106"/>
    </row>
    <row r="60">
      <c r="L60" s="106"/>
      <c r="M60" s="106"/>
      <c r="N60" s="106"/>
      <c r="O60" s="106"/>
      <c r="P60" s="106"/>
      <c r="Q60" s="106"/>
      <c r="R60" s="106"/>
      <c r="S60" s="106"/>
      <c r="T60" s="106"/>
      <c r="U60" s="106"/>
      <c r="V60" s="106"/>
      <c r="W60" s="106"/>
      <c r="X60" s="106"/>
      <c r="Y60" s="106"/>
      <c r="Z60" s="106"/>
    </row>
    <row r="61">
      <c r="A61" s="105" t="s">
        <v>1298</v>
      </c>
      <c r="H61" s="107" t="s">
        <v>1299</v>
      </c>
      <c r="I61" s="107" t="s">
        <v>1300</v>
      </c>
      <c r="J61" s="106"/>
      <c r="L61" s="106"/>
      <c r="M61" s="106"/>
      <c r="N61" s="106"/>
      <c r="O61" s="106"/>
      <c r="P61" s="106"/>
      <c r="Q61" s="106"/>
      <c r="R61" s="106"/>
      <c r="S61" s="106"/>
      <c r="T61" s="106"/>
      <c r="U61" s="106"/>
      <c r="V61" s="106"/>
      <c r="W61" s="106"/>
      <c r="X61" s="106"/>
      <c r="Y61" s="106"/>
      <c r="Z61" s="106"/>
    </row>
    <row r="62">
      <c r="A62" s="107" t="s">
        <v>1108</v>
      </c>
      <c r="B62" s="107" t="s">
        <v>1301</v>
      </c>
      <c r="C62" s="107" t="s">
        <v>1302</v>
      </c>
      <c r="D62" s="107" t="s">
        <v>1303</v>
      </c>
      <c r="E62" s="107" t="s">
        <v>1304</v>
      </c>
      <c r="F62" s="107" t="s">
        <v>1305</v>
      </c>
      <c r="G62" s="107" t="s">
        <v>1306</v>
      </c>
      <c r="H62" s="107" t="s">
        <v>1307</v>
      </c>
      <c r="I62" s="107" t="s">
        <v>1308</v>
      </c>
      <c r="L62" s="106"/>
      <c r="M62" s="106"/>
      <c r="N62" s="106"/>
      <c r="O62" s="106"/>
      <c r="P62" s="106"/>
      <c r="Q62" s="106"/>
      <c r="R62" s="106"/>
      <c r="S62" s="106"/>
      <c r="T62" s="106"/>
      <c r="U62" s="106"/>
      <c r="V62" s="106"/>
      <c r="W62" s="106"/>
      <c r="X62" s="106"/>
      <c r="Y62" s="106"/>
      <c r="Z62" s="106"/>
    </row>
    <row r="63">
      <c r="A63" s="107" t="s">
        <v>2</v>
      </c>
      <c r="B63" s="107" t="s">
        <v>1309</v>
      </c>
      <c r="C63" s="107" t="s">
        <v>1310</v>
      </c>
      <c r="D63" s="107" t="s">
        <v>1311</v>
      </c>
      <c r="E63" s="107" t="s">
        <v>1312</v>
      </c>
      <c r="F63" s="107" t="s">
        <v>1313</v>
      </c>
      <c r="G63" s="107" t="s">
        <v>1314</v>
      </c>
      <c r="H63" s="107" t="s">
        <v>1315</v>
      </c>
      <c r="I63" s="107" t="s">
        <v>1316</v>
      </c>
      <c r="M63" s="106"/>
      <c r="N63" s="106"/>
      <c r="O63" s="106"/>
      <c r="P63" s="106"/>
      <c r="Q63" s="106"/>
      <c r="R63" s="106"/>
      <c r="S63" s="106"/>
      <c r="T63" s="106"/>
      <c r="U63" s="106"/>
      <c r="V63" s="106"/>
      <c r="W63" s="106"/>
      <c r="X63" s="106"/>
      <c r="Y63" s="106"/>
      <c r="Z63" s="106"/>
    </row>
    <row r="64">
      <c r="A64" s="107" t="s">
        <v>1158</v>
      </c>
      <c r="B64" s="107" t="s">
        <v>1317</v>
      </c>
      <c r="C64" s="107" t="s">
        <v>1318</v>
      </c>
      <c r="D64" s="107" t="s">
        <v>1319</v>
      </c>
      <c r="E64" s="107" t="s">
        <v>1320</v>
      </c>
      <c r="F64" s="107" t="s">
        <v>1321</v>
      </c>
      <c r="G64" s="107" t="s">
        <v>1322</v>
      </c>
      <c r="H64" s="107" t="s">
        <v>1323</v>
      </c>
      <c r="I64" s="107" t="s">
        <v>1324</v>
      </c>
      <c r="M64" s="106"/>
      <c r="N64" s="106"/>
      <c r="O64" s="106"/>
      <c r="P64" s="106"/>
      <c r="Q64" s="106"/>
      <c r="R64" s="106"/>
      <c r="S64" s="106"/>
      <c r="T64" s="106"/>
      <c r="U64" s="106"/>
      <c r="V64" s="106"/>
      <c r="W64" s="106"/>
      <c r="X64" s="106"/>
      <c r="Y64" s="106"/>
      <c r="Z64" s="106"/>
    </row>
    <row r="65">
      <c r="B65" s="113"/>
      <c r="C65" s="113"/>
      <c r="D65" s="113"/>
      <c r="E65" s="113"/>
      <c r="F65" s="106"/>
      <c r="G65" s="106"/>
      <c r="H65" s="106"/>
      <c r="I65" s="113"/>
      <c r="M65" s="106"/>
      <c r="N65" s="106"/>
      <c r="O65" s="106"/>
      <c r="P65" s="106"/>
      <c r="Q65" s="106"/>
      <c r="R65" s="106"/>
      <c r="S65" s="106"/>
      <c r="T65" s="106"/>
      <c r="U65" s="106"/>
      <c r="V65" s="106"/>
      <c r="W65" s="106"/>
      <c r="X65" s="106"/>
      <c r="Y65" s="106"/>
      <c r="Z65" s="106"/>
    </row>
    <row r="66">
      <c r="A66" s="107" t="s">
        <v>1108</v>
      </c>
      <c r="B66" s="107" t="s">
        <v>1325</v>
      </c>
      <c r="C66" s="107" t="s">
        <v>1326</v>
      </c>
      <c r="D66" s="107" t="s">
        <v>1327</v>
      </c>
      <c r="E66" s="107" t="s">
        <v>1328</v>
      </c>
      <c r="F66" s="107" t="s">
        <v>1329</v>
      </c>
      <c r="G66" s="107" t="s">
        <v>1330</v>
      </c>
      <c r="H66" s="107" t="s">
        <v>1331</v>
      </c>
      <c r="I66" s="107" t="s">
        <v>1332</v>
      </c>
      <c r="K66" s="106"/>
      <c r="L66" s="106"/>
      <c r="M66" s="106"/>
      <c r="N66" s="106"/>
      <c r="O66" s="106"/>
      <c r="P66" s="106"/>
      <c r="Q66" s="106"/>
      <c r="R66" s="106"/>
      <c r="S66" s="106"/>
      <c r="T66" s="106"/>
      <c r="U66" s="106"/>
      <c r="V66" s="106"/>
      <c r="W66" s="106"/>
      <c r="X66" s="106"/>
      <c r="Y66" s="106"/>
      <c r="Z66" s="106"/>
    </row>
    <row r="67">
      <c r="A67" s="107" t="s">
        <v>2</v>
      </c>
      <c r="B67" s="107" t="s">
        <v>1333</v>
      </c>
      <c r="C67" s="107" t="s">
        <v>1334</v>
      </c>
      <c r="D67" s="107" t="s">
        <v>1335</v>
      </c>
      <c r="E67" s="107" t="s">
        <v>1336</v>
      </c>
      <c r="F67" s="107" t="s">
        <v>1337</v>
      </c>
      <c r="G67" s="107" t="s">
        <v>1338</v>
      </c>
      <c r="H67" s="107" t="s">
        <v>1339</v>
      </c>
      <c r="I67" s="107" t="s">
        <v>1340</v>
      </c>
      <c r="K67" s="106"/>
      <c r="L67" s="106"/>
      <c r="M67" s="106"/>
      <c r="N67" s="106"/>
      <c r="O67" s="106"/>
      <c r="P67" s="106"/>
      <c r="Q67" s="106"/>
      <c r="R67" s="106"/>
      <c r="S67" s="106"/>
      <c r="T67" s="106"/>
      <c r="U67" s="106"/>
      <c r="V67" s="106"/>
      <c r="W67" s="106"/>
      <c r="X67" s="106"/>
      <c r="Y67" s="106"/>
      <c r="Z67" s="106"/>
    </row>
    <row r="68">
      <c r="A68" s="107" t="s">
        <v>1158</v>
      </c>
      <c r="B68" s="107" t="s">
        <v>1341</v>
      </c>
      <c r="C68" s="107" t="s">
        <v>1342</v>
      </c>
      <c r="D68" s="107" t="s">
        <v>1343</v>
      </c>
      <c r="E68" s="107" t="s">
        <v>1344</v>
      </c>
      <c r="F68" s="107" t="s">
        <v>1345</v>
      </c>
      <c r="G68" s="107" t="s">
        <v>1346</v>
      </c>
      <c r="H68" s="107" t="s">
        <v>1347</v>
      </c>
      <c r="I68" s="107" t="s">
        <v>1348</v>
      </c>
      <c r="K68" s="106"/>
      <c r="L68" s="106"/>
      <c r="M68" s="106"/>
      <c r="N68" s="106"/>
      <c r="O68" s="106"/>
      <c r="P68" s="106"/>
      <c r="Q68" s="106"/>
      <c r="R68" s="106"/>
      <c r="S68" s="106"/>
      <c r="T68" s="106"/>
      <c r="U68" s="106"/>
      <c r="V68" s="106"/>
      <c r="W68" s="106"/>
      <c r="X68" s="106"/>
      <c r="Y68" s="106"/>
      <c r="Z68" s="106"/>
    </row>
    <row r="69">
      <c r="A69" s="106"/>
      <c r="B69" s="106"/>
      <c r="C69" s="106"/>
      <c r="D69" s="106"/>
      <c r="E69" s="106"/>
      <c r="F69" s="113"/>
      <c r="G69" s="106"/>
      <c r="H69" s="113"/>
      <c r="I69" s="113"/>
      <c r="K69" s="106"/>
      <c r="L69" s="106"/>
      <c r="M69" s="106"/>
      <c r="N69" s="106"/>
      <c r="O69" s="106"/>
      <c r="P69" s="106"/>
      <c r="Q69" s="106"/>
      <c r="R69" s="106"/>
      <c r="S69" s="106"/>
      <c r="T69" s="106"/>
      <c r="U69" s="106"/>
      <c r="V69" s="106"/>
      <c r="W69" s="106"/>
      <c r="X69" s="106"/>
      <c r="Y69" s="106"/>
      <c r="Z69" s="106"/>
    </row>
    <row r="70">
      <c r="A70" s="107" t="s">
        <v>1108</v>
      </c>
      <c r="B70" s="107" t="s">
        <v>1349</v>
      </c>
      <c r="C70" s="107" t="s">
        <v>1350</v>
      </c>
      <c r="D70" s="107" t="s">
        <v>1351</v>
      </c>
      <c r="E70" s="43" t="s">
        <v>1112</v>
      </c>
      <c r="F70" s="107" t="s">
        <v>1352</v>
      </c>
      <c r="G70" s="107" t="s">
        <v>1353</v>
      </c>
      <c r="H70" s="118" t="s">
        <v>1354</v>
      </c>
      <c r="I70" s="107" t="s">
        <v>1355</v>
      </c>
      <c r="K70" s="106"/>
      <c r="L70" s="106"/>
      <c r="M70" s="106"/>
      <c r="N70" s="106"/>
      <c r="O70" s="106"/>
      <c r="P70" s="106"/>
      <c r="Q70" s="106"/>
      <c r="R70" s="106"/>
      <c r="S70" s="106"/>
      <c r="T70" s="106"/>
      <c r="U70" s="106"/>
      <c r="V70" s="106"/>
      <c r="W70" s="106"/>
      <c r="X70" s="106"/>
      <c r="Y70" s="106"/>
      <c r="Z70" s="106"/>
    </row>
    <row r="71">
      <c r="A71" s="107" t="s">
        <v>2</v>
      </c>
      <c r="B71" s="107" t="s">
        <v>1356</v>
      </c>
      <c r="C71" s="107" t="s">
        <v>1357</v>
      </c>
      <c r="D71" s="107" t="s">
        <v>1358</v>
      </c>
      <c r="E71" s="43" t="s">
        <v>1359</v>
      </c>
      <c r="F71" s="107" t="s">
        <v>1360</v>
      </c>
      <c r="G71" s="107" t="s">
        <v>1361</v>
      </c>
      <c r="H71" s="118" t="s">
        <v>1362</v>
      </c>
      <c r="I71" s="107" t="s">
        <v>1363</v>
      </c>
      <c r="L71" s="106"/>
      <c r="M71" s="106"/>
      <c r="N71" s="106"/>
      <c r="O71" s="106"/>
      <c r="P71" s="106"/>
      <c r="Q71" s="106"/>
      <c r="R71" s="106"/>
      <c r="S71" s="106"/>
      <c r="T71" s="106"/>
      <c r="U71" s="106"/>
      <c r="V71" s="106"/>
      <c r="W71" s="106"/>
      <c r="X71" s="106"/>
      <c r="Y71" s="106"/>
      <c r="Z71" s="106"/>
    </row>
    <row r="72">
      <c r="A72" s="107" t="s">
        <v>1158</v>
      </c>
      <c r="B72" s="107" t="s">
        <v>1364</v>
      </c>
      <c r="C72" s="107" t="s">
        <v>1365</v>
      </c>
      <c r="D72" s="107" t="s">
        <v>1366</v>
      </c>
      <c r="E72" s="43" t="s">
        <v>1203</v>
      </c>
      <c r="F72" s="107" t="s">
        <v>1367</v>
      </c>
      <c r="G72" s="107" t="s">
        <v>1368</v>
      </c>
      <c r="H72" s="118" t="s">
        <v>1369</v>
      </c>
      <c r="I72" s="107" t="s">
        <v>1370</v>
      </c>
      <c r="L72" s="106"/>
      <c r="M72" s="106"/>
      <c r="N72" s="106"/>
      <c r="O72" s="106"/>
      <c r="P72" s="106"/>
      <c r="Q72" s="106"/>
      <c r="R72" s="106"/>
      <c r="S72" s="106"/>
      <c r="T72" s="106"/>
      <c r="U72" s="106"/>
      <c r="V72" s="106"/>
      <c r="W72" s="106"/>
      <c r="X72" s="106"/>
      <c r="Y72" s="106"/>
      <c r="Z72" s="106"/>
    </row>
    <row r="73">
      <c r="A73" s="106"/>
      <c r="L73" s="106"/>
      <c r="M73" s="106"/>
      <c r="N73" s="106"/>
      <c r="O73" s="106"/>
      <c r="P73" s="106"/>
      <c r="Q73" s="106"/>
      <c r="R73" s="106"/>
      <c r="S73" s="106"/>
      <c r="T73" s="106"/>
      <c r="U73" s="106"/>
      <c r="V73" s="106"/>
      <c r="W73" s="106"/>
      <c r="X73" s="106"/>
      <c r="Y73" s="106"/>
      <c r="Z73" s="106"/>
    </row>
    <row r="74">
      <c r="A74" s="107" t="s">
        <v>1108</v>
      </c>
      <c r="B74" s="107" t="s">
        <v>1371</v>
      </c>
      <c r="C74" s="107" t="s">
        <v>1372</v>
      </c>
      <c r="D74" s="118" t="s">
        <v>1373</v>
      </c>
      <c r="E74" s="110" t="s">
        <v>1374</v>
      </c>
      <c r="F74" s="118" t="s">
        <v>1375</v>
      </c>
      <c r="G74" s="107" t="s">
        <v>1376</v>
      </c>
      <c r="H74" s="107" t="s">
        <v>1377</v>
      </c>
      <c r="I74" s="107" t="s">
        <v>1378</v>
      </c>
      <c r="L74" s="106"/>
      <c r="M74" s="106"/>
      <c r="N74" s="106"/>
      <c r="O74" s="106"/>
      <c r="P74" s="106"/>
      <c r="Q74" s="106"/>
      <c r="R74" s="106"/>
      <c r="S74" s="106"/>
      <c r="T74" s="106"/>
      <c r="U74" s="106"/>
      <c r="V74" s="106"/>
      <c r="W74" s="106"/>
      <c r="X74" s="106"/>
      <c r="Y74" s="106"/>
      <c r="Z74" s="106"/>
    </row>
    <row r="75">
      <c r="A75" s="107" t="s">
        <v>2</v>
      </c>
      <c r="B75" s="107" t="s">
        <v>1379</v>
      </c>
      <c r="C75" s="107" t="s">
        <v>1380</v>
      </c>
      <c r="D75" s="118" t="s">
        <v>1277</v>
      </c>
      <c r="E75" s="110" t="s">
        <v>1381</v>
      </c>
      <c r="F75" s="118" t="s">
        <v>1382</v>
      </c>
      <c r="G75" s="107" t="s">
        <v>1383</v>
      </c>
      <c r="H75" s="107" t="s">
        <v>1384</v>
      </c>
      <c r="I75" s="107" t="s">
        <v>1385</v>
      </c>
      <c r="L75" s="106"/>
      <c r="M75" s="106"/>
      <c r="N75" s="106"/>
      <c r="O75" s="106"/>
      <c r="P75" s="106"/>
      <c r="Q75" s="106"/>
      <c r="R75" s="106"/>
      <c r="S75" s="106"/>
      <c r="T75" s="106"/>
      <c r="U75" s="106"/>
      <c r="V75" s="106"/>
      <c r="W75" s="106"/>
      <c r="X75" s="106"/>
      <c r="Y75" s="106"/>
      <c r="Z75" s="106"/>
    </row>
    <row r="76">
      <c r="A76" s="107" t="s">
        <v>1158</v>
      </c>
      <c r="B76" s="107" t="s">
        <v>1386</v>
      </c>
      <c r="C76" s="107" t="s">
        <v>1387</v>
      </c>
      <c r="D76" s="118" t="s">
        <v>1388</v>
      </c>
      <c r="E76" s="110" t="s">
        <v>1389</v>
      </c>
      <c r="F76" s="118" t="s">
        <v>1390</v>
      </c>
      <c r="G76" s="107" t="s">
        <v>1391</v>
      </c>
      <c r="H76" s="107" t="s">
        <v>1392</v>
      </c>
      <c r="I76" s="107" t="s">
        <v>1393</v>
      </c>
      <c r="K76" s="106"/>
      <c r="L76" s="106"/>
      <c r="M76" s="106"/>
      <c r="N76" s="106"/>
      <c r="O76" s="106"/>
      <c r="P76" s="106"/>
      <c r="Q76" s="106"/>
      <c r="R76" s="106"/>
      <c r="S76" s="106"/>
      <c r="T76" s="106"/>
      <c r="U76" s="106"/>
      <c r="V76" s="106"/>
      <c r="W76" s="106"/>
      <c r="X76" s="106"/>
      <c r="Y76" s="106"/>
      <c r="Z76" s="106"/>
    </row>
    <row r="77">
      <c r="I77" s="113"/>
      <c r="J77" s="106"/>
      <c r="K77" s="106"/>
      <c r="L77" s="106"/>
      <c r="M77" s="106"/>
      <c r="N77" s="106"/>
      <c r="O77" s="106"/>
      <c r="P77" s="106"/>
      <c r="Q77" s="106"/>
      <c r="R77" s="106"/>
      <c r="S77" s="106"/>
      <c r="T77" s="106"/>
      <c r="U77" s="106"/>
      <c r="V77" s="106"/>
      <c r="W77" s="106"/>
      <c r="X77" s="106"/>
      <c r="Y77" s="106"/>
      <c r="Z77" s="106"/>
    </row>
    <row r="78">
      <c r="A78" s="107" t="s">
        <v>1108</v>
      </c>
      <c r="B78" s="107" t="s">
        <v>1394</v>
      </c>
      <c r="C78" s="107" t="s">
        <v>1395</v>
      </c>
      <c r="D78" s="107" t="s">
        <v>1396</v>
      </c>
      <c r="E78" s="107" t="s">
        <v>1397</v>
      </c>
      <c r="F78" s="107" t="s">
        <v>1398</v>
      </c>
      <c r="G78" s="43" t="s">
        <v>1399</v>
      </c>
      <c r="I78" s="113"/>
      <c r="J78" s="106"/>
      <c r="K78" s="106"/>
      <c r="L78" s="106"/>
      <c r="M78" s="106"/>
      <c r="N78" s="106"/>
      <c r="O78" s="106"/>
      <c r="P78" s="106"/>
      <c r="Q78" s="106"/>
      <c r="R78" s="106"/>
      <c r="S78" s="106"/>
      <c r="T78" s="106"/>
      <c r="U78" s="106"/>
      <c r="V78" s="106"/>
      <c r="W78" s="106"/>
      <c r="X78" s="106"/>
      <c r="Y78" s="106"/>
      <c r="Z78" s="106"/>
    </row>
    <row r="79">
      <c r="A79" s="107" t="s">
        <v>2</v>
      </c>
      <c r="B79" s="107" t="s">
        <v>1400</v>
      </c>
      <c r="C79" s="107" t="s">
        <v>1401</v>
      </c>
      <c r="D79" s="107" t="s">
        <v>1402</v>
      </c>
      <c r="E79" s="107" t="s">
        <v>1403</v>
      </c>
      <c r="F79" s="107" t="s">
        <v>1404</v>
      </c>
      <c r="G79" s="43" t="s">
        <v>1405</v>
      </c>
      <c r="I79" s="113"/>
      <c r="J79" s="106"/>
      <c r="K79" s="106"/>
      <c r="L79" s="106"/>
      <c r="M79" s="106"/>
      <c r="N79" s="106"/>
      <c r="O79" s="106"/>
      <c r="P79" s="106"/>
      <c r="Q79" s="106"/>
      <c r="R79" s="106"/>
      <c r="S79" s="106"/>
      <c r="T79" s="106"/>
      <c r="U79" s="106"/>
      <c r="V79" s="106"/>
      <c r="W79" s="106"/>
      <c r="X79" s="106"/>
      <c r="Y79" s="106"/>
      <c r="Z79" s="106"/>
    </row>
    <row r="80">
      <c r="A80" s="107" t="s">
        <v>1158</v>
      </c>
      <c r="B80" s="107" t="s">
        <v>1406</v>
      </c>
      <c r="C80" s="107" t="s">
        <v>1407</v>
      </c>
      <c r="D80" s="107" t="s">
        <v>1408</v>
      </c>
      <c r="E80" s="107" t="s">
        <v>1409</v>
      </c>
      <c r="F80" s="107" t="s">
        <v>1410</v>
      </c>
      <c r="G80" s="43" t="s">
        <v>1411</v>
      </c>
      <c r="I80" s="113"/>
      <c r="J80" s="106"/>
      <c r="K80" s="106"/>
      <c r="L80" s="106"/>
      <c r="M80" s="106"/>
      <c r="N80" s="106"/>
      <c r="O80" s="106"/>
      <c r="P80" s="106"/>
      <c r="Q80" s="106"/>
      <c r="R80" s="106"/>
      <c r="S80" s="106"/>
      <c r="T80" s="106"/>
      <c r="U80" s="106"/>
      <c r="V80" s="106"/>
      <c r="W80" s="106"/>
      <c r="X80" s="106"/>
      <c r="Y80" s="106"/>
      <c r="Z80" s="106"/>
    </row>
    <row r="81">
      <c r="D81" s="106"/>
      <c r="O81" s="106"/>
      <c r="P81" s="106"/>
      <c r="Q81" s="106"/>
      <c r="R81" s="106"/>
      <c r="S81" s="106"/>
      <c r="T81" s="106"/>
      <c r="U81" s="106"/>
      <c r="V81" s="106"/>
      <c r="W81" s="106"/>
      <c r="X81" s="106"/>
      <c r="Y81" s="106"/>
      <c r="Z81" s="106"/>
    </row>
    <row r="82">
      <c r="O82" s="106"/>
      <c r="P82" s="106"/>
      <c r="Q82" s="106"/>
      <c r="R82" s="106"/>
      <c r="S82" s="106"/>
      <c r="T82" s="106"/>
      <c r="U82" s="106"/>
      <c r="V82" s="106"/>
      <c r="W82" s="106"/>
      <c r="X82" s="106"/>
      <c r="Y82" s="106"/>
      <c r="Z82" s="106"/>
    </row>
    <row r="83">
      <c r="O83" s="106"/>
      <c r="P83" s="106"/>
      <c r="Q83" s="106"/>
      <c r="R83" s="106"/>
      <c r="S83" s="106"/>
      <c r="T83" s="106"/>
      <c r="U83" s="106"/>
      <c r="V83" s="106"/>
      <c r="W83" s="106"/>
      <c r="X83" s="106"/>
      <c r="Y83" s="106"/>
      <c r="Z83" s="106"/>
    </row>
    <row r="84">
      <c r="K84" s="106"/>
      <c r="L84" s="106"/>
      <c r="M84" s="106"/>
      <c r="N84" s="106"/>
      <c r="O84" s="106"/>
      <c r="P84" s="106"/>
      <c r="Q84" s="106"/>
      <c r="R84" s="106"/>
      <c r="S84" s="106"/>
      <c r="T84" s="106"/>
      <c r="U84" s="106"/>
      <c r="V84" s="106"/>
      <c r="W84" s="106"/>
      <c r="X84" s="106"/>
      <c r="Y84" s="106"/>
      <c r="Z84" s="106"/>
    </row>
    <row r="85">
      <c r="D85" s="106"/>
      <c r="K85" s="106"/>
      <c r="L85" s="106"/>
      <c r="M85" s="106"/>
      <c r="N85" s="106"/>
      <c r="O85" s="106"/>
      <c r="P85" s="106"/>
      <c r="Q85" s="106"/>
      <c r="R85" s="106"/>
      <c r="S85" s="106"/>
      <c r="T85" s="106"/>
      <c r="U85" s="106"/>
      <c r="V85" s="106"/>
      <c r="W85" s="106"/>
      <c r="X85" s="106"/>
      <c r="Y85" s="106"/>
      <c r="Z85" s="106"/>
    </row>
    <row r="86">
      <c r="K86" s="106"/>
      <c r="L86" s="106"/>
      <c r="M86" s="106"/>
      <c r="N86" s="106"/>
      <c r="O86" s="106"/>
      <c r="P86" s="106"/>
      <c r="Q86" s="106"/>
      <c r="R86" s="106"/>
      <c r="S86" s="106"/>
      <c r="T86" s="106"/>
      <c r="U86" s="106"/>
      <c r="V86" s="106"/>
      <c r="W86" s="106"/>
      <c r="X86" s="106"/>
      <c r="Y86" s="106"/>
      <c r="Z86" s="106"/>
    </row>
    <row r="87">
      <c r="K87" s="106"/>
      <c r="L87" s="106"/>
      <c r="M87" s="106"/>
      <c r="N87" s="106"/>
      <c r="O87" s="106"/>
      <c r="P87" s="106"/>
      <c r="Q87" s="106"/>
      <c r="R87" s="106"/>
      <c r="S87" s="106"/>
      <c r="T87" s="106"/>
      <c r="U87" s="106"/>
      <c r="V87" s="106"/>
      <c r="W87" s="106"/>
      <c r="X87" s="106"/>
      <c r="Y87" s="106"/>
      <c r="Z87" s="106"/>
    </row>
    <row r="88">
      <c r="K88" s="106"/>
      <c r="L88" s="106"/>
      <c r="M88" s="106"/>
      <c r="N88" s="106"/>
      <c r="O88" s="106"/>
      <c r="P88" s="106"/>
      <c r="Q88" s="106"/>
      <c r="R88" s="106"/>
      <c r="S88" s="106"/>
      <c r="T88" s="106"/>
      <c r="U88" s="106"/>
      <c r="V88" s="106"/>
      <c r="W88" s="106"/>
      <c r="X88" s="106"/>
      <c r="Y88" s="106"/>
      <c r="Z88" s="106"/>
    </row>
    <row r="89">
      <c r="K89" s="106"/>
      <c r="L89" s="106"/>
      <c r="M89" s="106"/>
      <c r="N89" s="106"/>
      <c r="O89" s="106"/>
      <c r="P89" s="106"/>
      <c r="Q89" s="106"/>
      <c r="R89" s="106"/>
      <c r="S89" s="106"/>
      <c r="T89" s="106"/>
      <c r="U89" s="106"/>
      <c r="V89" s="106"/>
      <c r="W89" s="106"/>
      <c r="X89" s="106"/>
      <c r="Y89" s="106"/>
      <c r="Z89" s="106"/>
    </row>
    <row r="90">
      <c r="K90" s="106"/>
      <c r="L90" s="106"/>
      <c r="M90" s="106"/>
      <c r="N90" s="106"/>
      <c r="O90" s="106"/>
      <c r="P90" s="106"/>
      <c r="Q90" s="106"/>
      <c r="R90" s="106"/>
      <c r="S90" s="106"/>
      <c r="T90" s="106"/>
      <c r="U90" s="106"/>
      <c r="V90" s="106"/>
      <c r="W90" s="106"/>
      <c r="X90" s="106"/>
      <c r="Y90" s="106"/>
      <c r="Z90" s="106"/>
    </row>
    <row r="91">
      <c r="K91" s="106"/>
      <c r="L91" s="106"/>
      <c r="M91" s="106"/>
      <c r="N91" s="106"/>
      <c r="O91" s="106"/>
      <c r="P91" s="106"/>
      <c r="Q91" s="106"/>
      <c r="R91" s="106"/>
      <c r="S91" s="106"/>
      <c r="T91" s="106"/>
      <c r="U91" s="106"/>
      <c r="V91" s="106"/>
      <c r="W91" s="106"/>
      <c r="X91" s="106"/>
      <c r="Y91" s="106"/>
      <c r="Z91" s="106"/>
    </row>
    <row r="92">
      <c r="K92" s="106"/>
      <c r="L92" s="106"/>
      <c r="M92" s="106"/>
      <c r="N92" s="106"/>
      <c r="O92" s="106"/>
      <c r="P92" s="106"/>
      <c r="Q92" s="106"/>
      <c r="R92" s="106"/>
      <c r="S92" s="106"/>
      <c r="T92" s="106"/>
      <c r="U92" s="106"/>
      <c r="V92" s="106"/>
      <c r="W92" s="106"/>
      <c r="X92" s="106"/>
      <c r="Y92" s="106"/>
      <c r="Z92" s="106"/>
    </row>
    <row r="93">
      <c r="K93" s="106"/>
      <c r="L93" s="106"/>
      <c r="M93" s="106"/>
      <c r="N93" s="106"/>
      <c r="O93" s="106"/>
      <c r="P93" s="106"/>
      <c r="Q93" s="106"/>
      <c r="R93" s="106"/>
      <c r="S93" s="106"/>
      <c r="T93" s="106"/>
      <c r="U93" s="106"/>
      <c r="V93" s="106"/>
      <c r="W93" s="106"/>
      <c r="X93" s="106"/>
      <c r="Y93" s="106"/>
      <c r="Z93" s="106"/>
    </row>
    <row r="94">
      <c r="K94" s="106"/>
      <c r="L94" s="106"/>
      <c r="M94" s="106"/>
      <c r="N94" s="106"/>
      <c r="O94" s="106"/>
      <c r="P94" s="106"/>
      <c r="Q94" s="106"/>
      <c r="R94" s="106"/>
      <c r="S94" s="106"/>
      <c r="T94" s="106"/>
      <c r="U94" s="106"/>
      <c r="V94" s="106"/>
      <c r="W94" s="106"/>
      <c r="X94" s="106"/>
      <c r="Y94" s="106"/>
      <c r="Z94" s="106"/>
    </row>
    <row r="95">
      <c r="K95" s="106"/>
      <c r="L95" s="106"/>
      <c r="M95" s="106"/>
      <c r="N95" s="106"/>
      <c r="O95" s="106"/>
      <c r="P95" s="106"/>
      <c r="Q95" s="106"/>
      <c r="R95" s="106"/>
      <c r="S95" s="106"/>
      <c r="T95" s="106"/>
      <c r="U95" s="106"/>
      <c r="V95" s="106"/>
      <c r="W95" s="106"/>
      <c r="X95" s="106"/>
      <c r="Y95" s="106"/>
      <c r="Z95" s="106"/>
    </row>
    <row r="96">
      <c r="K96" s="106"/>
      <c r="L96" s="106"/>
      <c r="M96" s="106"/>
      <c r="N96" s="106"/>
      <c r="O96" s="106"/>
      <c r="P96" s="106"/>
      <c r="Q96" s="106"/>
      <c r="R96" s="106"/>
      <c r="S96" s="106"/>
      <c r="T96" s="106"/>
      <c r="U96" s="106"/>
      <c r="V96" s="106"/>
      <c r="W96" s="106"/>
      <c r="X96" s="106"/>
      <c r="Y96" s="106"/>
      <c r="Z96" s="106"/>
    </row>
    <row r="97">
      <c r="A97" s="107"/>
      <c r="I97" s="113"/>
      <c r="J97" s="106"/>
      <c r="K97" s="106"/>
      <c r="L97" s="106"/>
      <c r="M97" s="106"/>
      <c r="N97" s="106"/>
      <c r="O97" s="106"/>
      <c r="P97" s="106"/>
      <c r="Q97" s="106"/>
      <c r="R97" s="106"/>
      <c r="S97" s="106"/>
      <c r="T97" s="106"/>
      <c r="U97" s="106"/>
      <c r="V97" s="106"/>
      <c r="W97" s="106"/>
      <c r="X97" s="106"/>
      <c r="Y97" s="106"/>
      <c r="Z97" s="106"/>
    </row>
    <row r="98">
      <c r="A98" s="107"/>
      <c r="I98" s="113"/>
      <c r="J98" s="106"/>
      <c r="K98" s="106"/>
      <c r="L98" s="106"/>
      <c r="M98" s="106"/>
      <c r="N98" s="106"/>
      <c r="O98" s="106"/>
      <c r="P98" s="106"/>
      <c r="Q98" s="106"/>
      <c r="R98" s="106"/>
      <c r="S98" s="106"/>
      <c r="T98" s="106"/>
      <c r="U98" s="106"/>
      <c r="V98" s="106"/>
      <c r="W98" s="106"/>
      <c r="X98" s="106"/>
      <c r="Y98" s="106"/>
      <c r="Z98" s="106"/>
    </row>
    <row r="99">
      <c r="A99" s="107"/>
      <c r="I99" s="113"/>
      <c r="J99" s="106"/>
      <c r="K99" s="106"/>
      <c r="L99" s="106"/>
      <c r="M99" s="106"/>
      <c r="N99" s="106"/>
      <c r="O99" s="106"/>
      <c r="P99" s="106"/>
      <c r="Q99" s="106"/>
      <c r="R99" s="106"/>
      <c r="S99" s="106"/>
      <c r="T99" s="106"/>
      <c r="U99" s="106"/>
      <c r="V99" s="106"/>
      <c r="W99" s="106"/>
      <c r="X99" s="106"/>
      <c r="Y99" s="106"/>
      <c r="Z99" s="106"/>
    </row>
    <row r="100">
      <c r="A100" s="106"/>
      <c r="I100" s="113"/>
      <c r="J100" s="106"/>
      <c r="K100" s="106"/>
      <c r="L100" s="106"/>
      <c r="M100" s="106"/>
      <c r="N100" s="106"/>
      <c r="O100" s="106"/>
      <c r="P100" s="106"/>
      <c r="Q100" s="106"/>
      <c r="R100" s="106"/>
      <c r="S100" s="106"/>
      <c r="T100" s="106"/>
      <c r="U100" s="106"/>
      <c r="V100" s="106"/>
      <c r="W100" s="106"/>
      <c r="X100" s="106"/>
      <c r="Y100" s="106"/>
      <c r="Z100" s="106"/>
    </row>
    <row r="101">
      <c r="A101" s="107"/>
      <c r="I101" s="113"/>
      <c r="J101" s="106"/>
      <c r="K101" s="106"/>
      <c r="L101" s="106"/>
      <c r="M101" s="106"/>
      <c r="N101" s="106"/>
      <c r="O101" s="106"/>
      <c r="P101" s="106"/>
      <c r="Q101" s="106"/>
      <c r="R101" s="106"/>
      <c r="S101" s="106"/>
      <c r="T101" s="106"/>
      <c r="U101" s="106"/>
      <c r="V101" s="106"/>
      <c r="W101" s="106"/>
      <c r="X101" s="106"/>
      <c r="Y101" s="106"/>
      <c r="Z101" s="106"/>
    </row>
    <row r="102">
      <c r="A102" s="107"/>
      <c r="I102" s="113"/>
      <c r="J102" s="106"/>
      <c r="K102" s="106"/>
      <c r="L102" s="106"/>
      <c r="M102" s="106"/>
      <c r="N102" s="106"/>
      <c r="O102" s="106"/>
      <c r="P102" s="106"/>
      <c r="Q102" s="106"/>
      <c r="R102" s="106"/>
      <c r="S102" s="106"/>
      <c r="T102" s="106"/>
      <c r="U102" s="106"/>
      <c r="V102" s="106"/>
      <c r="W102" s="106"/>
      <c r="X102" s="106"/>
      <c r="Y102" s="106"/>
      <c r="Z102" s="106"/>
    </row>
    <row r="103">
      <c r="A103" s="107"/>
      <c r="I103" s="106"/>
      <c r="J103" s="106"/>
      <c r="K103" s="106"/>
      <c r="L103" s="106"/>
      <c r="M103" s="106"/>
      <c r="N103" s="106"/>
      <c r="O103" s="106"/>
      <c r="P103" s="106"/>
      <c r="Q103" s="106"/>
      <c r="R103" s="106"/>
      <c r="S103" s="106"/>
      <c r="T103" s="106"/>
      <c r="U103" s="106"/>
      <c r="V103" s="106"/>
      <c r="W103" s="106"/>
      <c r="X103" s="106"/>
      <c r="Y103" s="106"/>
      <c r="Z103" s="106"/>
    </row>
    <row r="104">
      <c r="A104" s="106"/>
      <c r="I104" s="106"/>
      <c r="J104" s="106"/>
      <c r="K104" s="106"/>
      <c r="L104" s="106"/>
      <c r="M104" s="106"/>
      <c r="N104" s="106"/>
      <c r="O104" s="106"/>
      <c r="P104" s="106"/>
      <c r="Q104" s="106"/>
      <c r="R104" s="106"/>
      <c r="S104" s="106"/>
      <c r="T104" s="106"/>
      <c r="U104" s="106"/>
      <c r="V104" s="106"/>
      <c r="W104" s="106"/>
      <c r="X104" s="106"/>
      <c r="Y104" s="106"/>
      <c r="Z104" s="106"/>
    </row>
    <row r="105">
      <c r="A105" s="107"/>
      <c r="I105" s="106"/>
      <c r="J105" s="106"/>
      <c r="K105" s="106"/>
      <c r="L105" s="106"/>
      <c r="M105" s="106"/>
      <c r="N105" s="106"/>
      <c r="O105" s="106"/>
      <c r="P105" s="106"/>
      <c r="Q105" s="106"/>
      <c r="R105" s="106"/>
      <c r="S105" s="106"/>
      <c r="T105" s="106"/>
      <c r="U105" s="106"/>
      <c r="V105" s="106"/>
      <c r="W105" s="106"/>
      <c r="X105" s="106"/>
      <c r="Y105" s="106"/>
      <c r="Z105" s="106"/>
    </row>
    <row r="106">
      <c r="A106" s="107"/>
      <c r="I106" s="106"/>
      <c r="J106" s="106"/>
      <c r="K106" s="106"/>
      <c r="L106" s="106"/>
      <c r="M106" s="106"/>
      <c r="N106" s="106"/>
      <c r="O106" s="106"/>
      <c r="P106" s="106"/>
      <c r="Q106" s="106"/>
      <c r="R106" s="106"/>
      <c r="S106" s="106"/>
      <c r="T106" s="106"/>
      <c r="U106" s="106"/>
      <c r="V106" s="106"/>
      <c r="W106" s="106"/>
      <c r="X106" s="106"/>
      <c r="Y106" s="106"/>
      <c r="Z106" s="106"/>
    </row>
    <row r="107">
      <c r="A107" s="107"/>
      <c r="I107" s="106"/>
      <c r="J107" s="106"/>
      <c r="K107" s="106"/>
      <c r="L107" s="106"/>
      <c r="M107" s="106"/>
      <c r="N107" s="106"/>
      <c r="O107" s="106"/>
      <c r="P107" s="106"/>
      <c r="Q107" s="106"/>
      <c r="R107" s="106"/>
      <c r="S107" s="106"/>
      <c r="T107" s="106"/>
      <c r="U107" s="106"/>
      <c r="V107" s="106"/>
      <c r="W107" s="106"/>
      <c r="X107" s="106"/>
      <c r="Y107" s="106"/>
      <c r="Z107" s="106"/>
    </row>
    <row r="108">
      <c r="A108" s="106"/>
      <c r="C108" s="106"/>
      <c r="E108" s="106"/>
      <c r="F108" s="107"/>
      <c r="G108" s="107"/>
      <c r="H108" s="106"/>
      <c r="I108" s="106"/>
      <c r="J108" s="106"/>
      <c r="K108" s="106"/>
      <c r="L108" s="106"/>
      <c r="M108" s="106"/>
      <c r="N108" s="106"/>
      <c r="O108" s="106"/>
      <c r="P108" s="106"/>
      <c r="Q108" s="106"/>
      <c r="R108" s="106"/>
      <c r="S108" s="106"/>
      <c r="T108" s="106"/>
      <c r="U108" s="106"/>
      <c r="V108" s="106"/>
      <c r="W108" s="106"/>
      <c r="X108" s="106"/>
      <c r="Y108" s="106"/>
      <c r="Z108" s="106"/>
    </row>
    <row r="109">
      <c r="A109" s="106"/>
      <c r="C109" s="106"/>
      <c r="E109" s="106"/>
      <c r="H109" s="106"/>
      <c r="I109" s="106"/>
      <c r="J109" s="106"/>
      <c r="K109" s="106"/>
      <c r="L109" s="106"/>
      <c r="M109" s="106"/>
      <c r="N109" s="106"/>
      <c r="O109" s="106"/>
      <c r="P109" s="106"/>
      <c r="Q109" s="106"/>
      <c r="R109" s="106"/>
      <c r="S109" s="106"/>
      <c r="T109" s="106"/>
      <c r="U109" s="106"/>
      <c r="V109" s="106"/>
      <c r="W109" s="106"/>
      <c r="X109" s="106"/>
      <c r="Y109" s="106"/>
      <c r="Z109" s="106"/>
    </row>
    <row r="110">
      <c r="A110" s="106"/>
      <c r="C110" s="106"/>
      <c r="E110" s="106"/>
      <c r="H110" s="106"/>
      <c r="I110" s="106"/>
      <c r="J110" s="106"/>
      <c r="K110" s="106"/>
      <c r="L110" s="106"/>
      <c r="M110" s="106"/>
      <c r="N110" s="106"/>
      <c r="O110" s="106"/>
      <c r="P110" s="106"/>
      <c r="Q110" s="106"/>
      <c r="R110" s="106"/>
      <c r="S110" s="106"/>
      <c r="T110" s="106"/>
      <c r="U110" s="106"/>
      <c r="V110" s="106"/>
      <c r="W110" s="106"/>
      <c r="X110" s="106"/>
      <c r="Y110" s="106"/>
      <c r="Z110" s="106"/>
    </row>
    <row r="111">
      <c r="A111" s="106"/>
      <c r="C111" s="106"/>
      <c r="E111" s="106"/>
      <c r="H111" s="106"/>
      <c r="I111" s="106"/>
      <c r="J111" s="106"/>
      <c r="K111" s="106"/>
      <c r="L111" s="106"/>
      <c r="M111" s="106"/>
      <c r="N111" s="106"/>
      <c r="O111" s="106"/>
      <c r="P111" s="106"/>
      <c r="Q111" s="106"/>
      <c r="R111" s="106"/>
      <c r="S111" s="106"/>
      <c r="T111" s="106"/>
      <c r="U111" s="106"/>
      <c r="V111" s="106"/>
      <c r="W111" s="106"/>
      <c r="X111" s="106"/>
      <c r="Y111" s="106"/>
      <c r="Z111" s="106"/>
    </row>
    <row r="112">
      <c r="A112" s="106"/>
      <c r="B112" s="107"/>
      <c r="C112" s="106"/>
      <c r="E112" s="106"/>
      <c r="F112" s="107"/>
      <c r="G112" s="106"/>
      <c r="H112" s="106"/>
      <c r="I112" s="106"/>
      <c r="J112" s="106"/>
      <c r="K112" s="106"/>
      <c r="L112" s="106"/>
      <c r="M112" s="106"/>
      <c r="N112" s="106"/>
      <c r="O112" s="106"/>
      <c r="P112" s="106"/>
      <c r="Q112" s="106"/>
      <c r="R112" s="106"/>
      <c r="S112" s="106"/>
      <c r="T112" s="106"/>
      <c r="U112" s="106"/>
      <c r="V112" s="106"/>
      <c r="W112" s="106"/>
      <c r="X112" s="106"/>
      <c r="Y112" s="106"/>
      <c r="Z112" s="106"/>
    </row>
    <row r="113">
      <c r="A113" s="106"/>
      <c r="B113" s="107"/>
      <c r="C113" s="106"/>
      <c r="E113" s="106"/>
      <c r="G113" s="106"/>
      <c r="H113" s="106"/>
      <c r="I113" s="106"/>
      <c r="J113" s="106"/>
      <c r="K113" s="106"/>
      <c r="L113" s="106"/>
      <c r="M113" s="106"/>
      <c r="N113" s="106"/>
      <c r="O113" s="106"/>
      <c r="P113" s="106"/>
      <c r="Q113" s="106"/>
      <c r="R113" s="106"/>
      <c r="S113" s="106"/>
      <c r="T113" s="106"/>
      <c r="U113" s="106"/>
      <c r="V113" s="106"/>
      <c r="W113" s="106"/>
      <c r="X113" s="106"/>
      <c r="Y113" s="106"/>
      <c r="Z113" s="106"/>
    </row>
    <row r="114">
      <c r="A114" s="106"/>
      <c r="B114" s="107"/>
      <c r="C114" s="106"/>
      <c r="E114" s="106"/>
      <c r="G114" s="106"/>
      <c r="H114" s="106"/>
      <c r="I114" s="106"/>
      <c r="J114" s="106"/>
      <c r="K114" s="106"/>
      <c r="L114" s="106"/>
      <c r="M114" s="106"/>
      <c r="N114" s="106"/>
      <c r="O114" s="106"/>
      <c r="P114" s="106"/>
      <c r="Q114" s="106"/>
      <c r="R114" s="106"/>
      <c r="S114" s="106"/>
      <c r="T114" s="106"/>
      <c r="U114" s="106"/>
      <c r="V114" s="106"/>
      <c r="W114" s="106"/>
      <c r="X114" s="106"/>
      <c r="Y114" s="106"/>
      <c r="Z114" s="106"/>
    </row>
    <row r="115">
      <c r="A115" s="106"/>
      <c r="B115" s="106"/>
      <c r="C115" s="106"/>
      <c r="E115" s="106"/>
      <c r="G115" s="106"/>
      <c r="H115" s="106"/>
      <c r="I115" s="106"/>
      <c r="J115" s="106"/>
      <c r="K115" s="106"/>
      <c r="L115" s="106"/>
      <c r="M115" s="106"/>
      <c r="N115" s="106"/>
      <c r="O115" s="106"/>
      <c r="P115" s="106"/>
      <c r="Q115" s="106"/>
      <c r="R115" s="106"/>
      <c r="S115" s="106"/>
      <c r="T115" s="106"/>
      <c r="U115" s="106"/>
      <c r="V115" s="106"/>
      <c r="W115" s="106"/>
      <c r="X115" s="106"/>
      <c r="Y115" s="106"/>
      <c r="Z115" s="106"/>
    </row>
    <row r="116">
      <c r="A116" s="106"/>
      <c r="B116" s="107"/>
      <c r="C116" s="106"/>
      <c r="E116" s="106"/>
      <c r="F116" s="106"/>
      <c r="G116" s="106"/>
      <c r="H116" s="106"/>
      <c r="I116" s="113"/>
      <c r="J116" s="106"/>
      <c r="K116" s="106"/>
      <c r="L116" s="106"/>
      <c r="M116" s="106"/>
      <c r="N116" s="106"/>
      <c r="O116" s="106"/>
      <c r="P116" s="106"/>
      <c r="Q116" s="106"/>
      <c r="R116" s="106"/>
      <c r="S116" s="106"/>
      <c r="T116" s="106"/>
      <c r="U116" s="106"/>
      <c r="V116" s="106"/>
      <c r="W116" s="106"/>
      <c r="X116" s="106"/>
      <c r="Y116" s="106"/>
      <c r="Z116" s="106"/>
    </row>
    <row r="117">
      <c r="A117" s="106"/>
      <c r="B117" s="107"/>
      <c r="C117" s="106"/>
      <c r="E117" s="106"/>
      <c r="F117" s="106"/>
      <c r="G117" s="106"/>
      <c r="H117" s="106"/>
      <c r="I117" s="113"/>
      <c r="J117" s="106"/>
      <c r="K117" s="106"/>
      <c r="L117" s="106"/>
      <c r="M117" s="106"/>
      <c r="N117" s="106"/>
      <c r="O117" s="106"/>
      <c r="P117" s="106"/>
      <c r="Q117" s="106"/>
      <c r="R117" s="106"/>
      <c r="S117" s="106"/>
      <c r="T117" s="106"/>
      <c r="U117" s="106"/>
      <c r="V117" s="106"/>
      <c r="W117" s="106"/>
      <c r="X117" s="106"/>
      <c r="Y117" s="106"/>
      <c r="Z117" s="106"/>
    </row>
    <row r="118">
      <c r="A118" s="106"/>
      <c r="B118" s="107"/>
      <c r="C118" s="106"/>
      <c r="E118" s="106"/>
      <c r="F118" s="106"/>
      <c r="G118" s="106"/>
      <c r="H118" s="106"/>
      <c r="I118" s="113"/>
      <c r="J118" s="106"/>
      <c r="K118" s="106"/>
      <c r="L118" s="106"/>
      <c r="M118" s="106"/>
      <c r="N118" s="106"/>
      <c r="O118" s="106"/>
      <c r="P118" s="106"/>
      <c r="Q118" s="106"/>
      <c r="R118" s="106"/>
      <c r="S118" s="106"/>
      <c r="T118" s="106"/>
      <c r="U118" s="106"/>
      <c r="V118" s="106"/>
      <c r="W118" s="106"/>
      <c r="X118" s="106"/>
      <c r="Y118" s="106"/>
      <c r="Z118" s="106"/>
    </row>
    <row r="119">
      <c r="A119" s="106"/>
      <c r="B119" s="106"/>
      <c r="C119" s="106"/>
      <c r="E119" s="106"/>
      <c r="F119" s="106"/>
      <c r="G119" s="106"/>
      <c r="H119" s="106"/>
      <c r="I119" s="113"/>
      <c r="J119" s="106"/>
      <c r="K119" s="106"/>
      <c r="L119" s="106"/>
      <c r="M119" s="106"/>
      <c r="N119" s="106"/>
      <c r="O119" s="106"/>
      <c r="P119" s="106"/>
      <c r="Q119" s="106"/>
      <c r="R119" s="106"/>
      <c r="S119" s="106"/>
      <c r="T119" s="106"/>
      <c r="U119" s="106"/>
      <c r="V119" s="106"/>
      <c r="W119" s="106"/>
      <c r="X119" s="106"/>
      <c r="Y119" s="106"/>
      <c r="Z119" s="106"/>
    </row>
    <row r="120">
      <c r="A120" s="106"/>
      <c r="B120" s="107"/>
      <c r="C120" s="106"/>
      <c r="E120" s="106"/>
      <c r="F120" s="107" t="s">
        <v>1412</v>
      </c>
      <c r="G120" s="106"/>
      <c r="H120" s="106"/>
      <c r="I120" s="113"/>
      <c r="J120" s="106"/>
      <c r="K120" s="106"/>
      <c r="L120" s="106"/>
      <c r="M120" s="106"/>
      <c r="N120" s="106"/>
      <c r="O120" s="106"/>
      <c r="P120" s="106"/>
      <c r="Q120" s="106"/>
      <c r="R120" s="106"/>
      <c r="S120" s="106"/>
      <c r="T120" s="106"/>
      <c r="U120" s="106"/>
      <c r="V120" s="106"/>
      <c r="W120" s="106"/>
      <c r="X120" s="106"/>
      <c r="Y120" s="106"/>
      <c r="Z120" s="106"/>
    </row>
    <row r="121">
      <c r="A121" s="106"/>
      <c r="B121" s="107"/>
      <c r="C121" s="106"/>
      <c r="E121" s="106"/>
      <c r="F121" s="107" t="s">
        <v>1413</v>
      </c>
      <c r="G121" s="106"/>
      <c r="H121" s="106"/>
      <c r="I121" s="113"/>
      <c r="J121" s="106"/>
      <c r="K121" s="106"/>
      <c r="L121" s="106"/>
      <c r="M121" s="106"/>
      <c r="N121" s="106"/>
      <c r="O121" s="106"/>
      <c r="P121" s="106"/>
      <c r="Q121" s="106"/>
      <c r="R121" s="106"/>
      <c r="S121" s="106"/>
      <c r="T121" s="106"/>
      <c r="U121" s="106"/>
      <c r="V121" s="106"/>
      <c r="W121" s="106"/>
      <c r="X121" s="106"/>
      <c r="Y121" s="106"/>
      <c r="Z121" s="106"/>
    </row>
    <row r="122">
      <c r="A122" s="106"/>
      <c r="B122" s="107"/>
      <c r="C122" s="106"/>
      <c r="E122" s="106"/>
      <c r="F122" s="107" t="s">
        <v>1414</v>
      </c>
      <c r="G122" s="106"/>
      <c r="H122" s="106"/>
      <c r="I122" s="113"/>
      <c r="J122" s="106"/>
      <c r="K122" s="106"/>
      <c r="L122" s="106"/>
      <c r="M122" s="106"/>
      <c r="N122" s="106"/>
      <c r="O122" s="106"/>
      <c r="P122" s="106"/>
      <c r="Q122" s="106"/>
      <c r="R122" s="106"/>
      <c r="S122" s="106"/>
      <c r="T122" s="106"/>
      <c r="U122" s="106"/>
      <c r="V122" s="106"/>
      <c r="W122" s="106"/>
      <c r="X122" s="106"/>
      <c r="Y122" s="106"/>
      <c r="Z122" s="106"/>
    </row>
    <row r="123">
      <c r="A123" s="106"/>
      <c r="B123" s="106"/>
      <c r="C123" s="106"/>
      <c r="E123" s="106"/>
      <c r="F123" s="106"/>
      <c r="G123" s="106"/>
      <c r="H123" s="106"/>
      <c r="I123" s="113"/>
      <c r="J123" s="106"/>
      <c r="K123" s="106"/>
      <c r="L123" s="106"/>
      <c r="M123" s="106"/>
      <c r="N123" s="106"/>
      <c r="O123" s="106"/>
      <c r="P123" s="106"/>
      <c r="Q123" s="106"/>
      <c r="R123" s="106"/>
      <c r="S123" s="106"/>
      <c r="T123" s="106"/>
      <c r="U123" s="106"/>
      <c r="V123" s="106"/>
      <c r="W123" s="106"/>
      <c r="X123" s="106"/>
      <c r="Y123" s="106"/>
      <c r="Z123" s="106"/>
    </row>
    <row r="124">
      <c r="A124" s="106"/>
      <c r="B124" s="107"/>
      <c r="C124" s="106"/>
      <c r="E124" s="106"/>
      <c r="F124" s="107" t="s">
        <v>1415</v>
      </c>
      <c r="G124" s="106"/>
      <c r="H124" s="106"/>
      <c r="I124" s="113"/>
      <c r="J124" s="106"/>
      <c r="K124" s="106"/>
      <c r="L124" s="106"/>
      <c r="M124" s="106"/>
      <c r="N124" s="106"/>
      <c r="O124" s="106"/>
      <c r="P124" s="106"/>
      <c r="Q124" s="106"/>
      <c r="R124" s="106"/>
      <c r="S124" s="106"/>
      <c r="T124" s="106"/>
      <c r="U124" s="106"/>
      <c r="V124" s="106"/>
      <c r="W124" s="106"/>
      <c r="X124" s="106"/>
      <c r="Y124" s="106"/>
      <c r="Z124" s="106"/>
    </row>
    <row r="125">
      <c r="A125" s="106"/>
      <c r="B125" s="107"/>
      <c r="C125" s="106"/>
      <c r="E125" s="106"/>
      <c r="F125" s="107" t="s">
        <v>1416</v>
      </c>
      <c r="G125" s="106"/>
      <c r="H125" s="106"/>
      <c r="I125" s="113"/>
      <c r="J125" s="106"/>
      <c r="K125" s="106"/>
      <c r="L125" s="106"/>
      <c r="M125" s="106"/>
      <c r="N125" s="106"/>
      <c r="O125" s="106"/>
      <c r="P125" s="106"/>
      <c r="Q125" s="106"/>
      <c r="R125" s="106"/>
      <c r="S125" s="106"/>
      <c r="T125" s="106"/>
      <c r="U125" s="106"/>
      <c r="V125" s="106"/>
      <c r="W125" s="106"/>
      <c r="X125" s="106"/>
      <c r="Y125" s="106"/>
      <c r="Z125" s="106"/>
    </row>
    <row r="126">
      <c r="A126" s="106"/>
      <c r="B126" s="107"/>
      <c r="C126" s="106"/>
      <c r="E126" s="106"/>
      <c r="F126" s="107" t="s">
        <v>1417</v>
      </c>
      <c r="G126" s="106"/>
      <c r="H126" s="106"/>
      <c r="I126" s="113"/>
      <c r="J126" s="106"/>
      <c r="K126" s="106"/>
      <c r="L126" s="106"/>
      <c r="M126" s="106"/>
      <c r="N126" s="106"/>
      <c r="O126" s="106"/>
      <c r="P126" s="106"/>
      <c r="Q126" s="106"/>
      <c r="R126" s="106"/>
      <c r="S126" s="106"/>
      <c r="T126" s="106"/>
      <c r="U126" s="106"/>
      <c r="V126" s="106"/>
      <c r="W126" s="106"/>
      <c r="X126" s="106"/>
      <c r="Y126" s="106"/>
      <c r="Z126" s="106"/>
    </row>
    <row r="127">
      <c r="A127" s="106"/>
      <c r="B127" s="106"/>
      <c r="C127" s="106"/>
      <c r="E127" s="106"/>
      <c r="F127" s="107" t="s">
        <v>1418</v>
      </c>
      <c r="G127" s="106"/>
      <c r="H127" s="106"/>
      <c r="I127" s="113"/>
      <c r="J127" s="106"/>
      <c r="K127" s="106"/>
      <c r="L127" s="106"/>
      <c r="M127" s="106"/>
      <c r="N127" s="106"/>
      <c r="O127" s="106"/>
      <c r="P127" s="106"/>
      <c r="Q127" s="106"/>
      <c r="R127" s="106"/>
      <c r="S127" s="106"/>
      <c r="T127" s="106"/>
      <c r="U127" s="106"/>
      <c r="V127" s="106"/>
      <c r="W127" s="106"/>
      <c r="X127" s="106"/>
      <c r="Y127" s="106"/>
      <c r="Z127" s="106"/>
    </row>
    <row r="128">
      <c r="A128" s="106"/>
      <c r="B128" s="107"/>
      <c r="C128" s="106"/>
      <c r="E128" s="106"/>
      <c r="F128" s="107" t="s">
        <v>1419</v>
      </c>
      <c r="G128" s="106"/>
      <c r="H128" s="106"/>
      <c r="I128" s="113"/>
      <c r="J128" s="106"/>
      <c r="K128" s="106"/>
      <c r="L128" s="106"/>
      <c r="M128" s="106"/>
      <c r="N128" s="106"/>
      <c r="O128" s="106"/>
      <c r="P128" s="106"/>
      <c r="Q128" s="106"/>
      <c r="R128" s="106"/>
      <c r="S128" s="106"/>
      <c r="T128" s="106"/>
      <c r="U128" s="106"/>
      <c r="V128" s="106"/>
      <c r="W128" s="106"/>
      <c r="X128" s="106"/>
      <c r="Y128" s="106"/>
      <c r="Z128" s="106"/>
    </row>
    <row r="129">
      <c r="A129" s="106"/>
      <c r="B129" s="107"/>
      <c r="C129" s="106"/>
      <c r="E129" s="106"/>
      <c r="F129" s="107" t="s">
        <v>1420</v>
      </c>
      <c r="G129" s="106"/>
      <c r="H129" s="106"/>
      <c r="I129" s="113"/>
      <c r="J129" s="106"/>
      <c r="K129" s="106"/>
      <c r="L129" s="106"/>
      <c r="M129" s="106"/>
      <c r="N129" s="106"/>
      <c r="O129" s="106"/>
      <c r="P129" s="106"/>
      <c r="Q129" s="106"/>
      <c r="R129" s="106"/>
      <c r="S129" s="106"/>
      <c r="T129" s="106"/>
      <c r="U129" s="106"/>
      <c r="V129" s="106"/>
      <c r="W129" s="106"/>
      <c r="X129" s="106"/>
      <c r="Y129" s="106"/>
      <c r="Z129" s="106"/>
    </row>
    <row r="130">
      <c r="A130" s="106"/>
      <c r="B130" s="107"/>
      <c r="C130" s="106"/>
      <c r="E130" s="106"/>
      <c r="F130" s="107" t="s">
        <v>1421</v>
      </c>
      <c r="G130" s="106"/>
      <c r="H130" s="106"/>
      <c r="I130" s="113"/>
      <c r="J130" s="106"/>
      <c r="K130" s="106"/>
      <c r="L130" s="106"/>
      <c r="M130" s="106"/>
      <c r="N130" s="106"/>
      <c r="O130" s="106"/>
      <c r="P130" s="106"/>
      <c r="Q130" s="106"/>
      <c r="R130" s="106"/>
      <c r="S130" s="106"/>
      <c r="T130" s="106"/>
      <c r="U130" s="106"/>
      <c r="V130" s="106"/>
      <c r="W130" s="106"/>
      <c r="X130" s="106"/>
      <c r="Y130" s="106"/>
      <c r="Z130" s="106"/>
    </row>
    <row r="131">
      <c r="A131" s="106"/>
      <c r="B131" s="106"/>
      <c r="C131" s="106"/>
      <c r="E131" s="106"/>
      <c r="F131" s="107" t="s">
        <v>1422</v>
      </c>
      <c r="G131" s="106"/>
      <c r="H131" s="106"/>
      <c r="I131" s="113"/>
      <c r="J131" s="106"/>
      <c r="K131" s="106"/>
      <c r="L131" s="106"/>
      <c r="M131" s="106"/>
      <c r="N131" s="106"/>
      <c r="O131" s="106"/>
      <c r="P131" s="106"/>
      <c r="Q131" s="106"/>
      <c r="R131" s="106"/>
      <c r="S131" s="106"/>
      <c r="T131" s="106"/>
      <c r="U131" s="106"/>
      <c r="V131" s="106"/>
      <c r="W131" s="106"/>
      <c r="X131" s="106"/>
      <c r="Y131" s="106"/>
      <c r="Z131" s="106"/>
    </row>
    <row r="132">
      <c r="A132" s="106"/>
      <c r="B132" s="107"/>
      <c r="C132" s="106"/>
      <c r="E132" s="106"/>
      <c r="F132" s="107" t="s">
        <v>1423</v>
      </c>
      <c r="G132" s="106"/>
      <c r="H132" s="106"/>
      <c r="I132" s="113"/>
      <c r="J132" s="106"/>
      <c r="K132" s="106"/>
      <c r="L132" s="106"/>
      <c r="M132" s="106"/>
      <c r="N132" s="106"/>
      <c r="O132" s="106"/>
      <c r="P132" s="106"/>
      <c r="Q132" s="106"/>
      <c r="R132" s="106"/>
      <c r="S132" s="106"/>
      <c r="T132" s="106"/>
      <c r="U132" s="106"/>
      <c r="V132" s="106"/>
      <c r="W132" s="106"/>
      <c r="X132" s="106"/>
      <c r="Y132" s="106"/>
      <c r="Z132" s="106"/>
    </row>
    <row r="133">
      <c r="A133" s="106"/>
      <c r="B133" s="107"/>
      <c r="C133" s="106"/>
      <c r="E133" s="106"/>
      <c r="F133" s="107" t="s">
        <v>1424</v>
      </c>
      <c r="G133" s="106"/>
      <c r="H133" s="106"/>
      <c r="I133" s="113"/>
      <c r="J133" s="106"/>
      <c r="K133" s="106"/>
      <c r="L133" s="106"/>
      <c r="M133" s="106"/>
      <c r="N133" s="106"/>
      <c r="O133" s="106"/>
      <c r="P133" s="106"/>
      <c r="Q133" s="106"/>
      <c r="R133" s="106"/>
      <c r="S133" s="106"/>
      <c r="T133" s="106"/>
      <c r="U133" s="106"/>
      <c r="V133" s="106"/>
      <c r="W133" s="106"/>
      <c r="X133" s="106"/>
      <c r="Y133" s="106"/>
      <c r="Z133" s="106"/>
    </row>
    <row r="134">
      <c r="A134" s="106"/>
      <c r="B134" s="107"/>
      <c r="C134" s="106"/>
      <c r="E134" s="106"/>
      <c r="F134" s="106"/>
      <c r="G134" s="106"/>
      <c r="H134" s="106"/>
      <c r="I134" s="113"/>
      <c r="J134" s="106"/>
      <c r="K134" s="106"/>
      <c r="L134" s="106"/>
      <c r="M134" s="106"/>
      <c r="N134" s="106"/>
      <c r="O134" s="106"/>
      <c r="P134" s="106"/>
      <c r="Q134" s="106"/>
      <c r="R134" s="106"/>
      <c r="S134" s="106"/>
      <c r="T134" s="106"/>
      <c r="U134" s="106"/>
      <c r="V134" s="106"/>
      <c r="W134" s="106"/>
      <c r="X134" s="106"/>
      <c r="Y134" s="106"/>
      <c r="Z134" s="106"/>
    </row>
    <row r="135">
      <c r="A135" s="106"/>
      <c r="B135" s="106"/>
      <c r="C135" s="106"/>
      <c r="E135" s="106"/>
      <c r="F135" s="106"/>
      <c r="G135" s="106"/>
      <c r="H135" s="106"/>
      <c r="I135" s="113"/>
      <c r="J135" s="106"/>
      <c r="K135" s="106"/>
      <c r="L135" s="106"/>
      <c r="M135" s="106"/>
      <c r="N135" s="106"/>
      <c r="O135" s="106"/>
      <c r="P135" s="106"/>
      <c r="Q135" s="106"/>
      <c r="R135" s="106"/>
      <c r="S135" s="106"/>
      <c r="T135" s="106"/>
      <c r="U135" s="106"/>
      <c r="V135" s="106"/>
      <c r="W135" s="106"/>
      <c r="X135" s="106"/>
      <c r="Y135" s="106"/>
      <c r="Z135" s="106"/>
    </row>
    <row r="136">
      <c r="A136" s="106"/>
      <c r="B136" s="107"/>
      <c r="C136" s="106"/>
      <c r="E136" s="106"/>
      <c r="F136" s="106"/>
      <c r="G136" s="106"/>
      <c r="H136" s="106"/>
      <c r="I136" s="113"/>
      <c r="J136" s="106"/>
      <c r="K136" s="106"/>
      <c r="L136" s="106"/>
      <c r="M136" s="106"/>
      <c r="N136" s="106"/>
      <c r="O136" s="106"/>
      <c r="P136" s="106"/>
      <c r="Q136" s="106"/>
      <c r="R136" s="106"/>
      <c r="S136" s="106"/>
      <c r="T136" s="106"/>
      <c r="U136" s="106"/>
      <c r="V136" s="106"/>
      <c r="W136" s="106"/>
      <c r="X136" s="106"/>
      <c r="Y136" s="106"/>
      <c r="Z136" s="106"/>
    </row>
    <row r="137">
      <c r="A137" s="106"/>
      <c r="B137" s="107"/>
      <c r="C137" s="106"/>
      <c r="E137" s="106"/>
      <c r="F137" s="106"/>
      <c r="G137" s="106"/>
      <c r="H137" s="106"/>
      <c r="I137" s="113"/>
      <c r="J137" s="106"/>
      <c r="K137" s="106"/>
      <c r="L137" s="106"/>
      <c r="M137" s="106"/>
      <c r="N137" s="106"/>
      <c r="O137" s="106"/>
      <c r="P137" s="106"/>
      <c r="Q137" s="106"/>
      <c r="R137" s="106"/>
      <c r="S137" s="106"/>
      <c r="T137" s="106"/>
      <c r="U137" s="106"/>
      <c r="V137" s="106"/>
      <c r="W137" s="106"/>
      <c r="X137" s="106"/>
      <c r="Y137" s="106"/>
      <c r="Z137" s="106"/>
    </row>
    <row r="138">
      <c r="A138" s="106"/>
      <c r="B138" s="107"/>
      <c r="C138" s="106"/>
      <c r="E138" s="106"/>
      <c r="F138" s="106"/>
      <c r="G138" s="106"/>
      <c r="H138" s="106"/>
      <c r="I138" s="113"/>
      <c r="J138" s="106"/>
      <c r="K138" s="106"/>
      <c r="L138" s="106"/>
      <c r="M138" s="106"/>
      <c r="N138" s="106"/>
      <c r="O138" s="106"/>
      <c r="P138" s="106"/>
      <c r="Q138" s="106"/>
      <c r="R138" s="106"/>
      <c r="S138" s="106"/>
      <c r="T138" s="106"/>
      <c r="U138" s="106"/>
      <c r="V138" s="106"/>
      <c r="W138" s="106"/>
      <c r="X138" s="106"/>
      <c r="Y138" s="106"/>
      <c r="Z138" s="106"/>
    </row>
    <row r="139">
      <c r="A139" s="106"/>
      <c r="B139" s="113"/>
      <c r="C139" s="106"/>
      <c r="E139" s="106"/>
      <c r="F139" s="106"/>
      <c r="G139" s="106"/>
      <c r="H139" s="106"/>
      <c r="I139" s="113"/>
      <c r="J139" s="106"/>
      <c r="K139" s="106"/>
      <c r="L139" s="106"/>
      <c r="M139" s="106"/>
      <c r="N139" s="106"/>
      <c r="O139" s="106"/>
      <c r="P139" s="106"/>
      <c r="Q139" s="106"/>
      <c r="R139" s="106"/>
      <c r="S139" s="106"/>
      <c r="T139" s="106"/>
      <c r="U139" s="106"/>
      <c r="V139" s="106"/>
      <c r="W139" s="106"/>
      <c r="X139" s="106"/>
      <c r="Y139" s="106"/>
      <c r="Z139" s="106"/>
    </row>
    <row r="140">
      <c r="A140" s="106"/>
      <c r="B140" s="113"/>
      <c r="C140" s="106"/>
      <c r="E140" s="106"/>
      <c r="F140" s="106"/>
      <c r="G140" s="106"/>
      <c r="H140" s="106"/>
      <c r="I140" s="113"/>
      <c r="J140" s="106"/>
      <c r="K140" s="106"/>
      <c r="L140" s="106"/>
      <c r="M140" s="106"/>
      <c r="N140" s="106"/>
      <c r="O140" s="106"/>
      <c r="P140" s="106"/>
      <c r="Q140" s="106"/>
      <c r="R140" s="106"/>
      <c r="S140" s="106"/>
      <c r="T140" s="106"/>
      <c r="U140" s="106"/>
      <c r="V140" s="106"/>
      <c r="W140" s="106"/>
      <c r="X140" s="106"/>
      <c r="Y140" s="106"/>
      <c r="Z140" s="106"/>
    </row>
    <row r="141">
      <c r="A141" s="106"/>
      <c r="B141" s="113"/>
      <c r="C141" s="106"/>
      <c r="E141" s="106"/>
      <c r="F141" s="106"/>
      <c r="G141" s="106"/>
      <c r="H141" s="106"/>
      <c r="I141" s="113"/>
      <c r="J141" s="106"/>
      <c r="K141" s="106"/>
      <c r="L141" s="106"/>
      <c r="M141" s="106"/>
      <c r="N141" s="106"/>
      <c r="O141" s="106"/>
      <c r="P141" s="106"/>
      <c r="Q141" s="106"/>
      <c r="R141" s="106"/>
      <c r="S141" s="106"/>
      <c r="T141" s="106"/>
      <c r="U141" s="106"/>
      <c r="V141" s="106"/>
      <c r="W141" s="106"/>
      <c r="X141" s="106"/>
      <c r="Y141" s="106"/>
      <c r="Z141" s="106"/>
    </row>
    <row r="142">
      <c r="A142" s="106"/>
      <c r="B142" s="113"/>
      <c r="C142" s="106"/>
      <c r="E142" s="106"/>
      <c r="F142" s="106"/>
      <c r="G142" s="106"/>
      <c r="H142" s="106"/>
      <c r="I142" s="113"/>
      <c r="J142" s="106"/>
      <c r="K142" s="106"/>
      <c r="L142" s="106"/>
      <c r="M142" s="106"/>
      <c r="N142" s="106"/>
      <c r="O142" s="106"/>
      <c r="P142" s="106"/>
      <c r="Q142" s="106"/>
      <c r="R142" s="106"/>
      <c r="S142" s="106"/>
      <c r="T142" s="106"/>
      <c r="U142" s="106"/>
      <c r="V142" s="106"/>
      <c r="W142" s="106"/>
      <c r="X142" s="106"/>
      <c r="Y142" s="106"/>
      <c r="Z142" s="106"/>
    </row>
    <row r="143">
      <c r="A143" s="106"/>
      <c r="B143" s="113"/>
      <c r="C143" s="106"/>
      <c r="E143" s="106"/>
      <c r="F143" s="106"/>
      <c r="G143" s="106"/>
      <c r="H143" s="106"/>
      <c r="I143" s="113"/>
      <c r="J143" s="106"/>
      <c r="K143" s="106"/>
      <c r="L143" s="106"/>
      <c r="M143" s="106"/>
      <c r="N143" s="106"/>
      <c r="O143" s="106"/>
      <c r="P143" s="106"/>
      <c r="Q143" s="106"/>
      <c r="R143" s="106"/>
      <c r="S143" s="106"/>
      <c r="T143" s="106"/>
      <c r="U143" s="106"/>
      <c r="V143" s="106"/>
      <c r="W143" s="106"/>
      <c r="X143" s="106"/>
      <c r="Y143" s="106"/>
      <c r="Z143" s="106"/>
    </row>
    <row r="144">
      <c r="A144" s="106"/>
      <c r="B144" s="113"/>
      <c r="C144" s="106"/>
      <c r="E144" s="106"/>
      <c r="F144" s="106"/>
      <c r="G144" s="106"/>
      <c r="H144" s="106"/>
      <c r="I144" s="113"/>
      <c r="J144" s="106"/>
      <c r="K144" s="106"/>
      <c r="L144" s="106"/>
      <c r="M144" s="106"/>
      <c r="N144" s="106"/>
      <c r="O144" s="106"/>
      <c r="P144" s="106"/>
      <c r="Q144" s="106"/>
      <c r="R144" s="106"/>
      <c r="S144" s="106"/>
      <c r="T144" s="106"/>
      <c r="U144" s="106"/>
      <c r="V144" s="106"/>
      <c r="W144" s="106"/>
      <c r="X144" s="106"/>
      <c r="Y144" s="106"/>
      <c r="Z144" s="106"/>
    </row>
    <row r="145">
      <c r="A145" s="106"/>
      <c r="B145" s="113"/>
      <c r="C145" s="106"/>
      <c r="E145" s="106"/>
      <c r="F145" s="106"/>
      <c r="G145" s="106"/>
      <c r="H145" s="106"/>
      <c r="I145" s="113"/>
      <c r="J145" s="106"/>
      <c r="K145" s="106"/>
      <c r="L145" s="106"/>
      <c r="M145" s="106"/>
      <c r="N145" s="106"/>
      <c r="O145" s="106"/>
      <c r="P145" s="106"/>
      <c r="Q145" s="106"/>
      <c r="R145" s="106"/>
      <c r="S145" s="106"/>
      <c r="T145" s="106"/>
      <c r="U145" s="106"/>
      <c r="V145" s="106"/>
      <c r="W145" s="106"/>
      <c r="X145" s="106"/>
      <c r="Y145" s="106"/>
      <c r="Z145" s="106"/>
    </row>
    <row r="146">
      <c r="A146" s="106"/>
      <c r="B146" s="113"/>
      <c r="C146" s="106"/>
      <c r="E146" s="106"/>
      <c r="F146" s="106"/>
      <c r="G146" s="106"/>
      <c r="H146" s="106"/>
      <c r="I146" s="113"/>
      <c r="J146" s="106"/>
      <c r="K146" s="106"/>
      <c r="L146" s="106"/>
      <c r="M146" s="106"/>
      <c r="N146" s="106"/>
      <c r="O146" s="106"/>
      <c r="P146" s="106"/>
      <c r="Q146" s="106"/>
      <c r="R146" s="106"/>
      <c r="S146" s="106"/>
      <c r="T146" s="106"/>
      <c r="U146" s="106"/>
      <c r="V146" s="106"/>
      <c r="W146" s="106"/>
      <c r="X146" s="106"/>
      <c r="Y146" s="106"/>
      <c r="Z146" s="106"/>
    </row>
    <row r="147">
      <c r="A147" s="106"/>
      <c r="B147" s="113"/>
      <c r="C147" s="106"/>
      <c r="E147" s="106"/>
      <c r="F147" s="106"/>
      <c r="G147" s="106"/>
      <c r="H147" s="106"/>
      <c r="I147" s="113"/>
      <c r="J147" s="106"/>
      <c r="K147" s="106"/>
      <c r="L147" s="106"/>
      <c r="M147" s="106"/>
      <c r="N147" s="106"/>
      <c r="O147" s="106"/>
      <c r="P147" s="106"/>
      <c r="Q147" s="106"/>
      <c r="R147" s="106"/>
      <c r="S147" s="106"/>
      <c r="T147" s="106"/>
      <c r="U147" s="106"/>
      <c r="V147" s="106"/>
      <c r="W147" s="106"/>
      <c r="X147" s="106"/>
      <c r="Y147" s="106"/>
      <c r="Z147" s="106"/>
    </row>
    <row r="148">
      <c r="A148" s="106"/>
      <c r="B148" s="113"/>
      <c r="C148" s="106"/>
      <c r="E148" s="106"/>
      <c r="F148" s="106"/>
      <c r="G148" s="106"/>
      <c r="H148" s="106"/>
      <c r="I148" s="113"/>
      <c r="J148" s="106"/>
      <c r="K148" s="106"/>
      <c r="L148" s="106"/>
      <c r="M148" s="106"/>
      <c r="N148" s="106"/>
      <c r="O148" s="106"/>
      <c r="P148" s="106"/>
      <c r="Q148" s="106"/>
      <c r="R148" s="106"/>
      <c r="S148" s="106"/>
      <c r="T148" s="106"/>
      <c r="U148" s="106"/>
      <c r="V148" s="106"/>
      <c r="W148" s="106"/>
      <c r="X148" s="106"/>
      <c r="Y148" s="106"/>
      <c r="Z148" s="106"/>
    </row>
    <row r="149">
      <c r="A149" s="106"/>
      <c r="B149" s="113"/>
      <c r="C149" s="106"/>
      <c r="E149" s="106"/>
      <c r="F149" s="106"/>
      <c r="G149" s="106"/>
      <c r="H149" s="106"/>
      <c r="I149" s="113"/>
      <c r="J149" s="106"/>
      <c r="K149" s="106"/>
      <c r="L149" s="106"/>
      <c r="M149" s="106"/>
      <c r="N149" s="106"/>
      <c r="O149" s="106"/>
      <c r="P149" s="106"/>
      <c r="Q149" s="106"/>
      <c r="R149" s="106"/>
      <c r="S149" s="106"/>
      <c r="T149" s="106"/>
      <c r="U149" s="106"/>
      <c r="V149" s="106"/>
      <c r="W149" s="106"/>
      <c r="X149" s="106"/>
      <c r="Y149" s="106"/>
      <c r="Z149" s="106"/>
    </row>
    <row r="150">
      <c r="A150" s="106"/>
      <c r="B150" s="113"/>
      <c r="C150" s="106"/>
      <c r="E150" s="106"/>
      <c r="F150" s="106"/>
      <c r="G150" s="106"/>
      <c r="H150" s="106"/>
      <c r="I150" s="113"/>
      <c r="J150" s="106"/>
      <c r="K150" s="106"/>
      <c r="L150" s="106"/>
      <c r="M150" s="106"/>
      <c r="N150" s="106"/>
      <c r="O150" s="106"/>
      <c r="P150" s="106"/>
      <c r="Q150" s="106"/>
      <c r="R150" s="106"/>
      <c r="S150" s="106"/>
      <c r="T150" s="106"/>
      <c r="U150" s="106"/>
      <c r="V150" s="106"/>
      <c r="W150" s="106"/>
      <c r="X150" s="106"/>
      <c r="Y150" s="106"/>
      <c r="Z150" s="106"/>
    </row>
    <row r="151">
      <c r="A151" s="106"/>
      <c r="B151" s="113"/>
      <c r="C151" s="106"/>
      <c r="E151" s="106"/>
      <c r="F151" s="106"/>
      <c r="G151" s="106"/>
      <c r="H151" s="106"/>
      <c r="I151" s="113"/>
      <c r="J151" s="106"/>
      <c r="K151" s="106"/>
      <c r="L151" s="106"/>
      <c r="M151" s="106"/>
      <c r="N151" s="106"/>
      <c r="O151" s="106"/>
      <c r="P151" s="106"/>
      <c r="Q151" s="106"/>
      <c r="R151" s="106"/>
      <c r="S151" s="106"/>
      <c r="T151" s="106"/>
      <c r="U151" s="106"/>
      <c r="V151" s="106"/>
      <c r="W151" s="106"/>
      <c r="X151" s="106"/>
      <c r="Y151" s="106"/>
      <c r="Z151" s="106"/>
    </row>
    <row r="152">
      <c r="A152" s="106"/>
      <c r="B152" s="113"/>
      <c r="C152" s="106"/>
      <c r="E152" s="106"/>
      <c r="F152" s="106"/>
      <c r="G152" s="106"/>
      <c r="H152" s="106"/>
      <c r="I152" s="113"/>
      <c r="J152" s="106"/>
      <c r="K152" s="106"/>
      <c r="L152" s="106"/>
      <c r="M152" s="106"/>
      <c r="N152" s="106"/>
      <c r="O152" s="106"/>
      <c r="P152" s="106"/>
      <c r="Q152" s="106"/>
      <c r="R152" s="106"/>
      <c r="S152" s="106"/>
      <c r="T152" s="106"/>
      <c r="U152" s="106"/>
      <c r="V152" s="106"/>
      <c r="W152" s="106"/>
      <c r="X152" s="106"/>
      <c r="Y152" s="106"/>
      <c r="Z152" s="106"/>
    </row>
    <row r="153">
      <c r="A153" s="106"/>
      <c r="B153" s="113"/>
      <c r="C153" s="106"/>
      <c r="E153" s="106"/>
      <c r="F153" s="106"/>
      <c r="G153" s="106"/>
      <c r="H153" s="106"/>
      <c r="I153" s="113"/>
      <c r="J153" s="106"/>
      <c r="K153" s="106"/>
      <c r="L153" s="106"/>
      <c r="M153" s="106"/>
      <c r="N153" s="106"/>
      <c r="O153" s="106"/>
      <c r="P153" s="106"/>
      <c r="Q153" s="106"/>
      <c r="R153" s="106"/>
      <c r="S153" s="106"/>
      <c r="T153" s="106"/>
      <c r="U153" s="106"/>
      <c r="V153" s="106"/>
      <c r="W153" s="106"/>
      <c r="X153" s="106"/>
      <c r="Y153" s="106"/>
      <c r="Z153" s="106"/>
    </row>
    <row r="154">
      <c r="A154" s="106"/>
      <c r="B154" s="113"/>
      <c r="C154" s="106"/>
      <c r="E154" s="106"/>
      <c r="F154" s="106"/>
      <c r="G154" s="106"/>
      <c r="H154" s="106"/>
      <c r="I154" s="113"/>
      <c r="J154" s="106"/>
      <c r="K154" s="106"/>
      <c r="L154" s="106"/>
      <c r="M154" s="106"/>
      <c r="N154" s="106"/>
      <c r="O154" s="106"/>
      <c r="P154" s="106"/>
      <c r="Q154" s="106"/>
      <c r="R154" s="106"/>
      <c r="S154" s="106"/>
      <c r="T154" s="106"/>
      <c r="U154" s="106"/>
      <c r="V154" s="106"/>
      <c r="W154" s="106"/>
      <c r="X154" s="106"/>
      <c r="Y154" s="106"/>
      <c r="Z154" s="106"/>
    </row>
    <row r="155">
      <c r="A155" s="106"/>
      <c r="B155" s="113"/>
      <c r="C155" s="106"/>
      <c r="E155" s="106"/>
      <c r="F155" s="106"/>
      <c r="G155" s="106"/>
      <c r="H155" s="106"/>
      <c r="I155" s="113"/>
      <c r="J155" s="106"/>
      <c r="K155" s="106"/>
      <c r="L155" s="106"/>
      <c r="M155" s="106"/>
      <c r="N155" s="106"/>
      <c r="O155" s="106"/>
      <c r="P155" s="106"/>
      <c r="Q155" s="106"/>
      <c r="R155" s="106"/>
      <c r="S155" s="106"/>
      <c r="T155" s="106"/>
      <c r="U155" s="106"/>
      <c r="V155" s="106"/>
      <c r="W155" s="106"/>
      <c r="X155" s="106"/>
      <c r="Y155" s="106"/>
      <c r="Z155" s="106"/>
    </row>
    <row r="156">
      <c r="A156" s="106"/>
      <c r="B156" s="113"/>
      <c r="C156" s="106"/>
      <c r="E156" s="106"/>
      <c r="F156" s="106"/>
      <c r="G156" s="106"/>
      <c r="H156" s="106"/>
      <c r="I156" s="113"/>
      <c r="J156" s="106"/>
      <c r="K156" s="106"/>
      <c r="L156" s="106"/>
      <c r="M156" s="106"/>
      <c r="N156" s="106"/>
      <c r="O156" s="106"/>
      <c r="P156" s="106"/>
      <c r="Q156" s="106"/>
      <c r="R156" s="106"/>
      <c r="S156" s="106"/>
      <c r="T156" s="106"/>
      <c r="U156" s="106"/>
      <c r="V156" s="106"/>
      <c r="W156" s="106"/>
      <c r="X156" s="106"/>
      <c r="Y156" s="106"/>
      <c r="Z156" s="106"/>
    </row>
    <row r="157">
      <c r="A157" s="106"/>
      <c r="B157" s="113"/>
      <c r="C157" s="106"/>
      <c r="E157" s="106"/>
      <c r="F157" s="106"/>
      <c r="G157" s="106"/>
      <c r="H157" s="106"/>
      <c r="I157" s="113"/>
      <c r="J157" s="106"/>
      <c r="K157" s="106"/>
      <c r="L157" s="106"/>
      <c r="M157" s="106"/>
      <c r="N157" s="106"/>
      <c r="O157" s="106"/>
      <c r="P157" s="106"/>
      <c r="Q157" s="106"/>
      <c r="R157" s="106"/>
      <c r="S157" s="106"/>
      <c r="T157" s="106"/>
      <c r="U157" s="106"/>
      <c r="V157" s="106"/>
      <c r="W157" s="106"/>
      <c r="X157" s="106"/>
      <c r="Y157" s="106"/>
      <c r="Z157" s="106"/>
    </row>
    <row r="158">
      <c r="A158" s="106"/>
      <c r="B158" s="113"/>
      <c r="C158" s="106"/>
      <c r="E158" s="106"/>
      <c r="F158" s="106"/>
      <c r="G158" s="106"/>
      <c r="H158" s="106"/>
      <c r="I158" s="113"/>
      <c r="J158" s="106"/>
      <c r="K158" s="106"/>
      <c r="L158" s="106"/>
      <c r="M158" s="106"/>
      <c r="N158" s="106"/>
      <c r="O158" s="106"/>
      <c r="P158" s="106"/>
      <c r="Q158" s="106"/>
      <c r="R158" s="106"/>
      <c r="S158" s="106"/>
      <c r="T158" s="106"/>
      <c r="U158" s="106"/>
      <c r="V158" s="106"/>
      <c r="W158" s="106"/>
      <c r="X158" s="106"/>
      <c r="Y158" s="106"/>
      <c r="Z158" s="106"/>
    </row>
    <row r="159">
      <c r="A159" s="106"/>
      <c r="B159" s="113"/>
      <c r="C159" s="106"/>
      <c r="E159" s="106"/>
      <c r="F159" s="106"/>
      <c r="G159" s="106"/>
      <c r="H159" s="106"/>
      <c r="I159" s="113"/>
      <c r="J159" s="106"/>
      <c r="K159" s="106"/>
      <c r="L159" s="106"/>
      <c r="M159" s="106"/>
      <c r="N159" s="106"/>
      <c r="O159" s="106"/>
      <c r="P159" s="106"/>
      <c r="Q159" s="106"/>
      <c r="R159" s="106"/>
      <c r="S159" s="106"/>
      <c r="T159" s="106"/>
      <c r="U159" s="106"/>
      <c r="V159" s="106"/>
      <c r="W159" s="106"/>
      <c r="X159" s="106"/>
      <c r="Y159" s="106"/>
      <c r="Z159" s="106"/>
    </row>
    <row r="160">
      <c r="A160" s="106"/>
      <c r="B160" s="113"/>
      <c r="C160" s="106"/>
      <c r="D160" s="107"/>
      <c r="E160" s="106"/>
      <c r="F160" s="106"/>
      <c r="G160" s="106"/>
      <c r="H160" s="106"/>
      <c r="I160" s="113"/>
      <c r="J160" s="106"/>
      <c r="K160" s="106"/>
      <c r="L160" s="106"/>
      <c r="M160" s="106"/>
      <c r="N160" s="106"/>
      <c r="O160" s="106"/>
      <c r="P160" s="106"/>
      <c r="Q160" s="106"/>
      <c r="R160" s="106"/>
      <c r="S160" s="106"/>
      <c r="T160" s="106"/>
      <c r="U160" s="106"/>
      <c r="V160" s="106"/>
      <c r="W160" s="106"/>
      <c r="X160" s="106"/>
      <c r="Y160" s="106"/>
      <c r="Z160" s="106"/>
    </row>
    <row r="161">
      <c r="A161" s="106"/>
      <c r="B161" s="113"/>
      <c r="C161" s="106"/>
      <c r="E161" s="106"/>
      <c r="F161" s="106"/>
      <c r="G161" s="106"/>
      <c r="H161" s="106"/>
      <c r="I161" s="113"/>
      <c r="J161" s="106"/>
      <c r="K161" s="106"/>
      <c r="L161" s="106"/>
      <c r="M161" s="106"/>
      <c r="N161" s="106"/>
      <c r="O161" s="106"/>
      <c r="P161" s="106"/>
      <c r="Q161" s="106"/>
      <c r="R161" s="106"/>
      <c r="S161" s="106"/>
      <c r="T161" s="106"/>
      <c r="U161" s="106"/>
      <c r="V161" s="106"/>
      <c r="W161" s="106"/>
      <c r="X161" s="106"/>
      <c r="Y161" s="106"/>
      <c r="Z161" s="106"/>
    </row>
    <row r="162">
      <c r="A162" s="106"/>
      <c r="B162" s="113"/>
      <c r="C162" s="106"/>
      <c r="E162" s="106"/>
      <c r="F162" s="106"/>
      <c r="G162" s="106"/>
      <c r="H162" s="106"/>
      <c r="I162" s="113"/>
      <c r="J162" s="106"/>
      <c r="K162" s="106"/>
      <c r="L162" s="106"/>
      <c r="M162" s="106"/>
      <c r="N162" s="106"/>
      <c r="O162" s="106"/>
      <c r="P162" s="106"/>
      <c r="Q162" s="106"/>
      <c r="R162" s="106"/>
      <c r="S162" s="106"/>
      <c r="T162" s="106"/>
      <c r="U162" s="106"/>
      <c r="V162" s="106"/>
      <c r="W162" s="106"/>
      <c r="X162" s="106"/>
      <c r="Y162" s="106"/>
      <c r="Z162" s="106"/>
    </row>
    <row r="163">
      <c r="A163" s="106"/>
      <c r="B163" s="113"/>
      <c r="C163" s="106"/>
      <c r="E163" s="106"/>
      <c r="F163" s="106"/>
      <c r="G163" s="106"/>
      <c r="H163" s="106"/>
      <c r="I163" s="113"/>
      <c r="J163" s="106"/>
      <c r="K163" s="106"/>
      <c r="L163" s="106"/>
      <c r="M163" s="106"/>
      <c r="N163" s="106"/>
      <c r="O163" s="106"/>
      <c r="P163" s="106"/>
      <c r="Q163" s="106"/>
      <c r="R163" s="106"/>
      <c r="S163" s="106"/>
      <c r="T163" s="106"/>
      <c r="U163" s="106"/>
      <c r="V163" s="106"/>
      <c r="W163" s="106"/>
      <c r="X163" s="106"/>
      <c r="Y163" s="106"/>
      <c r="Z163" s="106"/>
    </row>
    <row r="164">
      <c r="A164" s="106"/>
      <c r="B164" s="113"/>
      <c r="C164" s="106"/>
      <c r="E164" s="106"/>
      <c r="F164" s="106"/>
      <c r="G164" s="106"/>
      <c r="H164" s="106"/>
      <c r="I164" s="113"/>
      <c r="J164" s="106"/>
      <c r="K164" s="106"/>
      <c r="L164" s="106"/>
      <c r="M164" s="106"/>
      <c r="N164" s="106"/>
      <c r="O164" s="106"/>
      <c r="P164" s="106"/>
      <c r="Q164" s="106"/>
      <c r="R164" s="106"/>
      <c r="S164" s="106"/>
      <c r="T164" s="106"/>
      <c r="U164" s="106"/>
      <c r="V164" s="106"/>
      <c r="W164" s="106"/>
      <c r="X164" s="106"/>
      <c r="Y164" s="106"/>
      <c r="Z164" s="106"/>
    </row>
    <row r="165">
      <c r="A165" s="106"/>
      <c r="B165" s="113"/>
      <c r="C165" s="106"/>
      <c r="E165" s="106"/>
      <c r="F165" s="106"/>
      <c r="G165" s="106"/>
      <c r="H165" s="106"/>
      <c r="I165" s="113"/>
      <c r="J165" s="106"/>
      <c r="K165" s="106"/>
      <c r="L165" s="106"/>
      <c r="M165" s="106"/>
      <c r="N165" s="106"/>
      <c r="O165" s="106"/>
      <c r="P165" s="106"/>
      <c r="Q165" s="106"/>
      <c r="R165" s="106"/>
      <c r="S165" s="106"/>
      <c r="T165" s="106"/>
      <c r="U165" s="106"/>
      <c r="V165" s="106"/>
      <c r="W165" s="106"/>
      <c r="X165" s="106"/>
      <c r="Y165" s="106"/>
      <c r="Z165" s="106"/>
    </row>
    <row r="166">
      <c r="A166" s="106"/>
      <c r="B166" s="113"/>
      <c r="C166" s="106"/>
      <c r="E166" s="106"/>
      <c r="F166" s="106"/>
      <c r="G166" s="106"/>
      <c r="H166" s="106"/>
      <c r="I166" s="113"/>
      <c r="J166" s="106"/>
      <c r="K166" s="106"/>
      <c r="L166" s="106"/>
      <c r="M166" s="106"/>
      <c r="N166" s="106"/>
      <c r="O166" s="106"/>
      <c r="P166" s="106"/>
      <c r="Q166" s="106"/>
      <c r="R166" s="106"/>
      <c r="S166" s="106"/>
      <c r="T166" s="106"/>
      <c r="U166" s="106"/>
      <c r="V166" s="106"/>
      <c r="W166" s="106"/>
      <c r="X166" s="106"/>
      <c r="Y166" s="106"/>
      <c r="Z166" s="106"/>
    </row>
    <row r="167">
      <c r="A167" s="106"/>
      <c r="B167" s="106"/>
      <c r="C167" s="106"/>
      <c r="E167" s="106"/>
      <c r="F167" s="106"/>
      <c r="G167" s="106"/>
      <c r="H167" s="106"/>
      <c r="I167" s="113"/>
      <c r="J167" s="106"/>
      <c r="K167" s="106"/>
      <c r="L167" s="106"/>
      <c r="M167" s="106"/>
      <c r="N167" s="106"/>
      <c r="O167" s="106"/>
      <c r="P167" s="106"/>
      <c r="Q167" s="106"/>
      <c r="R167" s="106"/>
      <c r="S167" s="106"/>
      <c r="T167" s="106"/>
      <c r="U167" s="106"/>
      <c r="V167" s="106"/>
      <c r="W167" s="106"/>
      <c r="X167" s="106"/>
      <c r="Y167" s="106"/>
      <c r="Z167" s="106"/>
    </row>
    <row r="168">
      <c r="A168" s="106"/>
      <c r="B168" s="106"/>
      <c r="C168" s="106"/>
      <c r="E168" s="106"/>
      <c r="F168" s="106"/>
      <c r="G168" s="106"/>
      <c r="H168" s="106"/>
      <c r="I168" s="113"/>
      <c r="J168" s="106"/>
      <c r="K168" s="106"/>
      <c r="L168" s="106"/>
      <c r="M168" s="106"/>
      <c r="N168" s="106"/>
      <c r="O168" s="106"/>
      <c r="P168" s="106"/>
      <c r="Q168" s="106"/>
      <c r="R168" s="106"/>
      <c r="S168" s="106"/>
      <c r="T168" s="106"/>
      <c r="U168" s="106"/>
      <c r="V168" s="106"/>
      <c r="W168" s="106"/>
      <c r="X168" s="106"/>
      <c r="Y168" s="106"/>
      <c r="Z168" s="106"/>
    </row>
    <row r="169">
      <c r="A169" s="106"/>
      <c r="B169" s="106"/>
      <c r="C169" s="106"/>
      <c r="E169" s="106"/>
      <c r="F169" s="106"/>
      <c r="G169" s="106"/>
      <c r="H169" s="106"/>
      <c r="I169" s="113"/>
      <c r="J169" s="106"/>
      <c r="K169" s="106"/>
      <c r="L169" s="106"/>
      <c r="M169" s="106"/>
      <c r="N169" s="106"/>
      <c r="O169" s="106"/>
      <c r="P169" s="106"/>
      <c r="Q169" s="106"/>
      <c r="R169" s="106"/>
      <c r="S169" s="106"/>
      <c r="T169" s="106"/>
      <c r="U169" s="106"/>
      <c r="V169" s="106"/>
      <c r="W169" s="106"/>
      <c r="X169" s="106"/>
      <c r="Y169" s="106"/>
      <c r="Z169" s="106"/>
    </row>
    <row r="170">
      <c r="A170" s="106"/>
      <c r="B170" s="107" t="s">
        <v>1425</v>
      </c>
      <c r="C170" s="106"/>
      <c r="E170" s="106"/>
      <c r="F170" s="106"/>
      <c r="G170" s="106"/>
      <c r="H170" s="106"/>
      <c r="I170" s="113"/>
      <c r="J170" s="106"/>
      <c r="K170" s="106"/>
      <c r="L170" s="106"/>
      <c r="M170" s="106"/>
      <c r="N170" s="106"/>
      <c r="O170" s="106"/>
      <c r="P170" s="106"/>
      <c r="Q170" s="106"/>
      <c r="R170" s="106"/>
      <c r="S170" s="106"/>
      <c r="T170" s="106"/>
      <c r="U170" s="106"/>
      <c r="V170" s="106"/>
      <c r="W170" s="106"/>
      <c r="X170" s="106"/>
      <c r="Y170" s="106"/>
      <c r="Z170" s="106"/>
    </row>
    <row r="171">
      <c r="A171" s="106"/>
      <c r="B171" s="107" t="s">
        <v>1426</v>
      </c>
      <c r="C171" s="106"/>
      <c r="E171" s="106"/>
      <c r="F171" s="106"/>
      <c r="G171" s="106"/>
      <c r="H171" s="106"/>
      <c r="I171" s="113"/>
      <c r="J171" s="106"/>
      <c r="K171" s="106"/>
      <c r="L171" s="106"/>
      <c r="M171" s="106"/>
      <c r="N171" s="106"/>
      <c r="O171" s="106"/>
      <c r="P171" s="106"/>
      <c r="Q171" s="106"/>
      <c r="R171" s="106"/>
      <c r="S171" s="106"/>
      <c r="T171" s="106"/>
      <c r="U171" s="106"/>
      <c r="V171" s="106"/>
      <c r="W171" s="106"/>
      <c r="X171" s="106"/>
      <c r="Y171" s="106"/>
      <c r="Z171" s="106"/>
    </row>
    <row r="172">
      <c r="A172" s="106"/>
      <c r="B172" s="107" t="s">
        <v>1427</v>
      </c>
      <c r="C172" s="106"/>
      <c r="E172" s="106"/>
      <c r="F172" s="106"/>
      <c r="G172" s="106"/>
      <c r="H172" s="106"/>
      <c r="I172" s="113"/>
      <c r="J172" s="106"/>
      <c r="K172" s="106"/>
      <c r="L172" s="106"/>
      <c r="M172" s="106"/>
      <c r="N172" s="106"/>
      <c r="O172" s="106"/>
      <c r="P172" s="106"/>
      <c r="Q172" s="106"/>
      <c r="R172" s="106"/>
      <c r="S172" s="106"/>
      <c r="T172" s="106"/>
      <c r="U172" s="106"/>
      <c r="V172" s="106"/>
      <c r="W172" s="106"/>
      <c r="X172" s="106"/>
      <c r="Y172" s="106"/>
      <c r="Z172" s="106"/>
    </row>
    <row r="173">
      <c r="A173" s="106"/>
      <c r="B173" s="106"/>
      <c r="C173" s="106"/>
      <c r="E173" s="106"/>
      <c r="F173" s="106"/>
      <c r="G173" s="106"/>
      <c r="H173" s="106"/>
      <c r="I173" s="113"/>
      <c r="J173" s="106"/>
      <c r="K173" s="106"/>
      <c r="L173" s="106"/>
      <c r="M173" s="106"/>
      <c r="N173" s="106"/>
      <c r="O173" s="106"/>
      <c r="P173" s="106"/>
      <c r="Q173" s="106"/>
      <c r="R173" s="106"/>
      <c r="S173" s="106"/>
      <c r="T173" s="106"/>
      <c r="U173" s="106"/>
      <c r="V173" s="106"/>
      <c r="W173" s="106"/>
      <c r="X173" s="106"/>
      <c r="Y173" s="106"/>
      <c r="Z173" s="106"/>
    </row>
    <row r="174">
      <c r="A174" s="106"/>
      <c r="B174" s="107" t="s">
        <v>1428</v>
      </c>
      <c r="C174" s="106"/>
      <c r="E174" s="106"/>
      <c r="F174" s="106"/>
      <c r="G174" s="106"/>
      <c r="H174" s="106"/>
      <c r="I174" s="113"/>
      <c r="J174" s="106"/>
      <c r="K174" s="106"/>
      <c r="L174" s="106"/>
      <c r="M174" s="106"/>
      <c r="N174" s="106"/>
      <c r="O174" s="106"/>
      <c r="P174" s="106"/>
      <c r="Q174" s="106"/>
      <c r="R174" s="106"/>
      <c r="S174" s="106"/>
      <c r="T174" s="106"/>
      <c r="U174" s="106"/>
      <c r="V174" s="106"/>
      <c r="W174" s="106"/>
      <c r="X174" s="106"/>
      <c r="Y174" s="106"/>
      <c r="Z174" s="106"/>
    </row>
    <row r="175">
      <c r="A175" s="106"/>
      <c r="B175" s="107" t="s">
        <v>1429</v>
      </c>
      <c r="C175" s="106"/>
      <c r="E175" s="106"/>
      <c r="F175" s="106"/>
      <c r="G175" s="106"/>
      <c r="H175" s="106"/>
      <c r="I175" s="113"/>
      <c r="J175" s="106"/>
      <c r="K175" s="106"/>
      <c r="L175" s="106"/>
      <c r="M175" s="106"/>
      <c r="N175" s="106"/>
      <c r="O175" s="106"/>
      <c r="P175" s="106"/>
      <c r="Q175" s="106"/>
      <c r="R175" s="106"/>
      <c r="S175" s="106"/>
      <c r="T175" s="106"/>
      <c r="U175" s="106"/>
      <c r="V175" s="106"/>
      <c r="W175" s="106"/>
      <c r="X175" s="106"/>
      <c r="Y175" s="106"/>
      <c r="Z175" s="106"/>
    </row>
    <row r="176">
      <c r="A176" s="106"/>
      <c r="B176" s="107" t="s">
        <v>1430</v>
      </c>
      <c r="C176" s="106"/>
      <c r="E176" s="106"/>
      <c r="F176" s="106"/>
      <c r="G176" s="106"/>
      <c r="H176" s="106"/>
      <c r="I176" s="113"/>
      <c r="J176" s="106"/>
      <c r="K176" s="106"/>
      <c r="L176" s="106"/>
      <c r="M176" s="106"/>
      <c r="N176" s="106"/>
      <c r="O176" s="106"/>
      <c r="P176" s="106"/>
      <c r="Q176" s="106"/>
      <c r="R176" s="106"/>
      <c r="S176" s="106"/>
      <c r="T176" s="106"/>
      <c r="U176" s="106"/>
      <c r="V176" s="106"/>
      <c r="W176" s="106"/>
      <c r="X176" s="106"/>
      <c r="Y176" s="106"/>
      <c r="Z176" s="106"/>
    </row>
    <row r="177">
      <c r="A177" s="106"/>
      <c r="B177" s="106"/>
      <c r="C177" s="106"/>
      <c r="E177" s="106"/>
      <c r="F177" s="106"/>
      <c r="G177" s="106"/>
      <c r="H177" s="106"/>
      <c r="I177" s="113"/>
      <c r="J177" s="106"/>
      <c r="K177" s="106"/>
      <c r="L177" s="106"/>
      <c r="M177" s="106"/>
      <c r="N177" s="106"/>
      <c r="O177" s="106"/>
      <c r="P177" s="106"/>
      <c r="Q177" s="106"/>
      <c r="R177" s="106"/>
      <c r="S177" s="106"/>
      <c r="T177" s="106"/>
      <c r="U177" s="106"/>
      <c r="V177" s="106"/>
      <c r="W177" s="106"/>
      <c r="X177" s="106"/>
      <c r="Y177" s="106"/>
      <c r="Z177" s="106"/>
    </row>
    <row r="178">
      <c r="A178" s="106"/>
      <c r="B178" s="107" t="s">
        <v>1431</v>
      </c>
      <c r="C178" s="106"/>
      <c r="E178" s="106"/>
      <c r="F178" s="106"/>
      <c r="G178" s="106"/>
      <c r="H178" s="106"/>
      <c r="I178" s="113"/>
      <c r="J178" s="106"/>
      <c r="K178" s="106"/>
      <c r="L178" s="106"/>
      <c r="M178" s="106"/>
      <c r="N178" s="106"/>
      <c r="O178" s="106"/>
      <c r="P178" s="106"/>
      <c r="Q178" s="106"/>
      <c r="R178" s="106"/>
      <c r="S178" s="106"/>
      <c r="T178" s="106"/>
      <c r="U178" s="106"/>
      <c r="V178" s="106"/>
      <c r="W178" s="106"/>
      <c r="X178" s="106"/>
      <c r="Y178" s="106"/>
      <c r="Z178" s="106"/>
    </row>
    <row r="179">
      <c r="A179" s="106"/>
      <c r="B179" s="107" t="s">
        <v>1432</v>
      </c>
      <c r="C179" s="106"/>
      <c r="E179" s="106"/>
      <c r="F179" s="106"/>
      <c r="G179" s="106"/>
      <c r="H179" s="106"/>
      <c r="I179" s="113"/>
      <c r="J179" s="106"/>
      <c r="K179" s="106"/>
      <c r="L179" s="106"/>
      <c r="M179" s="106"/>
      <c r="N179" s="106"/>
      <c r="O179" s="106"/>
      <c r="P179" s="106"/>
      <c r="Q179" s="106"/>
      <c r="R179" s="106"/>
      <c r="S179" s="106"/>
      <c r="T179" s="106"/>
      <c r="U179" s="106"/>
      <c r="V179" s="106"/>
      <c r="W179" s="106"/>
      <c r="X179" s="106"/>
      <c r="Y179" s="106"/>
      <c r="Z179" s="106"/>
    </row>
    <row r="180">
      <c r="A180" s="106"/>
      <c r="B180" s="107" t="s">
        <v>1433</v>
      </c>
      <c r="C180" s="106"/>
      <c r="E180" s="106"/>
      <c r="F180" s="106"/>
      <c r="G180" s="106"/>
      <c r="H180" s="106"/>
      <c r="I180" s="113"/>
      <c r="J180" s="106"/>
      <c r="K180" s="106"/>
      <c r="L180" s="106"/>
      <c r="M180" s="106"/>
      <c r="N180" s="106"/>
      <c r="O180" s="106"/>
      <c r="P180" s="106"/>
      <c r="Q180" s="106"/>
      <c r="R180" s="106"/>
      <c r="S180" s="106"/>
      <c r="T180" s="106"/>
      <c r="U180" s="106"/>
      <c r="V180" s="106"/>
      <c r="W180" s="106"/>
      <c r="X180" s="106"/>
      <c r="Y180" s="106"/>
      <c r="Z180" s="106"/>
    </row>
    <row r="181">
      <c r="A181" s="106"/>
      <c r="B181" s="106"/>
      <c r="C181" s="106"/>
      <c r="E181" s="106"/>
      <c r="F181" s="106"/>
      <c r="G181" s="106"/>
      <c r="H181" s="106"/>
      <c r="I181" s="113"/>
      <c r="J181" s="106"/>
      <c r="K181" s="106"/>
      <c r="L181" s="106"/>
      <c r="M181" s="106"/>
      <c r="N181" s="106"/>
      <c r="O181" s="106"/>
      <c r="P181" s="106"/>
      <c r="Q181" s="106"/>
      <c r="R181" s="106"/>
      <c r="S181" s="106"/>
      <c r="T181" s="106"/>
      <c r="U181" s="106"/>
      <c r="V181" s="106"/>
      <c r="W181" s="106"/>
      <c r="X181" s="106"/>
      <c r="Y181" s="106"/>
      <c r="Z181" s="106"/>
    </row>
    <row r="182">
      <c r="A182" s="106"/>
      <c r="B182" s="107" t="s">
        <v>1434</v>
      </c>
      <c r="C182" s="106"/>
      <c r="E182" s="106"/>
      <c r="F182" s="106"/>
      <c r="G182" s="106"/>
      <c r="H182" s="106"/>
      <c r="I182" s="113"/>
      <c r="J182" s="106"/>
      <c r="K182" s="106"/>
      <c r="L182" s="106"/>
      <c r="M182" s="106"/>
      <c r="N182" s="106"/>
      <c r="O182" s="106"/>
      <c r="P182" s="106"/>
      <c r="Q182" s="106"/>
      <c r="R182" s="106"/>
      <c r="S182" s="106"/>
      <c r="T182" s="106"/>
      <c r="U182" s="106"/>
      <c r="V182" s="106"/>
      <c r="W182" s="106"/>
      <c r="X182" s="106"/>
      <c r="Y182" s="106"/>
      <c r="Z182" s="106"/>
    </row>
    <row r="183">
      <c r="A183" s="106"/>
      <c r="B183" s="107" t="s">
        <v>1435</v>
      </c>
      <c r="C183" s="106"/>
      <c r="E183" s="106"/>
      <c r="F183" s="106"/>
      <c r="G183" s="106"/>
      <c r="H183" s="106"/>
      <c r="I183" s="113"/>
      <c r="J183" s="106"/>
      <c r="K183" s="106"/>
      <c r="L183" s="106"/>
      <c r="M183" s="106"/>
      <c r="N183" s="106"/>
      <c r="O183" s="106"/>
      <c r="P183" s="106"/>
      <c r="Q183" s="106"/>
      <c r="R183" s="106"/>
      <c r="S183" s="106"/>
      <c r="T183" s="106"/>
      <c r="U183" s="106"/>
      <c r="V183" s="106"/>
      <c r="W183" s="106"/>
      <c r="X183" s="106"/>
      <c r="Y183" s="106"/>
      <c r="Z183" s="106"/>
    </row>
    <row r="184">
      <c r="A184" s="106"/>
      <c r="B184" s="107" t="s">
        <v>1436</v>
      </c>
      <c r="C184" s="106"/>
      <c r="E184" s="106"/>
      <c r="F184" s="106"/>
      <c r="G184" s="106"/>
      <c r="H184" s="106"/>
      <c r="I184" s="113"/>
      <c r="J184" s="106"/>
      <c r="K184" s="106"/>
      <c r="L184" s="106"/>
      <c r="M184" s="106"/>
      <c r="N184" s="106"/>
      <c r="O184" s="106"/>
      <c r="P184" s="106"/>
      <c r="Q184" s="106"/>
      <c r="R184" s="106"/>
      <c r="S184" s="106"/>
      <c r="T184" s="106"/>
      <c r="U184" s="106"/>
      <c r="V184" s="106"/>
      <c r="W184" s="106"/>
      <c r="X184" s="106"/>
      <c r="Y184" s="106"/>
      <c r="Z184" s="106"/>
    </row>
    <row r="185">
      <c r="A185" s="106"/>
      <c r="B185" s="106"/>
      <c r="C185" s="106"/>
      <c r="E185" s="106"/>
      <c r="F185" s="106"/>
      <c r="G185" s="106"/>
      <c r="H185" s="106"/>
      <c r="I185" s="113"/>
      <c r="J185" s="106"/>
      <c r="K185" s="106"/>
      <c r="L185" s="106"/>
      <c r="M185" s="106"/>
      <c r="N185" s="106"/>
      <c r="O185" s="106"/>
      <c r="P185" s="106"/>
      <c r="Q185" s="106"/>
      <c r="R185" s="106"/>
      <c r="S185" s="106"/>
      <c r="T185" s="106"/>
      <c r="U185" s="106"/>
      <c r="V185" s="106"/>
      <c r="W185" s="106"/>
      <c r="X185" s="106"/>
      <c r="Y185" s="106"/>
      <c r="Z185" s="106"/>
    </row>
    <row r="186">
      <c r="A186" s="106"/>
      <c r="B186" s="107" t="s">
        <v>1437</v>
      </c>
      <c r="C186" s="106"/>
      <c r="E186" s="106"/>
      <c r="F186" s="106"/>
      <c r="G186" s="106"/>
      <c r="H186" s="106"/>
      <c r="I186" s="113"/>
      <c r="J186" s="106"/>
      <c r="K186" s="106"/>
      <c r="L186" s="106"/>
      <c r="M186" s="106"/>
      <c r="N186" s="106"/>
      <c r="O186" s="106"/>
      <c r="P186" s="106"/>
      <c r="Q186" s="106"/>
      <c r="R186" s="106"/>
      <c r="S186" s="106"/>
      <c r="T186" s="106"/>
      <c r="U186" s="106"/>
      <c r="V186" s="106"/>
      <c r="W186" s="106"/>
      <c r="X186" s="106"/>
      <c r="Y186" s="106"/>
      <c r="Z186" s="106"/>
    </row>
    <row r="187">
      <c r="A187" s="106"/>
      <c r="B187" s="107" t="s">
        <v>1438</v>
      </c>
      <c r="C187" s="106"/>
      <c r="E187" s="106"/>
      <c r="F187" s="106"/>
      <c r="G187" s="106"/>
      <c r="H187" s="106"/>
      <c r="I187" s="113"/>
      <c r="J187" s="106"/>
      <c r="K187" s="106"/>
      <c r="L187" s="106"/>
      <c r="M187" s="106"/>
      <c r="N187" s="106"/>
      <c r="O187" s="106"/>
      <c r="P187" s="106"/>
      <c r="Q187" s="106"/>
      <c r="R187" s="106"/>
      <c r="S187" s="106"/>
      <c r="T187" s="106"/>
      <c r="U187" s="106"/>
      <c r="V187" s="106"/>
      <c r="W187" s="106"/>
      <c r="X187" s="106"/>
      <c r="Y187" s="106"/>
      <c r="Z187" s="106"/>
    </row>
    <row r="188">
      <c r="A188" s="106"/>
      <c r="B188" s="107" t="s">
        <v>1439</v>
      </c>
      <c r="C188" s="106"/>
      <c r="E188" s="106"/>
      <c r="F188" s="106"/>
      <c r="G188" s="106"/>
      <c r="H188" s="106"/>
      <c r="I188" s="113"/>
      <c r="J188" s="106"/>
      <c r="K188" s="106"/>
      <c r="L188" s="106"/>
      <c r="M188" s="106"/>
      <c r="N188" s="106"/>
      <c r="O188" s="106"/>
      <c r="P188" s="106"/>
      <c r="Q188" s="106"/>
      <c r="R188" s="106"/>
      <c r="S188" s="106"/>
      <c r="T188" s="106"/>
      <c r="U188" s="106"/>
      <c r="V188" s="106"/>
      <c r="W188" s="106"/>
      <c r="X188" s="106"/>
      <c r="Y188" s="106"/>
      <c r="Z188" s="106"/>
    </row>
    <row r="189">
      <c r="A189" s="106"/>
      <c r="B189" s="106"/>
      <c r="C189" s="106"/>
      <c r="E189" s="106"/>
      <c r="F189" s="106"/>
      <c r="G189" s="106"/>
      <c r="H189" s="106"/>
      <c r="I189" s="113"/>
      <c r="J189" s="106"/>
      <c r="K189" s="106"/>
      <c r="L189" s="106"/>
      <c r="M189" s="106"/>
      <c r="N189" s="106"/>
      <c r="O189" s="106"/>
      <c r="P189" s="106"/>
      <c r="Q189" s="106"/>
      <c r="R189" s="106"/>
      <c r="S189" s="106"/>
      <c r="T189" s="106"/>
      <c r="U189" s="106"/>
      <c r="V189" s="106"/>
      <c r="W189" s="106"/>
      <c r="X189" s="106"/>
      <c r="Y189" s="106"/>
      <c r="Z189" s="106"/>
    </row>
    <row r="190">
      <c r="A190" s="106"/>
      <c r="B190" s="106"/>
      <c r="C190" s="106"/>
      <c r="E190" s="106"/>
      <c r="F190" s="106"/>
      <c r="G190" s="106"/>
      <c r="H190" s="106"/>
      <c r="I190" s="113"/>
      <c r="J190" s="106"/>
      <c r="K190" s="106"/>
      <c r="L190" s="106"/>
      <c r="M190" s="106"/>
      <c r="N190" s="106"/>
      <c r="O190" s="106"/>
      <c r="P190" s="106"/>
      <c r="Q190" s="106"/>
      <c r="R190" s="106"/>
      <c r="S190" s="106"/>
      <c r="T190" s="106"/>
      <c r="U190" s="106"/>
      <c r="V190" s="106"/>
      <c r="W190" s="106"/>
      <c r="X190" s="106"/>
      <c r="Y190" s="106"/>
      <c r="Z190" s="106"/>
    </row>
    <row r="191">
      <c r="A191" s="106"/>
      <c r="B191" s="106"/>
      <c r="C191" s="106"/>
      <c r="E191" s="106"/>
      <c r="F191" s="106"/>
      <c r="G191" s="106"/>
      <c r="H191" s="106"/>
      <c r="I191" s="113"/>
      <c r="J191" s="106"/>
      <c r="K191" s="106"/>
      <c r="L191" s="106"/>
      <c r="M191" s="106"/>
      <c r="N191" s="106"/>
      <c r="O191" s="106"/>
      <c r="P191" s="106"/>
      <c r="Q191" s="106"/>
      <c r="R191" s="106"/>
      <c r="S191" s="106"/>
      <c r="T191" s="106"/>
      <c r="U191" s="106"/>
      <c r="V191" s="106"/>
      <c r="W191" s="106"/>
      <c r="X191" s="106"/>
      <c r="Y191" s="106"/>
      <c r="Z191" s="106"/>
    </row>
    <row r="192">
      <c r="A192" s="106"/>
      <c r="B192" s="107"/>
      <c r="C192" s="106"/>
      <c r="E192" s="106"/>
      <c r="F192" s="106"/>
      <c r="G192" s="106"/>
      <c r="H192" s="106"/>
      <c r="I192" s="113"/>
      <c r="J192" s="106"/>
      <c r="K192" s="106"/>
      <c r="L192" s="106"/>
      <c r="M192" s="106"/>
      <c r="N192" s="106"/>
      <c r="O192" s="106"/>
      <c r="P192" s="106"/>
      <c r="Q192" s="106"/>
      <c r="R192" s="106"/>
      <c r="S192" s="106"/>
      <c r="T192" s="106"/>
      <c r="U192" s="106"/>
      <c r="V192" s="106"/>
      <c r="W192" s="106"/>
      <c r="X192" s="106"/>
      <c r="Y192" s="106"/>
      <c r="Z192" s="106"/>
    </row>
    <row r="193">
      <c r="A193" s="106"/>
      <c r="B193" s="109" t="s">
        <v>1440</v>
      </c>
      <c r="C193" s="106"/>
      <c r="E193" s="106"/>
      <c r="F193" s="106"/>
      <c r="G193" s="106"/>
      <c r="H193" s="106"/>
      <c r="I193" s="113"/>
      <c r="J193" s="106"/>
      <c r="K193" s="106"/>
      <c r="L193" s="106"/>
      <c r="M193" s="106"/>
      <c r="N193" s="106"/>
      <c r="O193" s="106"/>
      <c r="P193" s="106"/>
      <c r="Q193" s="106"/>
      <c r="R193" s="106"/>
      <c r="S193" s="106"/>
      <c r="T193" s="106"/>
      <c r="U193" s="106"/>
      <c r="V193" s="106"/>
      <c r="W193" s="106"/>
      <c r="X193" s="106"/>
      <c r="Y193" s="106"/>
      <c r="Z193" s="106"/>
    </row>
    <row r="194">
      <c r="A194" s="106"/>
      <c r="B194" s="109" t="s">
        <v>1441</v>
      </c>
      <c r="C194" s="106"/>
      <c r="E194" s="106"/>
      <c r="F194" s="106"/>
      <c r="G194" s="106"/>
      <c r="H194" s="106"/>
      <c r="I194" s="113"/>
      <c r="J194" s="106"/>
      <c r="K194" s="106"/>
      <c r="L194" s="106"/>
      <c r="M194" s="106"/>
      <c r="N194" s="106"/>
      <c r="O194" s="106"/>
      <c r="P194" s="106"/>
      <c r="Q194" s="106"/>
      <c r="R194" s="106"/>
      <c r="S194" s="106"/>
      <c r="T194" s="106"/>
      <c r="U194" s="106"/>
      <c r="V194" s="106"/>
      <c r="W194" s="106"/>
      <c r="X194" s="106"/>
      <c r="Y194" s="106"/>
      <c r="Z194" s="106"/>
    </row>
    <row r="195">
      <c r="A195" s="106"/>
      <c r="B195" s="106"/>
      <c r="C195" s="106"/>
      <c r="E195" s="106"/>
      <c r="F195" s="106"/>
      <c r="G195" s="106"/>
      <c r="H195" s="106"/>
      <c r="I195" s="113"/>
      <c r="J195" s="106"/>
      <c r="K195" s="106"/>
      <c r="L195" s="106"/>
      <c r="M195" s="106"/>
      <c r="N195" s="106"/>
      <c r="O195" s="106"/>
      <c r="P195" s="106"/>
      <c r="Q195" s="106"/>
      <c r="R195" s="106"/>
      <c r="S195" s="106"/>
      <c r="T195" s="106"/>
      <c r="U195" s="106"/>
      <c r="V195" s="106"/>
      <c r="W195" s="106"/>
      <c r="X195" s="106"/>
      <c r="Y195" s="106"/>
      <c r="Z195" s="106"/>
    </row>
    <row r="196">
      <c r="A196" s="106"/>
      <c r="B196" s="106"/>
      <c r="C196" s="106"/>
      <c r="E196" s="106"/>
      <c r="F196" s="106"/>
      <c r="G196" s="106"/>
      <c r="H196" s="106"/>
      <c r="I196" s="113"/>
      <c r="J196" s="106"/>
      <c r="K196" s="106"/>
      <c r="L196" s="106"/>
      <c r="M196" s="106"/>
      <c r="N196" s="106"/>
      <c r="O196" s="106"/>
      <c r="P196" s="106"/>
      <c r="Q196" s="106"/>
      <c r="R196" s="106"/>
      <c r="S196" s="106"/>
      <c r="T196" s="106"/>
      <c r="U196" s="106"/>
      <c r="V196" s="106"/>
      <c r="W196" s="106"/>
      <c r="X196" s="106"/>
      <c r="Y196" s="106"/>
      <c r="Z196" s="106"/>
    </row>
    <row r="197">
      <c r="A197" s="106"/>
      <c r="B197" s="106"/>
      <c r="C197" s="106"/>
      <c r="E197" s="106"/>
      <c r="F197" s="106"/>
      <c r="G197" s="106"/>
      <c r="H197" s="106"/>
      <c r="I197" s="113"/>
      <c r="J197" s="106"/>
      <c r="K197" s="106"/>
      <c r="L197" s="106"/>
      <c r="M197" s="106"/>
      <c r="N197" s="106"/>
      <c r="O197" s="106"/>
      <c r="P197" s="106"/>
      <c r="Q197" s="106"/>
      <c r="R197" s="106"/>
      <c r="S197" s="106"/>
      <c r="T197" s="106"/>
      <c r="U197" s="106"/>
      <c r="V197" s="106"/>
      <c r="W197" s="106"/>
      <c r="X197" s="106"/>
      <c r="Y197" s="106"/>
      <c r="Z197" s="106"/>
    </row>
    <row r="198">
      <c r="A198" s="106"/>
      <c r="B198" s="106"/>
      <c r="C198" s="106"/>
      <c r="E198" s="106"/>
      <c r="F198" s="106"/>
      <c r="G198" s="106"/>
      <c r="H198" s="106"/>
      <c r="I198" s="113"/>
      <c r="J198" s="106"/>
      <c r="K198" s="106"/>
      <c r="L198" s="106"/>
      <c r="M198" s="106"/>
      <c r="N198" s="106"/>
      <c r="O198" s="106"/>
      <c r="P198" s="106"/>
      <c r="Q198" s="106"/>
      <c r="R198" s="106"/>
      <c r="S198" s="106"/>
      <c r="T198" s="106"/>
      <c r="U198" s="106"/>
      <c r="V198" s="106"/>
      <c r="W198" s="106"/>
      <c r="X198" s="106"/>
      <c r="Y198" s="106"/>
      <c r="Z198" s="106"/>
    </row>
    <row r="199">
      <c r="A199" s="106"/>
      <c r="B199" s="106"/>
      <c r="C199" s="106"/>
      <c r="E199" s="106"/>
      <c r="F199" s="106"/>
      <c r="G199" s="106"/>
      <c r="H199" s="106"/>
      <c r="I199" s="113"/>
      <c r="J199" s="106"/>
      <c r="K199" s="106"/>
      <c r="L199" s="106"/>
      <c r="M199" s="106"/>
      <c r="N199" s="106"/>
      <c r="O199" s="106"/>
      <c r="P199" s="106"/>
      <c r="Q199" s="106"/>
      <c r="R199" s="106"/>
      <c r="S199" s="106"/>
      <c r="T199" s="106"/>
      <c r="U199" s="106"/>
      <c r="V199" s="106"/>
      <c r="W199" s="106"/>
      <c r="X199" s="106"/>
      <c r="Y199" s="106"/>
      <c r="Z199" s="106"/>
    </row>
    <row r="200">
      <c r="A200" s="106"/>
      <c r="B200" s="106"/>
      <c r="C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row>
    <row r="201">
      <c r="A201" s="106"/>
      <c r="B201" s="107" t="s">
        <v>1328</v>
      </c>
      <c r="C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row>
    <row r="202">
      <c r="A202" s="106"/>
      <c r="B202" s="107" t="s">
        <v>1336</v>
      </c>
      <c r="C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row>
    <row r="203">
      <c r="A203" s="106"/>
      <c r="B203" s="107" t="s">
        <v>1344</v>
      </c>
      <c r="C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row>
    <row r="204">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row>
    <row r="205">
      <c r="A205" s="106"/>
      <c r="B205" s="106"/>
      <c r="C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row>
    <row r="206">
      <c r="A206" s="106"/>
      <c r="B206" s="106"/>
      <c r="C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row>
    <row r="207">
      <c r="A207" s="106"/>
      <c r="B207" s="106"/>
      <c r="C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row>
    <row r="208">
      <c r="A208" s="106"/>
      <c r="B208" s="106"/>
      <c r="C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row>
    <row r="209">
      <c r="A209" s="106"/>
      <c r="B209" s="106"/>
      <c r="C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row>
    <row r="210">
      <c r="A210" s="106"/>
      <c r="B210" s="106"/>
      <c r="C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row>
    <row r="211">
      <c r="A211" s="106"/>
      <c r="B211" s="106"/>
      <c r="C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row>
    <row r="212">
      <c r="A212" s="106"/>
      <c r="B212" s="106"/>
      <c r="C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row>
    <row r="213">
      <c r="A213" s="106"/>
      <c r="B213" s="106"/>
      <c r="C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row>
    <row r="214">
      <c r="A214" s="106"/>
      <c r="B214" s="106"/>
      <c r="C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row>
    <row r="215">
      <c r="A215" s="106"/>
      <c r="B215" s="106"/>
      <c r="C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row>
    <row r="216">
      <c r="A216" s="106"/>
      <c r="B216" s="106"/>
      <c r="C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row>
    <row r="217">
      <c r="A217" s="106"/>
      <c r="B217" s="106"/>
      <c r="C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row>
    <row r="218">
      <c r="A218" s="106"/>
      <c r="B218" s="106"/>
      <c r="C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row>
    <row r="219">
      <c r="A219" s="106"/>
      <c r="B219" s="106"/>
      <c r="C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row>
    <row r="220">
      <c r="A220" s="106"/>
      <c r="B220" s="106"/>
      <c r="C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row>
    <row r="221">
      <c r="A221" s="106"/>
      <c r="B221" s="106"/>
      <c r="C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row>
    <row r="222">
      <c r="A222" s="106"/>
      <c r="B222" s="106"/>
      <c r="C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row>
    <row r="223">
      <c r="A223" s="106"/>
      <c r="B223" s="106"/>
      <c r="C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row>
    <row r="224">
      <c r="A224" s="106"/>
      <c r="B224" s="106"/>
      <c r="C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row>
    <row r="225">
      <c r="A225" s="106"/>
      <c r="B225" s="106"/>
      <c r="C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row>
    <row r="226">
      <c r="A226" s="106"/>
      <c r="B226" s="113"/>
      <c r="C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row>
    <row r="227">
      <c r="A227" s="106"/>
      <c r="B227" s="113"/>
      <c r="C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row>
    <row r="228">
      <c r="A228" s="106"/>
      <c r="B228" s="113"/>
      <c r="C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row>
    <row r="229">
      <c r="A229" s="106"/>
      <c r="B229" s="113"/>
      <c r="C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row>
    <row r="230">
      <c r="A230" s="106"/>
      <c r="B230" s="113"/>
      <c r="C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row>
    <row r="231">
      <c r="A231" s="106"/>
      <c r="B231" s="113"/>
      <c r="C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row>
    <row r="232">
      <c r="A232" s="106"/>
      <c r="B232" s="113"/>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row>
    <row r="233">
      <c r="A233" s="106"/>
      <c r="B233" s="113"/>
      <c r="C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row>
    <row r="234">
      <c r="A234" s="106"/>
      <c r="B234" s="113"/>
      <c r="C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row>
    <row r="235">
      <c r="A235" s="106"/>
      <c r="B235" s="113"/>
      <c r="C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row>
    <row r="236">
      <c r="A236" s="106"/>
      <c r="B236" s="113"/>
      <c r="C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row>
    <row r="237">
      <c r="A237" s="106"/>
      <c r="B237" s="113"/>
      <c r="C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row>
    <row r="238">
      <c r="A238" s="106"/>
      <c r="B238" s="113"/>
      <c r="C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row>
    <row r="239">
      <c r="A239" s="106"/>
      <c r="B239" s="113"/>
      <c r="C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row>
    <row r="240">
      <c r="A240" s="106"/>
      <c r="B240" s="113"/>
      <c r="C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row>
    <row r="241">
      <c r="A241" s="106"/>
      <c r="B241" s="113"/>
      <c r="C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row>
    <row r="242">
      <c r="A242" s="106"/>
      <c r="B242" s="113"/>
      <c r="C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row>
    <row r="243">
      <c r="A243" s="106"/>
      <c r="B243" s="113"/>
      <c r="C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row>
    <row r="244">
      <c r="A244" s="106"/>
      <c r="B244" s="113"/>
      <c r="C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row>
    <row r="245">
      <c r="A245" s="106"/>
      <c r="B245" s="113"/>
      <c r="C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row>
    <row r="246">
      <c r="A246" s="106"/>
      <c r="B246" s="113"/>
      <c r="C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row>
    <row r="247">
      <c r="A247" s="106"/>
      <c r="B247" s="113"/>
      <c r="C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row>
    <row r="248">
      <c r="A248" s="106"/>
      <c r="B248" s="113"/>
      <c r="C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row>
    <row r="249">
      <c r="A249" s="106"/>
      <c r="B249" s="113"/>
      <c r="C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row>
    <row r="250">
      <c r="A250" s="106"/>
      <c r="B250" s="106"/>
      <c r="C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row>
    <row r="251">
      <c r="A251" s="106"/>
      <c r="B251" s="106"/>
      <c r="C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row>
    <row r="252">
      <c r="A252" s="106"/>
      <c r="B252" s="106"/>
      <c r="C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row>
    <row r="253">
      <c r="A253" s="106"/>
      <c r="B253" s="106"/>
      <c r="C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row>
    <row r="254">
      <c r="A254" s="106"/>
      <c r="B254" s="106"/>
      <c r="C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row>
    <row r="255">
      <c r="A255" s="106"/>
      <c r="B255" s="106"/>
      <c r="C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row>
    <row r="256">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row>
    <row r="257">
      <c r="A257" s="106"/>
      <c r="B257" s="106"/>
      <c r="C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row>
    <row r="258">
      <c r="A258" s="106"/>
      <c r="B258" s="106"/>
      <c r="C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row>
    <row r="259">
      <c r="A259" s="106"/>
      <c r="B259" s="106"/>
      <c r="C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row>
    <row r="260">
      <c r="A260" s="106"/>
      <c r="B260" s="106"/>
      <c r="C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row>
    <row r="261">
      <c r="A261" s="106"/>
      <c r="B261" s="106"/>
      <c r="C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row>
    <row r="262">
      <c r="A262" s="106"/>
      <c r="B262" s="106"/>
      <c r="C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row>
    <row r="263">
      <c r="A263" s="106"/>
      <c r="B263" s="106"/>
      <c r="C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row>
    <row r="264">
      <c r="A264" s="106"/>
      <c r="B264" s="106"/>
      <c r="C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row>
    <row r="265">
      <c r="A265" s="106"/>
      <c r="B265" s="106"/>
      <c r="C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row>
    <row r="266">
      <c r="A266" s="106"/>
      <c r="B266" s="106"/>
      <c r="C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row>
    <row r="267">
      <c r="A267" s="106"/>
      <c r="B267" s="106"/>
      <c r="C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row>
    <row r="268">
      <c r="A268" s="106"/>
      <c r="B268" s="106"/>
      <c r="C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row>
    <row r="269">
      <c r="A269" s="106"/>
      <c r="B269" s="106"/>
      <c r="C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row>
    <row r="270">
      <c r="A270" s="106"/>
      <c r="B270" s="106"/>
      <c r="C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row>
    <row r="271">
      <c r="A271" s="106"/>
      <c r="B271" s="106"/>
      <c r="C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row>
    <row r="272">
      <c r="A272" s="106"/>
      <c r="B272" s="106"/>
      <c r="C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row>
    <row r="273">
      <c r="A273" s="106"/>
      <c r="B273" s="106"/>
      <c r="C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row>
    <row r="274">
      <c r="A274" s="106"/>
      <c r="B274" s="106"/>
      <c r="C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row>
    <row r="275">
      <c r="A275" s="106"/>
      <c r="B275" s="106"/>
      <c r="C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row>
    <row r="276">
      <c r="A276" s="106"/>
      <c r="B276" s="106"/>
      <c r="C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row>
    <row r="277">
      <c r="A277" s="106"/>
      <c r="B277" s="106"/>
      <c r="C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row>
    <row r="278">
      <c r="A278" s="106"/>
      <c r="B278" s="106"/>
      <c r="C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row>
    <row r="279">
      <c r="A279" s="106"/>
      <c r="B279" s="106"/>
      <c r="C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row>
    <row r="280">
      <c r="A280" s="106"/>
      <c r="B280" s="106"/>
      <c r="C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row>
    <row r="281">
      <c r="A281" s="106"/>
      <c r="B281" s="106"/>
      <c r="C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row>
    <row r="282">
      <c r="A282" s="106"/>
      <c r="B282" s="106"/>
      <c r="C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row>
    <row r="283">
      <c r="A283" s="106"/>
      <c r="B283" s="106"/>
      <c r="C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row>
    <row r="284">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row>
    <row r="285">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row>
    <row r="286">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row>
    <row r="287">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row>
    <row r="288">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row>
    <row r="289">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row>
    <row r="290">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row>
    <row r="29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row>
    <row r="292">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row>
    <row r="293">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row>
    <row r="294">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row>
    <row r="295">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row>
    <row r="296">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row>
    <row r="297">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row>
    <row r="298">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row>
    <row r="299">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row>
    <row r="300">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row>
    <row r="30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row>
    <row r="302">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row>
    <row r="303">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row>
    <row r="304">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row>
    <row r="305">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row>
    <row r="306">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row>
    <row r="307">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row>
    <row r="308">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row>
    <row r="309">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row>
    <row r="310">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row>
    <row r="31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row>
    <row r="312">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row>
    <row r="313">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row>
    <row r="314">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row>
    <row r="315">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row>
    <row r="316">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row>
    <row r="317">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row>
    <row r="318">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row>
    <row r="319">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row>
    <row r="320">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row>
    <row r="32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row>
    <row r="322">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row>
    <row r="323">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row>
    <row r="324">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row>
    <row r="325">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row>
    <row r="326">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row>
    <row r="327">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row>
    <row r="328">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row>
    <row r="329">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row>
    <row r="330">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row>
    <row r="33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row>
    <row r="332">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row>
    <row r="333">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row>
    <row r="334">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row>
    <row r="335">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row>
    <row r="336">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row>
    <row r="337">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row>
    <row r="338">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row>
    <row r="339">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row>
    <row r="340">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row>
    <row r="34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row>
    <row r="342">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row>
    <row r="343">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row>
    <row r="344">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row>
    <row r="345">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row>
    <row r="346">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row>
    <row r="347">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row>
    <row r="348">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row>
    <row r="349">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row>
    <row r="350">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row>
    <row r="35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row>
    <row r="352">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row>
    <row r="353">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row>
    <row r="354">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row>
    <row r="355">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row>
    <row r="356">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row>
    <row r="357">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row>
    <row r="358">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row>
    <row r="359">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row>
    <row r="360">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row>
    <row r="36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row>
    <row r="362">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row>
    <row r="363">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row>
    <row r="364">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row>
    <row r="365">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row>
    <row r="366">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row>
    <row r="367">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row>
    <row r="368">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row>
    <row r="369">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row>
    <row r="370">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row>
    <row r="37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row>
    <row r="372">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row>
    <row r="373">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row>
    <row r="374">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row>
    <row r="375">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row>
    <row r="376">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row>
    <row r="377">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row>
    <row r="378">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row>
    <row r="379">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row>
    <row r="380">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row>
    <row r="38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row>
    <row r="382">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row>
    <row r="383">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row>
    <row r="384">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row>
    <row r="385">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row>
    <row r="386">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row>
    <row r="387">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row>
    <row r="388">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row>
    <row r="389">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row>
    <row r="390">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row>
    <row r="39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row>
    <row r="392">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row>
    <row r="393">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row>
    <row r="394">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row>
    <row r="395">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row>
    <row r="396">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row>
    <row r="397">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row>
    <row r="398">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row>
    <row r="399">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row>
    <row r="400">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row>
    <row r="40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row>
    <row r="402">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row>
    <row r="403">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row>
    <row r="404">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row>
    <row r="405">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row>
    <row r="406">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row>
    <row r="407">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row>
    <row r="408">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row>
    <row r="409">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row>
    <row r="410">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row>
    <row r="41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row>
    <row r="412">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row>
    <row r="413">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row>
    <row r="414">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row>
    <row r="415">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row>
    <row r="416">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row>
    <row r="417">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row>
    <row r="418">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row>
    <row r="419">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row>
    <row r="420">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row>
    <row r="42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row>
    <row r="422">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row>
    <row r="423">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row>
    <row r="424">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row>
    <row r="425">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row>
    <row r="426">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row>
    <row r="427">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row>
    <row r="428">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row>
    <row r="429">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row>
    <row r="430">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row>
    <row r="43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row>
    <row r="432">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row>
    <row r="433">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row>
    <row r="434">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row>
    <row r="435">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row>
    <row r="436">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row>
    <row r="437">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row>
    <row r="438">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row>
    <row r="439">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row>
    <row r="440">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row>
    <row r="44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row>
    <row r="442">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row>
    <row r="443">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row>
    <row r="444">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row>
    <row r="445">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row>
    <row r="446">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row>
    <row r="447">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row>
    <row r="448">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row>
    <row r="449">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row>
    <row r="450">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row>
    <row r="45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row>
    <row r="452">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row>
    <row r="453">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row>
    <row r="454">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row>
    <row r="455">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row>
    <row r="456">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row>
    <row r="457">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row>
    <row r="458">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row>
    <row r="459">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row>
    <row r="460">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row>
    <row r="46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row>
    <row r="462">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row>
    <row r="463">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row>
    <row r="464">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row>
    <row r="465">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row>
    <row r="466">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row>
    <row r="467">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row>
    <row r="468">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row>
    <row r="469">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row>
    <row r="470">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row>
    <row r="47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row>
    <row r="472">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row>
    <row r="473">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row>
    <row r="474">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row>
    <row r="475">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row>
    <row r="476">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row>
    <row r="477">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row>
    <row r="478">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row>
    <row r="479">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row>
    <row r="480">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row>
    <row r="48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row>
    <row r="482">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row>
    <row r="483">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row>
    <row r="484">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row>
    <row r="485">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row>
    <row r="486">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row>
    <row r="487">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row>
    <row r="488">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row>
    <row r="489">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row>
    <row r="490">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row>
    <row r="49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row>
    <row r="492">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row>
    <row r="493">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row>
    <row r="494">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row>
    <row r="495">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row>
    <row r="496">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row>
    <row r="497">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row>
    <row r="498">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row>
    <row r="499">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row>
    <row r="500">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row>
    <row r="50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row>
    <row r="502">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row>
    <row r="503">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row>
    <row r="504">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row>
    <row r="505">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row>
    <row r="506">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row>
    <row r="507">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row>
    <row r="508">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row>
    <row r="509">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row>
    <row r="510">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row>
    <row r="51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row>
    <row r="512">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row>
    <row r="513">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row>
    <row r="514">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row>
    <row r="515">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row>
    <row r="516">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row>
    <row r="517">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row>
    <row r="518">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row>
    <row r="519">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row>
    <row r="520">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row>
    <row r="52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row>
    <row r="522">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row>
    <row r="523">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row>
    <row r="524">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row>
    <row r="525">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row>
    <row r="526">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row>
    <row r="527">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row>
    <row r="528">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row>
    <row r="529">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row>
    <row r="530">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row>
    <row r="53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row>
    <row r="532">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row>
    <row r="533">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row>
    <row r="534">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row>
    <row r="535">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row>
    <row r="536">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row>
    <row r="537">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row>
    <row r="538">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row>
    <row r="539">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row>
    <row r="540">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row>
    <row r="54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row>
    <row r="542">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row>
    <row r="543">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row>
    <row r="544">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row>
    <row r="545">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row>
    <row r="546">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row>
    <row r="547">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row>
    <row r="548">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row>
    <row r="549">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row>
    <row r="550">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row>
    <row r="55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row>
    <row r="552">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row>
    <row r="553">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row>
    <row r="554">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row>
    <row r="555">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row>
    <row r="556">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row>
    <row r="557">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row>
    <row r="558">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row>
    <row r="559">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row>
    <row r="560">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row>
    <row r="56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row>
    <row r="562">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row>
    <row r="563">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row>
    <row r="564">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row>
    <row r="565">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row>
    <row r="566">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row>
    <row r="567">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row>
    <row r="568">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row>
    <row r="569">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row>
    <row r="570">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row>
    <row r="57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row>
    <row r="572">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row>
    <row r="573">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row>
    <row r="574">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row>
    <row r="575">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row>
    <row r="576">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row>
    <row r="577">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row>
    <row r="578">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row>
    <row r="579">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row>
    <row r="580">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row>
    <row r="58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row>
    <row r="582">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row>
    <row r="583">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row>
    <row r="584">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row>
    <row r="585">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row>
    <row r="586">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row>
    <row r="587">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row>
    <row r="588">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row>
    <row r="589">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row>
    <row r="590">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row>
    <row r="59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row>
    <row r="592">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row>
    <row r="593">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row>
    <row r="594">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row>
    <row r="595">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row>
    <row r="596">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row>
    <row r="597">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row>
    <row r="598">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row>
    <row r="599">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row>
    <row r="600">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row>
    <row r="60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row>
    <row r="602">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row>
    <row r="603">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row>
    <row r="604">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row>
    <row r="605">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row>
    <row r="606">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row>
    <row r="607">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row>
    <row r="608">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row>
    <row r="609">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row>
    <row r="610">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row>
    <row r="61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row>
    <row r="612">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row>
    <row r="613">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row>
    <row r="614">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row>
    <row r="615">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row>
    <row r="616">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row>
    <row r="617">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row>
    <row r="618">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row>
    <row r="619">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row>
    <row r="620">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row>
    <row r="62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row>
    <row r="622">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row>
    <row r="623">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row>
    <row r="624">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row>
    <row r="625">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row>
    <row r="626">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row>
    <row r="627">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row>
    <row r="628">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row>
    <row r="629">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row>
    <row r="630">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row>
    <row r="63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row>
    <row r="632">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row>
    <row r="633">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row>
    <row r="634">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row>
    <row r="635">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row>
    <row r="636">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row>
    <row r="637">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row>
    <row r="638">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row>
    <row r="639">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row>
    <row r="640">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row>
    <row r="64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row>
    <row r="642">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row>
    <row r="643">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row>
    <row r="644">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row>
    <row r="645">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row>
    <row r="646">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row>
    <row r="647">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row>
    <row r="648">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row>
    <row r="649">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row>
    <row r="650">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row>
    <row r="65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row>
    <row r="652">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row>
    <row r="653">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row>
    <row r="654">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row>
    <row r="655">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row>
    <row r="656">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row>
    <row r="657">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row>
    <row r="658">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row>
    <row r="659">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row>
    <row r="660">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row>
    <row r="66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row>
    <row r="662">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row>
    <row r="663">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row>
    <row r="664">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row>
    <row r="665">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row>
    <row r="666">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row>
    <row r="667">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row>
    <row r="668">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row>
    <row r="669">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row>
    <row r="670">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row>
    <row r="67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row>
    <row r="672">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row>
    <row r="673">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row>
    <row r="674">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row>
    <row r="675">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row>
    <row r="676">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row>
    <row r="677">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row>
    <row r="678">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row>
    <row r="679">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row>
    <row r="680">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row>
    <row r="68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row>
    <row r="682">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row>
    <row r="683">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row>
    <row r="684">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row>
    <row r="685">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row>
    <row r="686">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row>
    <row r="687">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row>
    <row r="688">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row>
    <row r="689">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row>
    <row r="690">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row>
    <row r="69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row>
    <row r="692">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row>
    <row r="693">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row>
    <row r="694">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row>
    <row r="695">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row>
    <row r="696">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row>
    <row r="697">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row>
    <row r="698">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row>
    <row r="699">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row>
    <row r="700">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row>
    <row r="70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row>
    <row r="702">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row>
    <row r="703">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row>
    <row r="704">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row>
    <row r="705">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row>
    <row r="706">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row>
    <row r="707">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row>
    <row r="708">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row>
    <row r="709">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row>
    <row r="710">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row>
    <row r="71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row>
    <row r="712">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row>
    <row r="713">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row>
    <row r="714">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row>
    <row r="715">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row>
    <row r="716">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row>
    <row r="717">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row>
    <row r="718">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row>
    <row r="719">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row>
    <row r="720">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row>
    <row r="72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row>
    <row r="722">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row>
    <row r="723">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row>
    <row r="724">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row>
    <row r="725">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row>
    <row r="726">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row>
    <row r="727">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row>
    <row r="728">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row>
    <row r="729">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row>
    <row r="730">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row>
    <row r="73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row>
    <row r="732">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row>
    <row r="733">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row>
    <row r="734">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row>
    <row r="735">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row>
    <row r="736">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row>
    <row r="737">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row>
    <row r="738">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row>
    <row r="739">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row>
    <row r="740">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row>
    <row r="74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row>
    <row r="742">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row>
    <row r="743">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row>
    <row r="744">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row>
    <row r="745">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row>
    <row r="746">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row>
    <row r="747">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row>
    <row r="748">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row>
    <row r="749">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row>
    <row r="750">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row>
    <row r="75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row>
    <row r="752">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row>
    <row r="753">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row>
    <row r="754">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row>
    <row r="755">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row>
    <row r="756">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row>
    <row r="757">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row>
    <row r="758">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row>
    <row r="759">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row>
    <row r="760">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row>
    <row r="76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row>
    <row r="762">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row>
    <row r="763">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row>
    <row r="764">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row>
    <row r="765">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row>
    <row r="766">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row>
    <row r="767">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row>
    <row r="768">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row>
    <row r="769">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row>
    <row r="770">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row>
    <row r="77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row>
    <row r="772">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row>
    <row r="773">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row>
    <row r="774">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row>
    <row r="775">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row>
    <row r="776">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row>
    <row r="777">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row>
    <row r="778">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row>
    <row r="779">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row>
    <row r="780">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row>
    <row r="78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row>
    <row r="782">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row>
    <row r="783">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row>
    <row r="784">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row>
    <row r="785">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row>
    <row r="786">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row>
    <row r="787">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row>
    <row r="788">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row>
    <row r="789">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row>
    <row r="790">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row>
    <row r="79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row>
    <row r="792">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row>
    <row r="793">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row>
    <row r="794">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row>
    <row r="795">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row>
    <row r="796">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row>
    <row r="797">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row>
    <row r="798">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row>
    <row r="799">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row>
    <row r="800">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row>
    <row r="80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row>
    <row r="802">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row>
    <row r="803">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row>
    <row r="804">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row>
    <row r="805">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row>
    <row r="806">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row>
    <row r="807">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row>
    <row r="808">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row>
    <row r="809">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row>
    <row r="810">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row>
    <row r="81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row>
    <row r="812">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row>
    <row r="813">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row>
    <row r="814">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row>
    <row r="815">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row>
    <row r="816">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row>
    <row r="817">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row>
    <row r="818">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row>
    <row r="819">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row>
    <row r="820">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row>
    <row r="82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row>
    <row r="822">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row>
    <row r="823">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row>
    <row r="824">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row>
    <row r="825">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row>
    <row r="826">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row>
    <row r="827">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row>
    <row r="828">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row>
    <row r="829">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row>
    <row r="830">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row>
    <row r="83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row>
    <row r="832">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row>
    <row r="833">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row>
    <row r="834">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row>
    <row r="835">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row>
    <row r="836">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row>
    <row r="837">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row>
    <row r="838">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row>
    <row r="839">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row>
    <row r="840">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row>
    <row r="84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row>
    <row r="842">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row>
    <row r="843">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row>
    <row r="844">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row>
    <row r="845">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row>
    <row r="846">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row>
    <row r="847">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row>
    <row r="848">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row>
    <row r="849">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row>
    <row r="850">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row>
    <row r="85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row>
    <row r="852">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row>
    <row r="853">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row>
    <row r="854">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row>
    <row r="855">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row>
    <row r="856">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row>
    <row r="857">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row>
    <row r="858">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row>
    <row r="859">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row>
    <row r="860">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row>
    <row r="86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row>
    <row r="862">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row>
    <row r="863">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row>
    <row r="864">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row>
    <row r="865">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row>
    <row r="866">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row>
    <row r="867">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row>
    <row r="868">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row>
    <row r="869">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row>
    <row r="870">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row>
    <row r="87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row>
    <row r="872">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row>
    <row r="873">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row>
    <row r="874">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row>
    <row r="875">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row>
    <row r="876">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row>
    <row r="877">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row>
    <row r="878">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row>
    <row r="879">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row>
    <row r="880">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row>
    <row r="88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row>
    <row r="882">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row>
    <row r="883">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row>
    <row r="884">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row>
    <row r="885">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row>
    <row r="886">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row>
    <row r="887">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row>
    <row r="888">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row>
    <row r="889">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row>
    <row r="890">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row>
    <row r="89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row>
    <row r="892">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row>
    <row r="893">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row>
    <row r="894">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row>
    <row r="895">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row>
    <row r="896">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row>
    <row r="897">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row>
    <row r="898">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row>
    <row r="899">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row>
    <row r="900">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row>
    <row r="90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row>
    <row r="902">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row>
    <row r="903">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row>
    <row r="904">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row>
    <row r="905">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row>
    <row r="906">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row>
    <row r="907">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row>
    <row r="908">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row>
    <row r="909">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row>
    <row r="910">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row>
    <row r="91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row>
    <row r="912">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row>
    <row r="913">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row>
    <row r="914">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row>
    <row r="915">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row>
    <row r="916">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row>
    <row r="917">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row>
    <row r="918">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row>
    <row r="919">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row>
    <row r="920">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row>
    <row r="92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row>
    <row r="922">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row>
    <row r="923">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row>
    <row r="924">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row>
    <row r="925">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row>
    <row r="926">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row>
    <row r="927">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row>
    <row r="928">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row>
    <row r="929">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row>
    <row r="930">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row>
    <row r="93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row>
    <row r="932">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row>
    <row r="933">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row>
    <row r="934">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row>
    <row r="935">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row>
    <row r="936">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row>
    <row r="937">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row>
    <row r="938">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row>
    <row r="939">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row>
    <row r="940">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row>
    <row r="94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row>
    <row r="942">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row>
    <row r="943">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row>
    <row r="944">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row>
    <row r="945">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row>
    <row r="946">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row>
    <row r="947">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row>
    <row r="948">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row>
    <row r="949">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row>
    <row r="950">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row>
    <row r="95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row>
    <row r="952">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row>
    <row r="953">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row>
    <row r="954">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row>
    <row r="955">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row>
    <row r="956">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row>
    <row r="957">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row>
    <row r="958">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row>
    <row r="959">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row>
    <row r="960">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row>
    <row r="96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row>
    <row r="962">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row>
    <row r="963">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row>
    <row r="964">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row>
    <row r="965">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row>
    <row r="966">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row>
    <row r="967">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row>
    <row r="968">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row>
    <row r="969">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row>
    <row r="970">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row>
    <row r="97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row>
    <row r="972">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row>
    <row r="973">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row>
    <row r="974">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row>
    <row r="975">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row>
    <row r="976">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row>
    <row r="977">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row>
    <row r="978">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row>
    <row r="979">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row>
    <row r="980">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row>
    <row r="98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row>
    <row r="982">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row>
    <row r="983">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row>
    <row r="984">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row>
    <row r="985">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row>
    <row r="986">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row>
    <row r="987">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row>
    <row r="988">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row>
    <row r="989">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row>
    <row r="990">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row>
    <row r="99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row>
    <row r="992">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row>
    <row r="993">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row>
    <row r="994">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row>
    <row r="995">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row>
    <row r="996">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row>
    <row r="997">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row>
    <row r="998">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row>
    <row r="999">
      <c r="A999" s="106"/>
      <c r="B999" s="106"/>
      <c r="C999" s="106"/>
      <c r="D999" s="106"/>
      <c r="E999" s="106"/>
      <c r="F999" s="106"/>
      <c r="G999" s="106"/>
      <c r="H999" s="106"/>
      <c r="I999" s="106"/>
      <c r="J999" s="106"/>
      <c r="K999" s="106"/>
      <c r="L999" s="106"/>
      <c r="M999" s="106"/>
      <c r="N999" s="106"/>
      <c r="O999" s="106"/>
      <c r="P999" s="106"/>
      <c r="Q999" s="106"/>
      <c r="R999" s="106"/>
      <c r="S999" s="106"/>
      <c r="T999" s="106"/>
      <c r="U999" s="106"/>
      <c r="V999" s="106"/>
      <c r="W999" s="106"/>
      <c r="X999" s="106"/>
      <c r="Y999" s="106"/>
      <c r="Z999" s="106"/>
    </row>
    <row r="1000">
      <c r="A1000" s="106"/>
      <c r="B1000" s="106"/>
      <c r="C1000" s="106"/>
      <c r="D1000" s="106"/>
      <c r="E1000" s="106"/>
      <c r="F1000" s="106"/>
      <c r="G1000" s="106"/>
      <c r="H1000" s="106"/>
      <c r="I1000" s="106"/>
      <c r="J1000" s="106"/>
      <c r="K1000" s="106"/>
      <c r="L1000" s="106"/>
      <c r="M1000" s="106"/>
      <c r="N1000" s="106"/>
      <c r="O1000" s="106"/>
      <c r="P1000" s="106"/>
      <c r="Q1000" s="106"/>
      <c r="R1000" s="106"/>
      <c r="S1000" s="106"/>
      <c r="T1000" s="106"/>
      <c r="U1000" s="106"/>
      <c r="V1000" s="106"/>
      <c r="W1000" s="106"/>
      <c r="X1000" s="106"/>
      <c r="Y1000" s="106"/>
      <c r="Z1000" s="106"/>
    </row>
    <row r="1001">
      <c r="A1001" s="106"/>
      <c r="B1001" s="106"/>
      <c r="C1001" s="106"/>
      <c r="D1001" s="106"/>
      <c r="E1001" s="106"/>
      <c r="F1001" s="106"/>
      <c r="G1001" s="106"/>
      <c r="H1001" s="106"/>
      <c r="I1001" s="106"/>
      <c r="J1001" s="106"/>
      <c r="K1001" s="106"/>
      <c r="L1001" s="106"/>
      <c r="M1001" s="106"/>
      <c r="N1001" s="106"/>
      <c r="O1001" s="106"/>
      <c r="P1001" s="106"/>
      <c r="Q1001" s="106"/>
      <c r="R1001" s="106"/>
      <c r="S1001" s="106"/>
      <c r="T1001" s="106"/>
      <c r="U1001" s="106"/>
      <c r="V1001" s="106"/>
      <c r="W1001" s="106"/>
      <c r="X1001" s="106"/>
      <c r="Y1001" s="106"/>
      <c r="Z1001" s="106"/>
    </row>
    <row r="1002">
      <c r="A1002" s="106"/>
      <c r="B1002" s="106"/>
      <c r="C1002" s="106"/>
      <c r="D1002" s="106"/>
      <c r="E1002" s="106"/>
      <c r="F1002" s="106"/>
      <c r="G1002" s="106"/>
      <c r="H1002" s="106"/>
      <c r="I1002" s="106"/>
      <c r="J1002" s="106"/>
      <c r="K1002" s="106"/>
      <c r="L1002" s="106"/>
      <c r="M1002" s="106"/>
      <c r="N1002" s="106"/>
      <c r="O1002" s="106"/>
      <c r="P1002" s="106"/>
      <c r="Q1002" s="106"/>
      <c r="R1002" s="106"/>
      <c r="S1002" s="106"/>
      <c r="T1002" s="106"/>
      <c r="U1002" s="106"/>
      <c r="V1002" s="106"/>
      <c r="W1002" s="106"/>
      <c r="X1002" s="106"/>
      <c r="Y1002" s="106"/>
      <c r="Z1002" s="106"/>
    </row>
    <row r="1003">
      <c r="A1003" s="106"/>
      <c r="B1003" s="106"/>
      <c r="C1003" s="106"/>
      <c r="D1003" s="106"/>
      <c r="E1003" s="106"/>
      <c r="F1003" s="106"/>
      <c r="G1003" s="106"/>
      <c r="H1003" s="106"/>
      <c r="I1003" s="106"/>
      <c r="J1003" s="106"/>
      <c r="K1003" s="106"/>
      <c r="L1003" s="106"/>
      <c r="M1003" s="106"/>
      <c r="N1003" s="106"/>
      <c r="O1003" s="106"/>
      <c r="P1003" s="106"/>
      <c r="Q1003" s="106"/>
      <c r="R1003" s="106"/>
      <c r="S1003" s="106"/>
      <c r="T1003" s="106"/>
      <c r="U1003" s="106"/>
      <c r="V1003" s="106"/>
      <c r="W1003" s="106"/>
      <c r="X1003" s="106"/>
      <c r="Y1003" s="106"/>
      <c r="Z1003" s="106"/>
    </row>
    <row r="1004">
      <c r="A1004" s="106"/>
      <c r="B1004" s="106"/>
      <c r="C1004" s="106"/>
      <c r="D1004" s="106"/>
      <c r="E1004" s="106"/>
      <c r="F1004" s="106"/>
      <c r="G1004" s="106"/>
      <c r="H1004" s="106"/>
      <c r="I1004" s="106"/>
      <c r="J1004" s="106"/>
      <c r="K1004" s="106"/>
      <c r="L1004" s="106"/>
      <c r="M1004" s="106"/>
      <c r="N1004" s="106"/>
      <c r="O1004" s="106"/>
      <c r="P1004" s="106"/>
      <c r="Q1004" s="106"/>
      <c r="R1004" s="106"/>
      <c r="S1004" s="106"/>
      <c r="T1004" s="106"/>
      <c r="U1004" s="106"/>
      <c r="V1004" s="106"/>
      <c r="W1004" s="106"/>
      <c r="X1004" s="106"/>
      <c r="Y1004" s="106"/>
      <c r="Z1004" s="106"/>
    </row>
  </sheetData>
  <mergeCells count="9">
    <mergeCell ref="A50:F50"/>
    <mergeCell ref="A61:F61"/>
    <mergeCell ref="A1:F1"/>
    <mergeCell ref="A11:F11"/>
    <mergeCell ref="A20:F20"/>
    <mergeCell ref="B24:C24"/>
    <mergeCell ref="A25:F25"/>
    <mergeCell ref="A29:F29"/>
    <mergeCell ref="A32:F32"/>
  </mergeCells>
  <hyperlinks>
    <hyperlink r:id="rId1" ref="B3"/>
    <hyperlink r:id="rId2" ref="H3"/>
    <hyperlink r:id="rId3" ref="B5"/>
    <hyperlink r:id="rId4" ref="C5"/>
    <hyperlink r:id="rId5" ref="D5"/>
    <hyperlink r:id="rId6" ref="E5"/>
    <hyperlink r:id="rId7" ref="F5"/>
    <hyperlink r:id="rId8" ref="G5"/>
    <hyperlink r:id="rId9" ref="H5"/>
    <hyperlink r:id="rId10" ref="I5"/>
    <hyperlink r:id="rId11" ref="J5"/>
    <hyperlink r:id="rId12" ref="K5"/>
    <hyperlink r:id="rId13" ref="L5"/>
    <hyperlink r:id="rId14" ref="L9"/>
    <hyperlink r:id="rId15" ref="E23"/>
    <hyperlink r:id="rId16" ref="B193"/>
    <hyperlink r:id="rId17" ref="B194"/>
  </hyperlinks>
  <drawing r:id="rId1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1" width="9.5"/>
    <col customWidth="1" min="2" max="2" width="10.75"/>
    <col customWidth="1" min="3" max="5" width="75.13"/>
  </cols>
  <sheetData>
    <row r="1">
      <c r="A1" s="124" t="s">
        <v>2</v>
      </c>
      <c r="C1" s="53" t="s">
        <v>1054</v>
      </c>
      <c r="D1" s="53" t="s">
        <v>1442</v>
      </c>
      <c r="E1" s="125" t="s">
        <v>1359</v>
      </c>
      <c r="F1" s="42"/>
      <c r="G1" s="42"/>
      <c r="H1" s="42"/>
      <c r="I1" s="42"/>
      <c r="J1" s="42"/>
      <c r="K1" s="42"/>
      <c r="L1" s="42"/>
      <c r="M1" s="42"/>
      <c r="N1" s="42"/>
      <c r="O1" s="42"/>
      <c r="P1" s="42"/>
      <c r="Q1" s="42"/>
      <c r="R1" s="42"/>
      <c r="S1" s="42"/>
      <c r="T1" s="42"/>
      <c r="U1" s="42"/>
      <c r="V1" s="42"/>
      <c r="W1" s="42"/>
      <c r="X1" s="42"/>
      <c r="Y1" s="42"/>
      <c r="Z1" s="42"/>
    </row>
    <row r="2">
      <c r="A2" s="124" t="s">
        <v>1443</v>
      </c>
      <c r="C2" s="53" t="s">
        <v>1056</v>
      </c>
      <c r="D2" s="53" t="s">
        <v>1444</v>
      </c>
      <c r="E2" s="125" t="s">
        <v>1445</v>
      </c>
      <c r="F2" s="42"/>
      <c r="G2" s="42"/>
      <c r="H2" s="42"/>
      <c r="I2" s="42"/>
      <c r="J2" s="42"/>
      <c r="K2" s="42"/>
      <c r="L2" s="42"/>
      <c r="M2" s="42"/>
      <c r="N2" s="42"/>
      <c r="O2" s="42"/>
      <c r="P2" s="42"/>
      <c r="Q2" s="42"/>
      <c r="R2" s="42"/>
      <c r="S2" s="42"/>
      <c r="T2" s="42"/>
      <c r="U2" s="42"/>
      <c r="V2" s="42"/>
      <c r="W2" s="42"/>
      <c r="X2" s="42"/>
      <c r="Y2" s="42"/>
      <c r="Z2" s="42"/>
    </row>
    <row r="3">
      <c r="A3" s="124" t="s">
        <v>1446</v>
      </c>
      <c r="C3" s="53" t="s">
        <v>1447</v>
      </c>
      <c r="D3" s="53" t="s">
        <v>1448</v>
      </c>
      <c r="E3" s="125" t="s">
        <v>1449</v>
      </c>
      <c r="F3" s="42"/>
      <c r="G3" s="42"/>
      <c r="H3" s="42"/>
      <c r="I3" s="42"/>
      <c r="J3" s="42"/>
      <c r="K3" s="42"/>
      <c r="L3" s="42"/>
      <c r="M3" s="42"/>
      <c r="N3" s="42"/>
      <c r="O3" s="42"/>
      <c r="P3" s="42"/>
      <c r="Q3" s="42"/>
      <c r="R3" s="42"/>
      <c r="S3" s="42"/>
      <c r="T3" s="42"/>
      <c r="U3" s="42"/>
      <c r="V3" s="42"/>
      <c r="W3" s="42"/>
      <c r="X3" s="42"/>
      <c r="Y3" s="42"/>
      <c r="Z3" s="42"/>
    </row>
    <row r="4">
      <c r="A4" s="124" t="s">
        <v>1450</v>
      </c>
      <c r="C4" s="53" t="s">
        <v>1451</v>
      </c>
      <c r="D4" s="53" t="s">
        <v>1452</v>
      </c>
      <c r="E4" s="125" t="s">
        <v>1453</v>
      </c>
      <c r="F4" s="42"/>
      <c r="G4" s="42"/>
      <c r="H4" s="42"/>
      <c r="I4" s="42"/>
      <c r="J4" s="42"/>
      <c r="K4" s="42"/>
      <c r="L4" s="42"/>
      <c r="M4" s="42"/>
      <c r="N4" s="42"/>
      <c r="O4" s="42"/>
      <c r="P4" s="42"/>
      <c r="Q4" s="42"/>
      <c r="R4" s="42"/>
      <c r="S4" s="42"/>
      <c r="T4" s="42"/>
      <c r="U4" s="42"/>
      <c r="V4" s="42"/>
      <c r="W4" s="42"/>
      <c r="X4" s="42"/>
      <c r="Y4" s="42"/>
      <c r="Z4" s="42"/>
    </row>
    <row r="5">
      <c r="A5" s="124" t="s">
        <v>1454</v>
      </c>
      <c r="C5" s="53" t="s">
        <v>1455</v>
      </c>
      <c r="D5" s="53" t="s">
        <v>1456</v>
      </c>
      <c r="E5" s="126" t="s">
        <v>1457</v>
      </c>
      <c r="F5" s="42"/>
      <c r="G5" s="42"/>
      <c r="H5" s="42"/>
      <c r="I5" s="42"/>
      <c r="J5" s="42"/>
      <c r="K5" s="42"/>
      <c r="L5" s="42"/>
      <c r="M5" s="42"/>
      <c r="N5" s="42"/>
      <c r="O5" s="42"/>
      <c r="P5" s="42"/>
      <c r="Q5" s="42"/>
      <c r="R5" s="42"/>
      <c r="S5" s="42"/>
      <c r="T5" s="42"/>
      <c r="U5" s="42"/>
      <c r="V5" s="42"/>
      <c r="W5" s="42"/>
      <c r="X5" s="42"/>
      <c r="Y5" s="42"/>
      <c r="Z5" s="42"/>
    </row>
    <row r="6">
      <c r="A6" s="124"/>
      <c r="C6" s="53" t="s">
        <v>1458</v>
      </c>
      <c r="D6" s="53" t="s">
        <v>1459</v>
      </c>
      <c r="E6" s="126"/>
      <c r="F6" s="42"/>
      <c r="G6" s="42"/>
      <c r="H6" s="42"/>
      <c r="I6" s="42"/>
      <c r="J6" s="42"/>
      <c r="K6" s="42"/>
      <c r="L6" s="42"/>
      <c r="M6" s="42"/>
      <c r="N6" s="42"/>
      <c r="O6" s="42"/>
      <c r="P6" s="42"/>
      <c r="Q6" s="42"/>
      <c r="R6" s="42"/>
      <c r="S6" s="42"/>
      <c r="T6" s="42"/>
      <c r="U6" s="42"/>
      <c r="V6" s="42"/>
      <c r="W6" s="42"/>
      <c r="X6" s="42"/>
      <c r="Y6" s="42"/>
      <c r="Z6" s="42"/>
    </row>
    <row r="7">
      <c r="A7" s="124" t="s">
        <v>1460</v>
      </c>
      <c r="C7" s="126">
        <v>50.0</v>
      </c>
      <c r="D7" s="126">
        <v>70.0</v>
      </c>
      <c r="E7" s="126">
        <v>60.0</v>
      </c>
      <c r="F7" s="42"/>
      <c r="G7" s="42"/>
      <c r="H7" s="42"/>
      <c r="I7" s="42"/>
      <c r="J7" s="42"/>
      <c r="K7" s="42"/>
      <c r="L7" s="42"/>
      <c r="M7" s="42"/>
      <c r="N7" s="42"/>
      <c r="O7" s="42"/>
      <c r="P7" s="42"/>
      <c r="Q7" s="42"/>
      <c r="R7" s="42"/>
      <c r="S7" s="42"/>
      <c r="T7" s="42"/>
      <c r="U7" s="42"/>
      <c r="V7" s="42"/>
      <c r="W7" s="42"/>
      <c r="X7" s="42"/>
      <c r="Y7" s="42"/>
      <c r="Z7" s="42"/>
    </row>
    <row r="8">
      <c r="A8" s="124" t="s">
        <v>1461</v>
      </c>
      <c r="C8" s="53" t="s">
        <v>1462</v>
      </c>
      <c r="D8" s="53" t="s">
        <v>1462</v>
      </c>
      <c r="E8" s="125" t="s">
        <v>1462</v>
      </c>
      <c r="F8" s="42"/>
      <c r="G8" s="42"/>
      <c r="H8" s="42"/>
      <c r="I8" s="42"/>
      <c r="J8" s="42"/>
      <c r="K8" s="42"/>
      <c r="L8" s="42"/>
      <c r="M8" s="42"/>
      <c r="N8" s="42"/>
      <c r="O8" s="42"/>
      <c r="P8" s="42"/>
      <c r="Q8" s="42"/>
      <c r="R8" s="42"/>
      <c r="S8" s="42"/>
      <c r="T8" s="42"/>
      <c r="U8" s="42"/>
      <c r="V8" s="42"/>
      <c r="W8" s="42"/>
      <c r="X8" s="42"/>
      <c r="Y8" s="42"/>
      <c r="Z8" s="42"/>
    </row>
    <row r="9">
      <c r="A9" s="124" t="s">
        <v>1463</v>
      </c>
      <c r="B9" s="127" t="s">
        <v>2</v>
      </c>
      <c r="C9" s="53" t="s">
        <v>1464</v>
      </c>
      <c r="D9" s="53" t="s">
        <v>1465</v>
      </c>
      <c r="E9" s="125" t="s">
        <v>1466</v>
      </c>
      <c r="F9" s="42"/>
      <c r="G9" s="42"/>
      <c r="H9" s="42"/>
      <c r="I9" s="42"/>
      <c r="J9" s="42"/>
      <c r="K9" s="42"/>
      <c r="L9" s="42"/>
      <c r="M9" s="42"/>
      <c r="N9" s="42"/>
      <c r="O9" s="42"/>
      <c r="P9" s="42"/>
      <c r="Q9" s="42"/>
      <c r="R9" s="42"/>
      <c r="S9" s="42"/>
      <c r="T9" s="42"/>
      <c r="U9" s="42"/>
      <c r="V9" s="42"/>
      <c r="W9" s="42"/>
      <c r="X9" s="42"/>
      <c r="Y9" s="42"/>
      <c r="Z9" s="42"/>
    </row>
    <row r="10">
      <c r="B10" s="127" t="s">
        <v>1467</v>
      </c>
      <c r="C10" s="53"/>
      <c r="D10" s="53"/>
      <c r="E10" s="125" t="s">
        <v>1468</v>
      </c>
      <c r="F10" s="42"/>
      <c r="G10" s="42"/>
      <c r="H10" s="42"/>
      <c r="I10" s="42"/>
      <c r="J10" s="42"/>
      <c r="K10" s="42"/>
      <c r="L10" s="42"/>
      <c r="M10" s="42"/>
      <c r="N10" s="42"/>
      <c r="O10" s="42"/>
      <c r="P10" s="42"/>
      <c r="Q10" s="42"/>
      <c r="R10" s="42"/>
      <c r="S10" s="42"/>
      <c r="T10" s="42"/>
      <c r="U10" s="42"/>
      <c r="V10" s="42"/>
      <c r="W10" s="42"/>
      <c r="X10" s="42"/>
      <c r="Y10" s="42"/>
      <c r="Z10" s="42"/>
    </row>
    <row r="11">
      <c r="B11" s="124" t="s">
        <v>1469</v>
      </c>
      <c r="C11" s="53" t="s">
        <v>1470</v>
      </c>
      <c r="D11" s="53" t="s">
        <v>1470</v>
      </c>
      <c r="E11" s="125" t="s">
        <v>1470</v>
      </c>
      <c r="F11" s="42"/>
      <c r="G11" s="42"/>
      <c r="H11" s="42"/>
      <c r="I11" s="42"/>
      <c r="J11" s="42"/>
      <c r="K11" s="42"/>
      <c r="L11" s="42"/>
      <c r="M11" s="42"/>
      <c r="N11" s="42"/>
      <c r="O11" s="42"/>
      <c r="P11" s="42"/>
      <c r="Q11" s="42"/>
      <c r="R11" s="42"/>
      <c r="S11" s="42"/>
      <c r="T11" s="42"/>
      <c r="U11" s="42"/>
      <c r="V11" s="42"/>
      <c r="W11" s="42"/>
      <c r="X11" s="42"/>
      <c r="Y11" s="42"/>
      <c r="Z11" s="42"/>
    </row>
    <row r="12">
      <c r="B12" s="127" t="s">
        <v>1471</v>
      </c>
      <c r="C12" s="53" t="s">
        <v>1472</v>
      </c>
      <c r="D12" s="53" t="s">
        <v>1472</v>
      </c>
      <c r="E12" s="125" t="s">
        <v>1472</v>
      </c>
      <c r="F12" s="42"/>
      <c r="G12" s="42"/>
      <c r="H12" s="42"/>
      <c r="I12" s="42"/>
      <c r="J12" s="42"/>
      <c r="K12" s="42"/>
      <c r="L12" s="42"/>
      <c r="M12" s="42"/>
      <c r="N12" s="42"/>
      <c r="O12" s="42"/>
      <c r="P12" s="42"/>
      <c r="Q12" s="42"/>
      <c r="R12" s="42"/>
      <c r="S12" s="42"/>
      <c r="T12" s="42"/>
      <c r="U12" s="42"/>
      <c r="V12" s="42"/>
      <c r="W12" s="42"/>
      <c r="X12" s="42"/>
      <c r="Y12" s="42"/>
      <c r="Z12" s="42"/>
    </row>
    <row r="13">
      <c r="A13" s="124" t="s">
        <v>1473</v>
      </c>
      <c r="B13" s="127" t="s">
        <v>2</v>
      </c>
      <c r="C13" s="43" t="s">
        <v>1474</v>
      </c>
      <c r="D13" s="43" t="s">
        <v>1475</v>
      </c>
      <c r="E13" s="128" t="s">
        <v>1476</v>
      </c>
      <c r="F13" s="42"/>
      <c r="G13" s="42"/>
      <c r="H13" s="42"/>
      <c r="I13" s="42"/>
      <c r="J13" s="42"/>
      <c r="K13" s="42"/>
      <c r="L13" s="42"/>
      <c r="M13" s="42"/>
      <c r="N13" s="42"/>
      <c r="O13" s="42"/>
      <c r="P13" s="42"/>
      <c r="Q13" s="42"/>
      <c r="R13" s="42"/>
      <c r="S13" s="42"/>
      <c r="T13" s="42"/>
      <c r="U13" s="42"/>
      <c r="V13" s="42"/>
      <c r="W13" s="42"/>
      <c r="X13" s="42"/>
      <c r="Y13" s="42"/>
      <c r="Z13" s="42"/>
    </row>
    <row r="14">
      <c r="B14" s="127" t="s">
        <v>1450</v>
      </c>
      <c r="C14" s="43" t="s">
        <v>1477</v>
      </c>
      <c r="D14" s="53" t="s">
        <v>1478</v>
      </c>
      <c r="E14" s="125" t="s">
        <v>1479</v>
      </c>
      <c r="F14" s="42"/>
      <c r="G14" s="42"/>
      <c r="H14" s="42"/>
      <c r="I14" s="42"/>
      <c r="J14" s="42"/>
      <c r="K14" s="42"/>
      <c r="L14" s="42"/>
      <c r="M14" s="42"/>
      <c r="N14" s="42"/>
      <c r="O14" s="42"/>
      <c r="P14" s="42"/>
      <c r="Q14" s="42"/>
      <c r="R14" s="42"/>
      <c r="S14" s="42"/>
      <c r="T14" s="42"/>
      <c r="U14" s="42"/>
      <c r="V14" s="42"/>
      <c r="W14" s="42"/>
      <c r="X14" s="42"/>
      <c r="Y14" s="42"/>
      <c r="Z14" s="42"/>
    </row>
    <row r="15">
      <c r="B15" s="127" t="s">
        <v>1480</v>
      </c>
      <c r="C15" s="53" t="s">
        <v>1481</v>
      </c>
      <c r="D15" s="53" t="s">
        <v>1482</v>
      </c>
      <c r="E15" s="125" t="s">
        <v>1483</v>
      </c>
      <c r="F15" s="42"/>
      <c r="G15" s="42"/>
      <c r="H15" s="42"/>
      <c r="I15" s="42"/>
      <c r="J15" s="42"/>
      <c r="K15" s="42"/>
      <c r="L15" s="42"/>
      <c r="M15" s="42"/>
      <c r="N15" s="42"/>
      <c r="O15" s="42"/>
      <c r="P15" s="42"/>
      <c r="Q15" s="42"/>
      <c r="R15" s="42"/>
      <c r="S15" s="42"/>
      <c r="T15" s="42"/>
      <c r="U15" s="42"/>
      <c r="V15" s="42"/>
      <c r="W15" s="42"/>
      <c r="X15" s="42"/>
      <c r="Y15" s="42"/>
      <c r="Z15" s="42"/>
    </row>
    <row r="16">
      <c r="B16" s="127" t="s">
        <v>1467</v>
      </c>
      <c r="C16" s="53" t="s">
        <v>1484</v>
      </c>
      <c r="D16" s="53" t="s">
        <v>1485</v>
      </c>
      <c r="E16" s="125" t="s">
        <v>1486</v>
      </c>
      <c r="F16" s="42"/>
      <c r="G16" s="42"/>
      <c r="H16" s="42"/>
      <c r="I16" s="42"/>
      <c r="J16" s="42"/>
      <c r="K16" s="42"/>
      <c r="L16" s="42"/>
      <c r="M16" s="42"/>
      <c r="N16" s="42"/>
      <c r="O16" s="42"/>
      <c r="P16" s="42"/>
      <c r="Q16" s="42"/>
      <c r="R16" s="42"/>
      <c r="S16" s="42"/>
      <c r="T16" s="42"/>
      <c r="U16" s="42"/>
      <c r="V16" s="42"/>
      <c r="W16" s="42"/>
      <c r="X16" s="42"/>
      <c r="Y16" s="42"/>
      <c r="Z16" s="42"/>
    </row>
    <row r="17">
      <c r="B17" s="41" t="s">
        <v>1487</v>
      </c>
      <c r="C17" s="66" t="s">
        <v>594</v>
      </c>
      <c r="D17" s="66" t="s">
        <v>602</v>
      </c>
      <c r="E17" s="129" t="s">
        <v>1488</v>
      </c>
      <c r="F17" s="42"/>
      <c r="G17" s="42"/>
      <c r="H17" s="42"/>
      <c r="I17" s="42"/>
      <c r="J17" s="42"/>
      <c r="K17" s="42"/>
      <c r="L17" s="42"/>
      <c r="M17" s="42"/>
      <c r="N17" s="42"/>
      <c r="O17" s="42"/>
      <c r="P17" s="42"/>
      <c r="Q17" s="42"/>
      <c r="R17" s="42"/>
      <c r="S17" s="42"/>
      <c r="T17" s="42"/>
      <c r="U17" s="42"/>
      <c r="V17" s="42"/>
      <c r="W17" s="42"/>
      <c r="X17" s="42"/>
      <c r="Y17" s="42"/>
      <c r="Z17" s="42"/>
    </row>
    <row r="18">
      <c r="B18" s="127" t="s">
        <v>1489</v>
      </c>
      <c r="C18" s="53" t="s">
        <v>1490</v>
      </c>
      <c r="D18" s="53" t="s">
        <v>1491</v>
      </c>
      <c r="E18" s="125" t="s">
        <v>1492</v>
      </c>
      <c r="F18" s="42"/>
      <c r="G18" s="42"/>
      <c r="H18" s="42"/>
      <c r="I18" s="42"/>
      <c r="J18" s="42"/>
      <c r="K18" s="42"/>
      <c r="L18" s="42"/>
      <c r="M18" s="42"/>
      <c r="N18" s="42"/>
      <c r="O18" s="42"/>
      <c r="P18" s="42"/>
      <c r="Q18" s="42"/>
      <c r="R18" s="42"/>
      <c r="S18" s="42"/>
      <c r="T18" s="42"/>
      <c r="U18" s="42"/>
      <c r="V18" s="42"/>
      <c r="W18" s="42"/>
      <c r="X18" s="42"/>
      <c r="Y18" s="42"/>
      <c r="Z18" s="42"/>
    </row>
    <row r="19">
      <c r="A19" s="124" t="s">
        <v>1493</v>
      </c>
      <c r="B19" s="127" t="s">
        <v>2</v>
      </c>
      <c r="C19" s="53" t="s">
        <v>1494</v>
      </c>
      <c r="D19" s="53" t="s">
        <v>1495</v>
      </c>
      <c r="E19" s="125" t="s">
        <v>1496</v>
      </c>
      <c r="F19" s="42"/>
      <c r="G19" s="42"/>
      <c r="H19" s="42"/>
      <c r="I19" s="42"/>
      <c r="J19" s="42"/>
      <c r="K19" s="42"/>
      <c r="L19" s="42"/>
      <c r="M19" s="42"/>
      <c r="N19" s="42"/>
      <c r="O19" s="42"/>
      <c r="P19" s="42"/>
      <c r="Q19" s="42"/>
      <c r="R19" s="42"/>
      <c r="S19" s="42"/>
      <c r="T19" s="42"/>
      <c r="U19" s="42"/>
      <c r="V19" s="42"/>
      <c r="W19" s="42"/>
      <c r="X19" s="42"/>
      <c r="Y19" s="42"/>
      <c r="Z19" s="42"/>
    </row>
    <row r="20">
      <c r="B20" s="127" t="s">
        <v>1450</v>
      </c>
      <c r="C20" s="53" t="s">
        <v>1497</v>
      </c>
      <c r="D20" s="53" t="s">
        <v>1498</v>
      </c>
      <c r="E20" s="43" t="s">
        <v>1499</v>
      </c>
      <c r="F20" s="42"/>
      <c r="G20" s="42"/>
      <c r="H20" s="42"/>
      <c r="I20" s="42"/>
      <c r="J20" s="42"/>
      <c r="K20" s="42"/>
      <c r="L20" s="42"/>
      <c r="M20" s="42"/>
      <c r="N20" s="42"/>
      <c r="O20" s="42"/>
      <c r="P20" s="42"/>
      <c r="Q20" s="42"/>
      <c r="R20" s="42"/>
      <c r="S20" s="42"/>
      <c r="T20" s="42"/>
      <c r="U20" s="42"/>
      <c r="V20" s="42"/>
      <c r="W20" s="42"/>
      <c r="X20" s="42"/>
      <c r="Y20" s="42"/>
      <c r="Z20" s="42"/>
    </row>
    <row r="21">
      <c r="B21" s="127" t="s">
        <v>1480</v>
      </c>
      <c r="C21" s="53" t="s">
        <v>1500</v>
      </c>
      <c r="D21" s="53" t="s">
        <v>1501</v>
      </c>
      <c r="E21" s="43" t="s">
        <v>1502</v>
      </c>
      <c r="F21" s="42"/>
      <c r="G21" s="42"/>
      <c r="H21" s="42"/>
      <c r="I21" s="42"/>
      <c r="J21" s="42"/>
      <c r="K21" s="42"/>
      <c r="L21" s="42"/>
      <c r="M21" s="42"/>
      <c r="N21" s="42"/>
      <c r="O21" s="42"/>
      <c r="P21" s="42"/>
      <c r="Q21" s="42"/>
      <c r="R21" s="42"/>
      <c r="S21" s="42"/>
      <c r="T21" s="42"/>
      <c r="U21" s="42"/>
      <c r="V21" s="42"/>
      <c r="W21" s="42"/>
      <c r="X21" s="42"/>
      <c r="Y21" s="42"/>
      <c r="Z21" s="42"/>
    </row>
    <row r="22">
      <c r="B22" s="127" t="s">
        <v>1467</v>
      </c>
      <c r="C22" s="53" t="s">
        <v>1503</v>
      </c>
      <c r="D22" s="53" t="s">
        <v>1504</v>
      </c>
      <c r="E22" s="125" t="s">
        <v>1505</v>
      </c>
      <c r="F22" s="42"/>
      <c r="G22" s="42"/>
      <c r="H22" s="42"/>
      <c r="I22" s="42"/>
      <c r="J22" s="42"/>
      <c r="K22" s="42"/>
      <c r="L22" s="42"/>
      <c r="M22" s="42"/>
      <c r="N22" s="42"/>
      <c r="O22" s="42"/>
      <c r="P22" s="42"/>
      <c r="Q22" s="42"/>
      <c r="R22" s="42"/>
      <c r="S22" s="42"/>
      <c r="T22" s="42"/>
      <c r="U22" s="42"/>
      <c r="V22" s="42"/>
      <c r="W22" s="42"/>
      <c r="X22" s="42"/>
      <c r="Y22" s="42"/>
      <c r="Z22" s="42"/>
    </row>
    <row r="23">
      <c r="B23" s="41" t="s">
        <v>1487</v>
      </c>
      <c r="C23" s="66" t="s">
        <v>603</v>
      </c>
      <c r="D23" s="70" t="s">
        <v>1506</v>
      </c>
      <c r="E23" s="129" t="s">
        <v>1507</v>
      </c>
      <c r="F23" s="42"/>
      <c r="G23" s="42"/>
      <c r="H23" s="42"/>
      <c r="I23" s="42"/>
      <c r="J23" s="42"/>
      <c r="K23" s="42"/>
      <c r="L23" s="42"/>
      <c r="M23" s="42"/>
      <c r="N23" s="42"/>
      <c r="O23" s="42"/>
      <c r="P23" s="42"/>
      <c r="Q23" s="42"/>
      <c r="R23" s="42"/>
      <c r="S23" s="42"/>
      <c r="T23" s="42"/>
      <c r="U23" s="42"/>
      <c r="V23" s="42"/>
      <c r="W23" s="42"/>
      <c r="X23" s="42"/>
      <c r="Y23" s="42"/>
      <c r="Z23" s="42"/>
    </row>
    <row r="24">
      <c r="B24" s="127" t="s">
        <v>1489</v>
      </c>
      <c r="C24" s="53" t="s">
        <v>1508</v>
      </c>
      <c r="D24" s="53" t="s">
        <v>1509</v>
      </c>
      <c r="E24" s="125" t="s">
        <v>1510</v>
      </c>
      <c r="F24" s="42"/>
      <c r="G24" s="42"/>
      <c r="H24" s="42"/>
      <c r="I24" s="42"/>
      <c r="J24" s="42"/>
      <c r="K24" s="42"/>
      <c r="L24" s="42"/>
      <c r="M24" s="42"/>
      <c r="N24" s="42"/>
      <c r="O24" s="42"/>
      <c r="P24" s="42"/>
      <c r="Q24" s="42"/>
      <c r="R24" s="42"/>
      <c r="S24" s="42"/>
      <c r="T24" s="42"/>
      <c r="U24" s="42"/>
      <c r="V24" s="42"/>
      <c r="W24" s="42"/>
      <c r="X24" s="42"/>
      <c r="Y24" s="42"/>
      <c r="Z24" s="42"/>
    </row>
    <row r="25">
      <c r="A25" s="124" t="s">
        <v>1511</v>
      </c>
      <c r="B25" s="127" t="s">
        <v>2</v>
      </c>
      <c r="C25" s="53" t="s">
        <v>1512</v>
      </c>
      <c r="D25" s="53" t="s">
        <v>1513</v>
      </c>
      <c r="E25" s="128" t="s">
        <v>1514</v>
      </c>
      <c r="F25" s="42"/>
      <c r="G25" s="42"/>
      <c r="H25" s="42"/>
      <c r="I25" s="42"/>
      <c r="J25" s="42"/>
      <c r="K25" s="42"/>
      <c r="L25" s="42"/>
      <c r="M25" s="42"/>
      <c r="N25" s="42"/>
      <c r="O25" s="42"/>
      <c r="P25" s="42"/>
      <c r="Q25" s="42"/>
      <c r="R25" s="42"/>
      <c r="S25" s="42"/>
      <c r="T25" s="42"/>
      <c r="U25" s="42"/>
      <c r="V25" s="42"/>
      <c r="W25" s="42"/>
      <c r="X25" s="42"/>
      <c r="Y25" s="42"/>
      <c r="Z25" s="42"/>
    </row>
    <row r="26">
      <c r="B26" s="127" t="s">
        <v>1450</v>
      </c>
      <c r="C26" s="53" t="s">
        <v>1515</v>
      </c>
      <c r="D26" s="53" t="s">
        <v>1477</v>
      </c>
      <c r="E26" s="43" t="s">
        <v>1516</v>
      </c>
      <c r="F26" s="42"/>
      <c r="G26" s="42"/>
      <c r="H26" s="42"/>
      <c r="I26" s="42"/>
      <c r="J26" s="42"/>
      <c r="K26" s="42"/>
      <c r="L26" s="42"/>
      <c r="M26" s="42"/>
      <c r="N26" s="42"/>
      <c r="O26" s="42"/>
      <c r="P26" s="42"/>
      <c r="Q26" s="42"/>
      <c r="R26" s="42"/>
      <c r="S26" s="42"/>
      <c r="T26" s="42"/>
      <c r="U26" s="42"/>
      <c r="V26" s="42"/>
      <c r="W26" s="42"/>
      <c r="X26" s="42"/>
      <c r="Y26" s="42"/>
      <c r="Z26" s="42"/>
    </row>
    <row r="27">
      <c r="B27" s="127" t="s">
        <v>1480</v>
      </c>
      <c r="C27" s="43" t="s">
        <v>1517</v>
      </c>
      <c r="D27" s="53" t="s">
        <v>1518</v>
      </c>
      <c r="E27" s="43" t="s">
        <v>1517</v>
      </c>
      <c r="F27" s="42"/>
      <c r="G27" s="42"/>
      <c r="H27" s="42"/>
      <c r="I27" s="42"/>
      <c r="J27" s="42"/>
      <c r="K27" s="42"/>
      <c r="L27" s="42"/>
      <c r="M27" s="42"/>
      <c r="N27" s="42"/>
      <c r="O27" s="42"/>
      <c r="P27" s="42"/>
      <c r="Q27" s="42"/>
      <c r="R27" s="42"/>
      <c r="S27" s="42"/>
      <c r="T27" s="42"/>
      <c r="U27" s="42"/>
      <c r="V27" s="42"/>
      <c r="W27" s="42"/>
      <c r="X27" s="42"/>
      <c r="Y27" s="42"/>
      <c r="Z27" s="42"/>
    </row>
    <row r="28">
      <c r="B28" s="127" t="s">
        <v>1467</v>
      </c>
      <c r="C28" s="53" t="s">
        <v>1519</v>
      </c>
      <c r="D28" s="53" t="s">
        <v>1520</v>
      </c>
      <c r="E28" s="125" t="s">
        <v>1521</v>
      </c>
      <c r="F28" s="42"/>
      <c r="G28" s="42"/>
      <c r="H28" s="42"/>
      <c r="I28" s="42"/>
      <c r="J28" s="42"/>
      <c r="K28" s="42"/>
      <c r="L28" s="42"/>
      <c r="M28" s="42"/>
      <c r="N28" s="42"/>
      <c r="O28" s="42"/>
      <c r="P28" s="42"/>
      <c r="Q28" s="42"/>
      <c r="R28" s="42"/>
      <c r="S28" s="42"/>
      <c r="T28" s="42"/>
      <c r="U28" s="42"/>
      <c r="V28" s="42"/>
      <c r="W28" s="42"/>
      <c r="X28" s="42"/>
      <c r="Y28" s="42"/>
      <c r="Z28" s="42"/>
    </row>
    <row r="29">
      <c r="B29" s="41" t="s">
        <v>1487</v>
      </c>
      <c r="C29" s="66" t="s">
        <v>588</v>
      </c>
      <c r="D29" s="70" t="s">
        <v>1522</v>
      </c>
      <c r="E29" s="68" t="s">
        <v>1523</v>
      </c>
      <c r="F29" s="42"/>
      <c r="G29" s="42"/>
      <c r="H29" s="42"/>
      <c r="I29" s="42"/>
      <c r="J29" s="42"/>
      <c r="K29" s="42"/>
      <c r="L29" s="42"/>
      <c r="M29" s="42"/>
      <c r="N29" s="42"/>
      <c r="O29" s="42"/>
      <c r="P29" s="42"/>
      <c r="Q29" s="42"/>
      <c r="R29" s="42"/>
      <c r="S29" s="42"/>
      <c r="T29" s="42"/>
      <c r="U29" s="42"/>
      <c r="V29" s="42"/>
      <c r="W29" s="42"/>
      <c r="X29" s="42"/>
      <c r="Y29" s="42"/>
      <c r="Z29" s="42"/>
    </row>
    <row r="30">
      <c r="B30" s="127" t="s">
        <v>1489</v>
      </c>
      <c r="C30" s="53" t="s">
        <v>1524</v>
      </c>
      <c r="D30" s="53" t="s">
        <v>1525</v>
      </c>
      <c r="E30" s="130" t="s">
        <v>1526</v>
      </c>
      <c r="F30" s="42"/>
      <c r="G30" s="42"/>
      <c r="H30" s="42"/>
      <c r="I30" s="42"/>
      <c r="J30" s="42"/>
      <c r="K30" s="42"/>
      <c r="L30" s="42"/>
      <c r="M30" s="42"/>
      <c r="N30" s="42"/>
      <c r="O30" s="42"/>
      <c r="P30" s="42"/>
      <c r="Q30" s="42"/>
      <c r="R30" s="42"/>
      <c r="S30" s="42"/>
      <c r="T30" s="42"/>
      <c r="U30" s="42"/>
      <c r="V30" s="42"/>
      <c r="W30" s="42"/>
      <c r="X30" s="42"/>
      <c r="Y30" s="42"/>
      <c r="Z30" s="42"/>
    </row>
    <row r="31">
      <c r="A31" s="124" t="s">
        <v>1527</v>
      </c>
      <c r="B31" s="127" t="s">
        <v>1450</v>
      </c>
      <c r="C31" s="53" t="s">
        <v>1528</v>
      </c>
      <c r="D31" s="53" t="s">
        <v>1529</v>
      </c>
      <c r="E31" s="43" t="s">
        <v>1530</v>
      </c>
      <c r="F31" s="42"/>
      <c r="G31" s="42"/>
      <c r="H31" s="42"/>
      <c r="I31" s="42"/>
      <c r="J31" s="42"/>
      <c r="K31" s="42"/>
      <c r="L31" s="42"/>
      <c r="M31" s="42"/>
      <c r="N31" s="42"/>
      <c r="O31" s="42"/>
      <c r="P31" s="42"/>
      <c r="Q31" s="42"/>
      <c r="R31" s="42"/>
      <c r="S31" s="42"/>
      <c r="T31" s="42"/>
      <c r="U31" s="42"/>
      <c r="V31" s="42"/>
      <c r="W31" s="42"/>
      <c r="X31" s="42"/>
      <c r="Y31" s="42"/>
      <c r="Z31" s="42"/>
    </row>
    <row r="32">
      <c r="B32" s="127" t="s">
        <v>1487</v>
      </c>
      <c r="C32" s="68" t="s">
        <v>588</v>
      </c>
      <c r="D32" s="64" t="s">
        <v>612</v>
      </c>
      <c r="E32" s="131" t="s">
        <v>759</v>
      </c>
      <c r="F32" s="42"/>
      <c r="G32" s="42"/>
      <c r="H32" s="42"/>
      <c r="I32" s="42"/>
      <c r="J32" s="42"/>
      <c r="K32" s="42"/>
      <c r="L32" s="42"/>
      <c r="M32" s="42"/>
      <c r="N32" s="42"/>
      <c r="O32" s="42"/>
      <c r="P32" s="42"/>
      <c r="Q32" s="42"/>
      <c r="R32" s="42"/>
      <c r="S32" s="42"/>
      <c r="T32" s="42"/>
      <c r="U32" s="42"/>
      <c r="V32" s="42"/>
      <c r="W32" s="42"/>
      <c r="X32" s="42"/>
      <c r="Y32" s="42"/>
      <c r="Z32" s="42"/>
    </row>
    <row r="33">
      <c r="B33" s="127" t="s">
        <v>1489</v>
      </c>
      <c r="C33" s="53" t="s">
        <v>1531</v>
      </c>
      <c r="D33" s="53" t="s">
        <v>1532</v>
      </c>
      <c r="E33" s="125" t="s">
        <v>1533</v>
      </c>
      <c r="F33" s="42"/>
      <c r="G33" s="42"/>
      <c r="H33" s="42"/>
      <c r="I33" s="42"/>
      <c r="J33" s="42"/>
      <c r="K33" s="42"/>
      <c r="L33" s="42"/>
      <c r="M33" s="42"/>
      <c r="N33" s="42"/>
      <c r="O33" s="42"/>
      <c r="P33" s="42"/>
      <c r="Q33" s="42"/>
      <c r="R33" s="42"/>
      <c r="S33" s="42"/>
      <c r="T33" s="42"/>
      <c r="U33" s="42"/>
      <c r="V33" s="42"/>
      <c r="W33" s="42"/>
      <c r="X33" s="42"/>
      <c r="Y33" s="42"/>
      <c r="Z33" s="42"/>
    </row>
    <row r="34">
      <c r="A34" s="124" t="s">
        <v>1534</v>
      </c>
      <c r="B34" s="127" t="s">
        <v>1450</v>
      </c>
      <c r="C34" s="60" t="s">
        <v>1535</v>
      </c>
      <c r="D34" s="60" t="s">
        <v>1536</v>
      </c>
      <c r="E34" s="125" t="s">
        <v>1537</v>
      </c>
      <c r="F34" s="42"/>
      <c r="G34" s="42"/>
      <c r="H34" s="42"/>
      <c r="I34" s="42"/>
      <c r="J34" s="42"/>
      <c r="K34" s="42"/>
      <c r="L34" s="42"/>
      <c r="M34" s="42"/>
      <c r="N34" s="42"/>
      <c r="O34" s="42"/>
      <c r="P34" s="42"/>
      <c r="Q34" s="42"/>
      <c r="R34" s="42"/>
      <c r="S34" s="42"/>
      <c r="T34" s="42"/>
      <c r="U34" s="42"/>
      <c r="V34" s="42"/>
      <c r="W34" s="42"/>
      <c r="X34" s="42"/>
      <c r="Y34" s="42"/>
      <c r="Z34" s="42"/>
    </row>
    <row r="35">
      <c r="B35" s="127" t="s">
        <v>1487</v>
      </c>
      <c r="C35" s="66" t="s">
        <v>643</v>
      </c>
      <c r="D35" s="66" t="s">
        <v>1538</v>
      </c>
      <c r="E35" s="129" t="s">
        <v>720</v>
      </c>
      <c r="F35" s="42"/>
      <c r="G35" s="42"/>
      <c r="H35" s="42"/>
      <c r="I35" s="42"/>
      <c r="J35" s="42"/>
      <c r="K35" s="42"/>
      <c r="L35" s="42"/>
      <c r="M35" s="42"/>
      <c r="N35" s="42"/>
      <c r="O35" s="42"/>
      <c r="P35" s="42"/>
      <c r="Q35" s="42"/>
      <c r="R35" s="42"/>
      <c r="S35" s="42"/>
      <c r="T35" s="42"/>
      <c r="U35" s="42"/>
      <c r="V35" s="42"/>
      <c r="W35" s="42"/>
      <c r="X35" s="42"/>
      <c r="Y35" s="42"/>
      <c r="Z35" s="42"/>
    </row>
    <row r="36">
      <c r="B36" s="127" t="s">
        <v>1489</v>
      </c>
      <c r="C36" s="53" t="s">
        <v>1067</v>
      </c>
      <c r="D36" s="53" t="s">
        <v>1539</v>
      </c>
      <c r="E36" s="125" t="s">
        <v>1540</v>
      </c>
      <c r="F36" s="42"/>
      <c r="G36" s="42"/>
      <c r="H36" s="42"/>
      <c r="I36" s="42"/>
      <c r="J36" s="42"/>
      <c r="K36" s="42"/>
      <c r="L36" s="42"/>
      <c r="M36" s="42"/>
      <c r="N36" s="42"/>
      <c r="O36" s="42"/>
      <c r="P36" s="42"/>
      <c r="Q36" s="42"/>
      <c r="R36" s="42"/>
      <c r="S36" s="42"/>
      <c r="T36" s="42"/>
      <c r="U36" s="42"/>
      <c r="V36" s="42"/>
      <c r="W36" s="42"/>
      <c r="X36" s="42"/>
      <c r="Y36" s="42"/>
      <c r="Z36" s="42"/>
    </row>
    <row r="37">
      <c r="A37" s="124" t="s">
        <v>1541</v>
      </c>
      <c r="B37" s="127" t="s">
        <v>1450</v>
      </c>
      <c r="C37" s="53" t="s">
        <v>1542</v>
      </c>
      <c r="D37" s="53" t="s">
        <v>1543</v>
      </c>
      <c r="E37" s="125" t="s">
        <v>1544</v>
      </c>
      <c r="F37" s="42"/>
      <c r="G37" s="42"/>
      <c r="H37" s="42"/>
      <c r="I37" s="42"/>
      <c r="J37" s="42"/>
      <c r="K37" s="42"/>
      <c r="L37" s="42"/>
      <c r="M37" s="42"/>
      <c r="N37" s="42"/>
      <c r="O37" s="42"/>
      <c r="P37" s="42"/>
      <c r="Q37" s="42"/>
      <c r="R37" s="42"/>
      <c r="S37" s="42"/>
      <c r="T37" s="42"/>
      <c r="U37" s="42"/>
      <c r="V37" s="42"/>
      <c r="W37" s="42"/>
      <c r="X37" s="42"/>
      <c r="Y37" s="42"/>
      <c r="Z37" s="42"/>
    </row>
    <row r="38">
      <c r="B38" s="127" t="s">
        <v>1487</v>
      </c>
      <c r="C38" s="66" t="s">
        <v>580</v>
      </c>
      <c r="D38" s="66" t="s">
        <v>603</v>
      </c>
      <c r="E38" s="129" t="s">
        <v>744</v>
      </c>
      <c r="F38" s="42"/>
      <c r="G38" s="42"/>
      <c r="H38" s="42"/>
      <c r="I38" s="42"/>
      <c r="J38" s="42"/>
      <c r="K38" s="42"/>
      <c r="L38" s="42"/>
      <c r="M38" s="42"/>
      <c r="N38" s="42"/>
      <c r="O38" s="42"/>
      <c r="P38" s="42"/>
      <c r="Q38" s="42"/>
      <c r="R38" s="42"/>
      <c r="S38" s="42"/>
      <c r="T38" s="42"/>
      <c r="U38" s="42"/>
      <c r="V38" s="42"/>
      <c r="W38" s="42"/>
      <c r="X38" s="42"/>
      <c r="Y38" s="42"/>
      <c r="Z38" s="42"/>
    </row>
    <row r="39">
      <c r="B39" s="127" t="s">
        <v>1489</v>
      </c>
      <c r="C39" s="53" t="s">
        <v>1545</v>
      </c>
      <c r="D39" s="53" t="s">
        <v>1546</v>
      </c>
      <c r="E39" s="125" t="s">
        <v>1547</v>
      </c>
      <c r="F39" s="42"/>
      <c r="G39" s="42"/>
      <c r="H39" s="42"/>
      <c r="I39" s="42"/>
      <c r="J39" s="42"/>
      <c r="K39" s="42"/>
      <c r="L39" s="42"/>
      <c r="M39" s="42"/>
      <c r="N39" s="42"/>
      <c r="O39" s="42"/>
      <c r="P39" s="42"/>
      <c r="Q39" s="42"/>
      <c r="R39" s="42"/>
      <c r="S39" s="42"/>
      <c r="T39" s="42"/>
      <c r="U39" s="42"/>
      <c r="V39" s="42"/>
      <c r="W39" s="42"/>
      <c r="X39" s="42"/>
      <c r="Y39" s="42"/>
      <c r="Z39" s="42"/>
    </row>
    <row r="40">
      <c r="A40" s="124" t="s">
        <v>1548</v>
      </c>
      <c r="B40" s="127" t="s">
        <v>1450</v>
      </c>
      <c r="C40" s="53" t="s">
        <v>1549</v>
      </c>
      <c r="D40" s="53" t="s">
        <v>1550</v>
      </c>
      <c r="F40" s="42"/>
      <c r="G40" s="42"/>
      <c r="H40" s="42"/>
      <c r="I40" s="42"/>
      <c r="J40" s="42"/>
      <c r="K40" s="42"/>
      <c r="L40" s="42"/>
      <c r="M40" s="42"/>
      <c r="N40" s="42"/>
      <c r="O40" s="42"/>
      <c r="P40" s="42"/>
      <c r="Q40" s="42"/>
      <c r="R40" s="42"/>
      <c r="S40" s="42"/>
      <c r="T40" s="42"/>
      <c r="U40" s="42"/>
      <c r="V40" s="42"/>
      <c r="W40" s="42"/>
      <c r="X40" s="42"/>
      <c r="Y40" s="42"/>
      <c r="Z40" s="42"/>
    </row>
    <row r="41">
      <c r="B41" s="127" t="s">
        <v>1487</v>
      </c>
      <c r="C41" s="83" t="s">
        <v>592</v>
      </c>
      <c r="D41" s="131" t="s">
        <v>1551</v>
      </c>
      <c r="F41" s="42"/>
      <c r="G41" s="42"/>
      <c r="H41" s="42"/>
      <c r="I41" s="42"/>
      <c r="J41" s="42"/>
      <c r="K41" s="42"/>
      <c r="L41" s="42"/>
      <c r="M41" s="42"/>
      <c r="N41" s="42"/>
      <c r="O41" s="42"/>
      <c r="P41" s="42"/>
      <c r="Q41" s="42"/>
      <c r="R41" s="42"/>
      <c r="S41" s="42"/>
      <c r="T41" s="42"/>
      <c r="U41" s="42"/>
      <c r="V41" s="42"/>
      <c r="W41" s="42"/>
      <c r="X41" s="42"/>
      <c r="Y41" s="42"/>
      <c r="Z41" s="42"/>
    </row>
    <row r="42">
      <c r="B42" s="127" t="s">
        <v>1489</v>
      </c>
      <c r="C42" s="53" t="s">
        <v>1552</v>
      </c>
      <c r="D42" s="53" t="s">
        <v>1553</v>
      </c>
      <c r="E42" s="125"/>
      <c r="F42" s="42"/>
      <c r="G42" s="42"/>
      <c r="H42" s="42"/>
      <c r="I42" s="42"/>
      <c r="J42" s="42"/>
      <c r="K42" s="42"/>
      <c r="L42" s="42"/>
      <c r="M42" s="42"/>
      <c r="N42" s="42"/>
      <c r="O42" s="42"/>
      <c r="P42" s="42"/>
      <c r="Q42" s="42"/>
      <c r="R42" s="42"/>
      <c r="S42" s="42"/>
      <c r="T42" s="42"/>
      <c r="U42" s="42"/>
      <c r="V42" s="42"/>
      <c r="W42" s="42"/>
      <c r="X42" s="42"/>
      <c r="Y42" s="42"/>
      <c r="Z42" s="42"/>
    </row>
    <row r="43">
      <c r="A43" s="124" t="s">
        <v>1554</v>
      </c>
      <c r="B43" s="127" t="s">
        <v>1450</v>
      </c>
      <c r="C43" s="53" t="s">
        <v>1555</v>
      </c>
      <c r="D43" s="53" t="s">
        <v>1556</v>
      </c>
      <c r="E43" s="125"/>
      <c r="F43" s="42"/>
      <c r="G43" s="42"/>
      <c r="H43" s="42"/>
      <c r="I43" s="42"/>
      <c r="J43" s="42"/>
      <c r="K43" s="42"/>
      <c r="L43" s="42"/>
      <c r="M43" s="42"/>
      <c r="N43" s="42"/>
      <c r="O43" s="42"/>
      <c r="P43" s="42"/>
      <c r="Q43" s="42"/>
      <c r="R43" s="42"/>
      <c r="S43" s="42"/>
      <c r="T43" s="42"/>
      <c r="U43" s="42"/>
      <c r="V43" s="42"/>
      <c r="W43" s="42"/>
      <c r="X43" s="42"/>
      <c r="Y43" s="42"/>
      <c r="Z43" s="42"/>
    </row>
    <row r="44">
      <c r="B44" s="127" t="s">
        <v>1487</v>
      </c>
      <c r="C44" s="68" t="s">
        <v>636</v>
      </c>
      <c r="D44" s="66" t="s">
        <v>624</v>
      </c>
      <c r="E44" s="125"/>
      <c r="F44" s="42"/>
      <c r="G44" s="42"/>
      <c r="H44" s="42"/>
      <c r="I44" s="42"/>
      <c r="J44" s="42"/>
      <c r="K44" s="42"/>
      <c r="L44" s="42"/>
      <c r="M44" s="42"/>
      <c r="N44" s="42"/>
      <c r="O44" s="42"/>
      <c r="P44" s="42"/>
      <c r="Q44" s="42"/>
      <c r="R44" s="42"/>
      <c r="S44" s="42"/>
      <c r="T44" s="42"/>
      <c r="U44" s="42"/>
      <c r="V44" s="42"/>
      <c r="W44" s="42"/>
      <c r="X44" s="42"/>
      <c r="Y44" s="42"/>
      <c r="Z44" s="42"/>
    </row>
    <row r="45">
      <c r="B45" s="127" t="s">
        <v>1489</v>
      </c>
      <c r="C45" s="53" t="s">
        <v>1557</v>
      </c>
      <c r="D45" s="53" t="s">
        <v>1558</v>
      </c>
      <c r="E45" s="125"/>
      <c r="F45" s="42"/>
      <c r="G45" s="42"/>
      <c r="H45" s="42"/>
      <c r="I45" s="42"/>
      <c r="J45" s="42"/>
      <c r="K45" s="42"/>
      <c r="L45" s="42"/>
      <c r="M45" s="42"/>
      <c r="N45" s="42"/>
      <c r="O45" s="42"/>
      <c r="P45" s="42"/>
      <c r="Q45" s="42"/>
      <c r="R45" s="42"/>
      <c r="S45" s="42"/>
      <c r="T45" s="42"/>
      <c r="U45" s="42"/>
      <c r="V45" s="42"/>
      <c r="W45" s="42"/>
      <c r="X45" s="42"/>
      <c r="Y45" s="42"/>
      <c r="Z45" s="42"/>
    </row>
    <row r="46">
      <c r="A46" s="124" t="s">
        <v>1559</v>
      </c>
      <c r="C46" s="53" t="s">
        <v>1560</v>
      </c>
      <c r="D46" s="53" t="s">
        <v>582</v>
      </c>
      <c r="E46" s="125" t="s">
        <v>664</v>
      </c>
      <c r="F46" s="42"/>
      <c r="G46" s="42"/>
      <c r="H46" s="42"/>
      <c r="I46" s="42"/>
      <c r="J46" s="42"/>
      <c r="K46" s="42"/>
      <c r="L46" s="42"/>
      <c r="M46" s="42"/>
      <c r="N46" s="42"/>
      <c r="O46" s="42"/>
      <c r="P46" s="42"/>
      <c r="Q46" s="42"/>
      <c r="R46" s="42"/>
      <c r="S46" s="42"/>
      <c r="T46" s="42"/>
      <c r="U46" s="42"/>
      <c r="V46" s="42"/>
      <c r="W46" s="42"/>
      <c r="X46" s="42"/>
      <c r="Y46" s="42"/>
      <c r="Z46" s="42"/>
    </row>
    <row r="47">
      <c r="C47" s="53" t="s">
        <v>585</v>
      </c>
      <c r="D47" s="53" t="s">
        <v>629</v>
      </c>
      <c r="E47" s="125" t="s">
        <v>1561</v>
      </c>
      <c r="F47" s="42"/>
      <c r="G47" s="42"/>
      <c r="H47" s="42"/>
      <c r="I47" s="42"/>
      <c r="J47" s="42"/>
      <c r="K47" s="42"/>
      <c r="L47" s="42"/>
      <c r="M47" s="42"/>
      <c r="N47" s="42"/>
      <c r="O47" s="42"/>
      <c r="P47" s="42"/>
      <c r="Q47" s="42"/>
      <c r="R47" s="42"/>
      <c r="S47" s="42"/>
      <c r="T47" s="42"/>
      <c r="U47" s="42"/>
      <c r="V47" s="42"/>
      <c r="W47" s="42"/>
      <c r="X47" s="42"/>
      <c r="Y47" s="42"/>
      <c r="Z47" s="42"/>
    </row>
    <row r="48">
      <c r="C48" s="53" t="s">
        <v>1562</v>
      </c>
      <c r="D48" s="53" t="s">
        <v>585</v>
      </c>
      <c r="E48" s="125" t="s">
        <v>1560</v>
      </c>
      <c r="F48" s="42"/>
      <c r="G48" s="42"/>
      <c r="H48" s="42"/>
      <c r="I48" s="42"/>
      <c r="J48" s="42"/>
      <c r="K48" s="42"/>
      <c r="L48" s="42"/>
      <c r="M48" s="42"/>
      <c r="N48" s="42"/>
      <c r="O48" s="42"/>
      <c r="P48" s="42"/>
      <c r="Q48" s="42"/>
      <c r="R48" s="42"/>
      <c r="S48" s="42"/>
      <c r="T48" s="42"/>
      <c r="U48" s="42"/>
      <c r="V48" s="42"/>
      <c r="W48" s="42"/>
      <c r="X48" s="42"/>
      <c r="Y48" s="42"/>
      <c r="Z48" s="42"/>
    </row>
    <row r="49">
      <c r="C49" s="53" t="s">
        <v>1563</v>
      </c>
      <c r="D49" s="53" t="s">
        <v>581</v>
      </c>
      <c r="E49" s="125" t="s">
        <v>1564</v>
      </c>
      <c r="F49" s="42"/>
      <c r="G49" s="42"/>
      <c r="H49" s="42"/>
      <c r="I49" s="42"/>
      <c r="J49" s="42"/>
      <c r="K49" s="42"/>
      <c r="L49" s="42"/>
      <c r="M49" s="42"/>
      <c r="N49" s="42"/>
      <c r="O49" s="42"/>
      <c r="P49" s="42"/>
      <c r="Q49" s="42"/>
      <c r="R49" s="42"/>
      <c r="S49" s="42"/>
      <c r="T49" s="42"/>
      <c r="U49" s="42"/>
      <c r="V49" s="42"/>
      <c r="W49" s="42"/>
      <c r="X49" s="42"/>
      <c r="Y49" s="42"/>
      <c r="Z49" s="42"/>
    </row>
    <row r="50">
      <c r="C50" s="53" t="s">
        <v>1565</v>
      </c>
      <c r="D50" s="53" t="s">
        <v>1560</v>
      </c>
      <c r="E50" s="125" t="s">
        <v>782</v>
      </c>
      <c r="F50" s="42"/>
      <c r="G50" s="42"/>
      <c r="H50" s="42"/>
      <c r="I50" s="42"/>
      <c r="J50" s="42"/>
      <c r="K50" s="42"/>
      <c r="L50" s="42"/>
      <c r="M50" s="42"/>
      <c r="N50" s="42"/>
      <c r="O50" s="42"/>
      <c r="P50" s="42"/>
      <c r="Q50" s="42"/>
      <c r="R50" s="42"/>
      <c r="S50" s="42"/>
      <c r="T50" s="42"/>
      <c r="U50" s="42"/>
      <c r="V50" s="42"/>
      <c r="W50" s="42"/>
      <c r="X50" s="42"/>
      <c r="Y50" s="42"/>
      <c r="Z50" s="42"/>
    </row>
    <row r="51">
      <c r="C51" s="53" t="s">
        <v>581</v>
      </c>
      <c r="D51" s="53" t="s">
        <v>1561</v>
      </c>
      <c r="E51" s="125" t="s">
        <v>783</v>
      </c>
      <c r="F51" s="42"/>
      <c r="G51" s="42"/>
      <c r="H51" s="42"/>
      <c r="I51" s="42"/>
      <c r="J51" s="42"/>
      <c r="K51" s="42"/>
      <c r="L51" s="42"/>
      <c r="M51" s="42"/>
      <c r="N51" s="42"/>
      <c r="O51" s="42"/>
      <c r="P51" s="42"/>
      <c r="Q51" s="42"/>
      <c r="R51" s="42"/>
      <c r="S51" s="42"/>
      <c r="T51" s="42"/>
      <c r="U51" s="42"/>
      <c r="V51" s="42"/>
      <c r="W51" s="42"/>
      <c r="X51" s="42"/>
      <c r="Y51" s="42"/>
      <c r="Z51" s="42"/>
    </row>
    <row r="52">
      <c r="C52" s="53" t="s">
        <v>1561</v>
      </c>
      <c r="D52" s="53" t="s">
        <v>637</v>
      </c>
      <c r="E52" s="125" t="s">
        <v>604</v>
      </c>
      <c r="F52" s="42"/>
      <c r="G52" s="42"/>
      <c r="H52" s="42"/>
      <c r="I52" s="42"/>
      <c r="J52" s="42"/>
      <c r="K52" s="42"/>
      <c r="L52" s="42"/>
      <c r="M52" s="42"/>
      <c r="N52" s="42"/>
      <c r="O52" s="42"/>
      <c r="P52" s="42"/>
      <c r="Q52" s="42"/>
      <c r="R52" s="42"/>
      <c r="S52" s="42"/>
      <c r="T52" s="42"/>
      <c r="U52" s="42"/>
      <c r="V52" s="42"/>
      <c r="W52" s="42"/>
      <c r="X52" s="42"/>
      <c r="Y52" s="42"/>
      <c r="Z52" s="42"/>
    </row>
    <row r="53">
      <c r="C53" s="53" t="s">
        <v>1566</v>
      </c>
      <c r="D53" s="53" t="s">
        <v>802</v>
      </c>
      <c r="E53" s="125" t="s">
        <v>581</v>
      </c>
      <c r="F53" s="42"/>
      <c r="G53" s="42"/>
      <c r="H53" s="42"/>
      <c r="I53" s="42"/>
      <c r="J53" s="42"/>
      <c r="K53" s="42"/>
      <c r="L53" s="42"/>
      <c r="M53" s="42"/>
      <c r="N53" s="42"/>
      <c r="O53" s="42"/>
      <c r="P53" s="42"/>
      <c r="Q53" s="42"/>
      <c r="R53" s="42"/>
      <c r="S53" s="42"/>
      <c r="T53" s="42"/>
      <c r="U53" s="42"/>
      <c r="V53" s="42"/>
      <c r="W53" s="42"/>
      <c r="X53" s="42"/>
      <c r="Y53" s="42"/>
      <c r="Z53" s="42"/>
    </row>
    <row r="54">
      <c r="C54" s="53" t="s">
        <v>1567</v>
      </c>
      <c r="D54" s="53" t="s">
        <v>601</v>
      </c>
      <c r="E54" s="125" t="s">
        <v>582</v>
      </c>
      <c r="F54" s="42"/>
      <c r="G54" s="42"/>
      <c r="H54" s="42"/>
      <c r="I54" s="42"/>
      <c r="J54" s="42"/>
      <c r="K54" s="42"/>
      <c r="L54" s="42"/>
      <c r="M54" s="42"/>
      <c r="N54" s="42"/>
      <c r="O54" s="42"/>
      <c r="P54" s="42"/>
      <c r="Q54" s="42"/>
      <c r="R54" s="42"/>
      <c r="S54" s="42"/>
      <c r="T54" s="42"/>
      <c r="U54" s="42"/>
      <c r="V54" s="42"/>
      <c r="W54" s="42"/>
      <c r="X54" s="42"/>
      <c r="Y54" s="42"/>
      <c r="Z54" s="42"/>
    </row>
    <row r="55">
      <c r="C55" s="53" t="s">
        <v>582</v>
      </c>
      <c r="D55" s="53" t="s">
        <v>782</v>
      </c>
      <c r="E55" s="125" t="s">
        <v>629</v>
      </c>
      <c r="F55" s="42"/>
      <c r="G55" s="42"/>
      <c r="H55" s="42"/>
      <c r="I55" s="42"/>
      <c r="J55" s="42"/>
      <c r="K55" s="42"/>
      <c r="L55" s="42"/>
      <c r="M55" s="42"/>
      <c r="N55" s="42"/>
      <c r="O55" s="42"/>
      <c r="P55" s="42"/>
      <c r="Q55" s="42"/>
      <c r="R55" s="42"/>
      <c r="S55" s="42"/>
      <c r="T55" s="42"/>
      <c r="U55" s="42"/>
      <c r="V55" s="42"/>
      <c r="W55" s="42"/>
      <c r="X55" s="42"/>
      <c r="Y55" s="42"/>
      <c r="Z55" s="42"/>
    </row>
    <row r="56">
      <c r="C56" s="53" t="s">
        <v>629</v>
      </c>
      <c r="D56" s="53" t="s">
        <v>1568</v>
      </c>
      <c r="E56" s="125" t="s">
        <v>601</v>
      </c>
      <c r="F56" s="42"/>
      <c r="G56" s="42"/>
      <c r="H56" s="42"/>
      <c r="I56" s="42"/>
      <c r="J56" s="42"/>
      <c r="K56" s="42"/>
      <c r="L56" s="42"/>
      <c r="M56" s="42"/>
      <c r="N56" s="42"/>
      <c r="O56" s="42"/>
      <c r="P56" s="42"/>
      <c r="Q56" s="42"/>
      <c r="R56" s="42"/>
      <c r="S56" s="42"/>
      <c r="T56" s="42"/>
      <c r="U56" s="42"/>
      <c r="V56" s="42"/>
      <c r="W56" s="42"/>
      <c r="X56" s="42"/>
      <c r="Y56" s="42"/>
      <c r="Z56" s="42"/>
    </row>
    <row r="57">
      <c r="C57" s="53" t="s">
        <v>637</v>
      </c>
      <c r="D57" s="53" t="s">
        <v>1562</v>
      </c>
      <c r="E57" s="125" t="s">
        <v>1562</v>
      </c>
      <c r="F57" s="42"/>
      <c r="G57" s="42"/>
      <c r="H57" s="42"/>
      <c r="I57" s="42"/>
      <c r="J57" s="42"/>
      <c r="K57" s="42"/>
      <c r="L57" s="42"/>
      <c r="M57" s="42"/>
      <c r="N57" s="42"/>
      <c r="O57" s="42"/>
      <c r="P57" s="42"/>
      <c r="Q57" s="42"/>
      <c r="R57" s="42"/>
      <c r="S57" s="42"/>
      <c r="T57" s="42"/>
      <c r="U57" s="42"/>
      <c r="V57" s="42"/>
      <c r="W57" s="42"/>
      <c r="X57" s="42"/>
      <c r="Y57" s="42"/>
      <c r="Z57" s="42"/>
    </row>
    <row r="58">
      <c r="C58" s="53" t="s">
        <v>642</v>
      </c>
      <c r="D58" s="53" t="s">
        <v>1569</v>
      </c>
      <c r="E58" s="125" t="s">
        <v>1569</v>
      </c>
      <c r="F58" s="42"/>
      <c r="G58" s="42"/>
      <c r="H58" s="42"/>
      <c r="I58" s="42"/>
      <c r="J58" s="42"/>
      <c r="K58" s="42"/>
      <c r="L58" s="42"/>
      <c r="M58" s="42"/>
      <c r="N58" s="42"/>
      <c r="O58" s="42"/>
      <c r="P58" s="42"/>
      <c r="Q58" s="42"/>
      <c r="R58" s="42"/>
      <c r="S58" s="42"/>
      <c r="T58" s="42"/>
      <c r="U58" s="42"/>
      <c r="V58" s="42"/>
      <c r="W58" s="42"/>
      <c r="X58" s="42"/>
      <c r="Y58" s="42"/>
      <c r="Z58" s="42"/>
    </row>
    <row r="59">
      <c r="C59" s="53" t="s">
        <v>601</v>
      </c>
      <c r="D59" s="53" t="s">
        <v>1565</v>
      </c>
      <c r="E59" s="125" t="s">
        <v>1565</v>
      </c>
      <c r="F59" s="42"/>
      <c r="G59" s="42"/>
      <c r="H59" s="42"/>
      <c r="I59" s="42"/>
      <c r="J59" s="42"/>
      <c r="K59" s="42"/>
      <c r="L59" s="42"/>
      <c r="M59" s="42"/>
      <c r="N59" s="42"/>
      <c r="O59" s="42"/>
      <c r="P59" s="42"/>
      <c r="Q59" s="42"/>
      <c r="R59" s="42"/>
      <c r="S59" s="42"/>
      <c r="T59" s="42"/>
      <c r="U59" s="42"/>
      <c r="V59" s="42"/>
      <c r="W59" s="42"/>
      <c r="X59" s="42"/>
      <c r="Y59" s="42"/>
      <c r="Z59" s="42"/>
    </row>
    <row r="60">
      <c r="C60" s="53" t="s">
        <v>1570</v>
      </c>
      <c r="D60" s="53" t="s">
        <v>1563</v>
      </c>
      <c r="E60" s="125" t="s">
        <v>1563</v>
      </c>
      <c r="F60" s="42"/>
      <c r="G60" s="42"/>
      <c r="H60" s="42"/>
      <c r="I60" s="42"/>
      <c r="J60" s="42"/>
      <c r="K60" s="42"/>
      <c r="L60" s="42"/>
      <c r="M60" s="42"/>
      <c r="N60" s="42"/>
      <c r="O60" s="42"/>
      <c r="P60" s="42"/>
      <c r="Q60" s="42"/>
      <c r="R60" s="42"/>
      <c r="S60" s="42"/>
      <c r="T60" s="42"/>
      <c r="U60" s="42"/>
      <c r="V60" s="42"/>
      <c r="W60" s="42"/>
      <c r="X60" s="42"/>
      <c r="Y60" s="42"/>
      <c r="Z60" s="42"/>
    </row>
    <row r="61">
      <c r="A61" s="124" t="s">
        <v>1571</v>
      </c>
      <c r="B61" s="124" t="s">
        <v>1572</v>
      </c>
      <c r="C61" s="66" t="s">
        <v>1124</v>
      </c>
      <c r="D61" s="66" t="s">
        <v>1123</v>
      </c>
      <c r="E61" s="66" t="s">
        <v>1125</v>
      </c>
      <c r="F61" s="42"/>
      <c r="G61" s="42"/>
      <c r="H61" s="42"/>
      <c r="I61" s="42"/>
      <c r="J61" s="42"/>
      <c r="K61" s="42"/>
      <c r="L61" s="42"/>
      <c r="M61" s="42"/>
      <c r="N61" s="42"/>
      <c r="O61" s="42"/>
      <c r="P61" s="42"/>
      <c r="Q61" s="42"/>
      <c r="R61" s="42"/>
      <c r="S61" s="42"/>
      <c r="T61" s="42"/>
      <c r="U61" s="42"/>
      <c r="V61" s="42"/>
      <c r="W61" s="42"/>
      <c r="X61" s="42"/>
      <c r="Y61" s="42"/>
      <c r="Z61" s="42"/>
    </row>
    <row r="62">
      <c r="B62" s="127" t="s">
        <v>1108</v>
      </c>
      <c r="C62" s="53" t="s">
        <v>1111</v>
      </c>
      <c r="D62" s="53" t="s">
        <v>1573</v>
      </c>
      <c r="E62" s="125" t="s">
        <v>1112</v>
      </c>
      <c r="F62" s="42"/>
      <c r="G62" s="42"/>
      <c r="H62" s="42"/>
      <c r="I62" s="42"/>
      <c r="J62" s="42"/>
      <c r="K62" s="42"/>
      <c r="L62" s="42"/>
      <c r="M62" s="42"/>
      <c r="N62" s="42"/>
      <c r="O62" s="42"/>
      <c r="P62" s="42"/>
      <c r="Q62" s="42"/>
      <c r="R62" s="42"/>
      <c r="S62" s="42"/>
      <c r="T62" s="42"/>
      <c r="U62" s="42"/>
      <c r="V62" s="42"/>
      <c r="W62" s="42"/>
      <c r="X62" s="42"/>
      <c r="Y62" s="42"/>
      <c r="Z62" s="42"/>
    </row>
    <row r="63">
      <c r="C63" s="132" t="s">
        <v>1574</v>
      </c>
      <c r="D63" s="132" t="s">
        <v>1575</v>
      </c>
      <c r="E63" s="43" t="s">
        <v>1576</v>
      </c>
      <c r="F63" s="42"/>
      <c r="G63" s="42"/>
      <c r="H63" s="42"/>
      <c r="I63" s="42"/>
      <c r="J63" s="42"/>
      <c r="K63" s="42"/>
      <c r="L63" s="42"/>
      <c r="M63" s="42"/>
      <c r="N63" s="42"/>
      <c r="O63" s="42"/>
      <c r="P63" s="42"/>
      <c r="Q63" s="42"/>
      <c r="R63" s="42"/>
      <c r="S63" s="42"/>
      <c r="T63" s="42"/>
      <c r="U63" s="42"/>
      <c r="V63" s="42"/>
      <c r="W63" s="42"/>
      <c r="X63" s="42"/>
      <c r="Y63" s="42"/>
      <c r="Z63" s="42"/>
    </row>
    <row r="64">
      <c r="B64" s="127" t="s">
        <v>1158</v>
      </c>
      <c r="C64" s="53" t="s">
        <v>1577</v>
      </c>
      <c r="D64" s="53" t="s">
        <v>1578</v>
      </c>
      <c r="E64" s="53" t="s">
        <v>1578</v>
      </c>
      <c r="F64" s="42"/>
      <c r="G64" s="42"/>
      <c r="H64" s="42"/>
      <c r="I64" s="42"/>
      <c r="J64" s="42"/>
      <c r="K64" s="42"/>
      <c r="L64" s="42"/>
      <c r="M64" s="42"/>
      <c r="N64" s="42"/>
      <c r="O64" s="42"/>
      <c r="P64" s="42"/>
      <c r="Q64" s="42"/>
      <c r="R64" s="42"/>
      <c r="S64" s="42"/>
      <c r="T64" s="42"/>
      <c r="U64" s="42"/>
      <c r="V64" s="42"/>
      <c r="W64" s="42"/>
      <c r="X64" s="42"/>
      <c r="Y64" s="42"/>
      <c r="Z64" s="42"/>
    </row>
    <row r="65">
      <c r="A65" s="133"/>
      <c r="B65" s="134"/>
      <c r="C65" s="63"/>
      <c r="D65" s="63"/>
      <c r="E65" s="135"/>
      <c r="F65" s="42"/>
      <c r="G65" s="42"/>
      <c r="H65" s="42"/>
      <c r="I65" s="42"/>
      <c r="J65" s="42"/>
      <c r="K65" s="42"/>
      <c r="L65" s="42"/>
      <c r="M65" s="42"/>
      <c r="N65" s="42"/>
      <c r="O65" s="42"/>
      <c r="P65" s="42"/>
      <c r="Q65" s="42"/>
      <c r="R65" s="42"/>
      <c r="S65" s="42"/>
      <c r="T65" s="42"/>
      <c r="U65" s="42"/>
      <c r="V65" s="42"/>
      <c r="W65" s="42"/>
      <c r="X65" s="42"/>
      <c r="Y65" s="42"/>
      <c r="Z65" s="42"/>
    </row>
    <row r="66">
      <c r="A66" s="133"/>
      <c r="B66" s="134"/>
      <c r="C66" s="63"/>
      <c r="D66" s="63"/>
      <c r="E66" s="135"/>
      <c r="F66" s="42"/>
      <c r="G66" s="42"/>
      <c r="H66" s="42"/>
      <c r="I66" s="42"/>
      <c r="J66" s="42"/>
      <c r="K66" s="42"/>
      <c r="L66" s="42"/>
      <c r="M66" s="42"/>
      <c r="N66" s="42"/>
      <c r="O66" s="42"/>
      <c r="P66" s="42"/>
      <c r="Q66" s="42"/>
      <c r="R66" s="42"/>
      <c r="S66" s="42"/>
      <c r="T66" s="42"/>
      <c r="U66" s="42"/>
      <c r="V66" s="42"/>
      <c r="W66" s="42"/>
      <c r="X66" s="42"/>
      <c r="Y66" s="42"/>
      <c r="Z66" s="42"/>
    </row>
    <row r="67">
      <c r="A67" s="133"/>
      <c r="B67" s="134"/>
      <c r="C67" s="63"/>
      <c r="D67" s="63"/>
      <c r="E67" s="135"/>
      <c r="F67" s="42"/>
      <c r="G67" s="42"/>
      <c r="H67" s="42"/>
      <c r="I67" s="42"/>
      <c r="J67" s="42"/>
      <c r="K67" s="42"/>
      <c r="L67" s="42"/>
      <c r="M67" s="42"/>
      <c r="N67" s="42"/>
      <c r="O67" s="42"/>
      <c r="P67" s="42"/>
      <c r="Q67" s="42"/>
      <c r="R67" s="42"/>
      <c r="S67" s="42"/>
      <c r="T67" s="42"/>
      <c r="U67" s="42"/>
      <c r="V67" s="42"/>
      <c r="W67" s="42"/>
      <c r="X67" s="42"/>
      <c r="Y67" s="42"/>
      <c r="Z67" s="42"/>
    </row>
    <row r="68">
      <c r="A68" s="133"/>
      <c r="B68" s="134"/>
      <c r="C68" s="63"/>
      <c r="D68" s="63"/>
      <c r="E68" s="135"/>
      <c r="F68" s="42"/>
      <c r="G68" s="42"/>
      <c r="H68" s="42"/>
      <c r="I68" s="42"/>
      <c r="J68" s="42"/>
      <c r="K68" s="42"/>
      <c r="L68" s="42"/>
      <c r="M68" s="42"/>
      <c r="N68" s="42"/>
      <c r="O68" s="42"/>
      <c r="P68" s="42"/>
      <c r="Q68" s="42"/>
      <c r="R68" s="42"/>
      <c r="S68" s="42"/>
      <c r="T68" s="42"/>
      <c r="U68" s="42"/>
      <c r="V68" s="42"/>
      <c r="W68" s="42"/>
      <c r="X68" s="42"/>
      <c r="Y68" s="42"/>
      <c r="Z68" s="42"/>
    </row>
    <row r="69">
      <c r="A69" s="133"/>
      <c r="B69" s="134"/>
      <c r="C69" s="63"/>
      <c r="D69" s="63"/>
      <c r="E69" s="135"/>
      <c r="F69" s="42"/>
      <c r="G69" s="42"/>
      <c r="H69" s="42"/>
      <c r="I69" s="42"/>
      <c r="J69" s="42"/>
      <c r="K69" s="42"/>
      <c r="L69" s="42"/>
      <c r="M69" s="42"/>
      <c r="N69" s="42"/>
      <c r="O69" s="42"/>
      <c r="P69" s="42"/>
      <c r="Q69" s="42"/>
      <c r="R69" s="42"/>
      <c r="S69" s="42"/>
      <c r="T69" s="42"/>
      <c r="U69" s="42"/>
      <c r="V69" s="42"/>
      <c r="W69" s="42"/>
      <c r="X69" s="42"/>
      <c r="Y69" s="42"/>
      <c r="Z69" s="42"/>
    </row>
    <row r="70">
      <c r="A70" s="133"/>
      <c r="B70" s="134"/>
      <c r="C70" s="63"/>
      <c r="D70" s="63"/>
      <c r="E70" s="135"/>
      <c r="F70" s="42"/>
      <c r="G70" s="42"/>
      <c r="H70" s="42"/>
      <c r="I70" s="42"/>
      <c r="J70" s="42"/>
      <c r="K70" s="42"/>
      <c r="L70" s="42"/>
      <c r="M70" s="42"/>
      <c r="N70" s="42"/>
      <c r="O70" s="42"/>
      <c r="P70" s="42"/>
      <c r="Q70" s="42"/>
      <c r="R70" s="42"/>
      <c r="S70" s="42"/>
      <c r="T70" s="42"/>
      <c r="U70" s="42"/>
      <c r="V70" s="42"/>
      <c r="W70" s="42"/>
      <c r="X70" s="42"/>
      <c r="Y70" s="42"/>
      <c r="Z70" s="42"/>
    </row>
    <row r="71">
      <c r="A71" s="133"/>
      <c r="B71" s="134"/>
      <c r="C71" s="63"/>
      <c r="D71" s="63"/>
      <c r="E71" s="135"/>
      <c r="F71" s="42"/>
      <c r="G71" s="42"/>
      <c r="H71" s="42"/>
      <c r="I71" s="42"/>
      <c r="J71" s="42"/>
      <c r="K71" s="42"/>
      <c r="L71" s="42"/>
      <c r="M71" s="42"/>
      <c r="N71" s="42"/>
      <c r="O71" s="42"/>
      <c r="P71" s="42"/>
      <c r="Q71" s="42"/>
      <c r="R71" s="42"/>
      <c r="S71" s="42"/>
      <c r="T71" s="42"/>
      <c r="U71" s="42"/>
      <c r="V71" s="42"/>
      <c r="W71" s="42"/>
      <c r="X71" s="42"/>
      <c r="Y71" s="42"/>
      <c r="Z71" s="42"/>
    </row>
    <row r="72">
      <c r="A72" s="133"/>
      <c r="B72" s="134"/>
      <c r="C72" s="63"/>
      <c r="D72" s="63"/>
      <c r="E72" s="135"/>
      <c r="F72" s="42"/>
      <c r="G72" s="42"/>
      <c r="H72" s="42"/>
      <c r="I72" s="42"/>
      <c r="J72" s="42"/>
      <c r="K72" s="42"/>
      <c r="L72" s="42"/>
      <c r="M72" s="42"/>
      <c r="N72" s="42"/>
      <c r="O72" s="42"/>
      <c r="P72" s="42"/>
      <c r="Q72" s="42"/>
      <c r="R72" s="42"/>
      <c r="S72" s="42"/>
      <c r="T72" s="42"/>
      <c r="U72" s="42"/>
      <c r="V72" s="42"/>
      <c r="W72" s="42"/>
      <c r="X72" s="42"/>
      <c r="Y72" s="42"/>
      <c r="Z72" s="42"/>
    </row>
    <row r="73">
      <c r="A73" s="133"/>
      <c r="B73" s="134"/>
      <c r="C73" s="63"/>
      <c r="D73" s="63"/>
      <c r="E73" s="135"/>
      <c r="F73" s="42"/>
      <c r="G73" s="42"/>
      <c r="H73" s="42"/>
      <c r="I73" s="42"/>
      <c r="J73" s="42"/>
      <c r="K73" s="42"/>
      <c r="L73" s="42"/>
      <c r="M73" s="42"/>
      <c r="N73" s="42"/>
      <c r="O73" s="42"/>
      <c r="P73" s="42"/>
      <c r="Q73" s="42"/>
      <c r="R73" s="42"/>
      <c r="S73" s="42"/>
      <c r="T73" s="42"/>
      <c r="U73" s="42"/>
      <c r="V73" s="42"/>
      <c r="W73" s="42"/>
      <c r="X73" s="42"/>
      <c r="Y73" s="42"/>
      <c r="Z73" s="42"/>
    </row>
    <row r="74">
      <c r="A74" s="133"/>
      <c r="B74" s="134"/>
      <c r="C74" s="63"/>
      <c r="D74" s="63"/>
      <c r="E74" s="135"/>
      <c r="F74" s="42"/>
      <c r="G74" s="42"/>
      <c r="H74" s="42"/>
      <c r="I74" s="42"/>
      <c r="J74" s="42"/>
      <c r="K74" s="42"/>
      <c r="L74" s="42"/>
      <c r="M74" s="42"/>
      <c r="N74" s="42"/>
      <c r="O74" s="42"/>
      <c r="P74" s="42"/>
      <c r="Q74" s="42"/>
      <c r="R74" s="42"/>
      <c r="S74" s="42"/>
      <c r="T74" s="42"/>
      <c r="U74" s="42"/>
      <c r="V74" s="42"/>
      <c r="W74" s="42"/>
      <c r="X74" s="42"/>
      <c r="Y74" s="42"/>
      <c r="Z74" s="42"/>
    </row>
    <row r="75">
      <c r="A75" s="133"/>
      <c r="B75" s="134"/>
      <c r="C75" s="63"/>
      <c r="D75" s="63"/>
      <c r="E75" s="135"/>
      <c r="F75" s="42"/>
      <c r="G75" s="42"/>
      <c r="H75" s="42"/>
      <c r="I75" s="42"/>
      <c r="J75" s="42"/>
      <c r="K75" s="42"/>
      <c r="L75" s="42"/>
      <c r="M75" s="42"/>
      <c r="N75" s="42"/>
      <c r="O75" s="42"/>
      <c r="P75" s="42"/>
      <c r="Q75" s="42"/>
      <c r="R75" s="42"/>
      <c r="S75" s="42"/>
      <c r="T75" s="42"/>
      <c r="U75" s="42"/>
      <c r="V75" s="42"/>
      <c r="W75" s="42"/>
      <c r="X75" s="42"/>
      <c r="Y75" s="42"/>
      <c r="Z75" s="42"/>
    </row>
    <row r="76">
      <c r="A76" s="133"/>
      <c r="B76" s="134"/>
      <c r="C76" s="63"/>
      <c r="D76" s="63"/>
      <c r="E76" s="135"/>
      <c r="F76" s="42"/>
      <c r="G76" s="42"/>
      <c r="H76" s="42"/>
      <c r="I76" s="42"/>
      <c r="J76" s="42"/>
      <c r="K76" s="42"/>
      <c r="L76" s="42"/>
      <c r="M76" s="42"/>
      <c r="N76" s="42"/>
      <c r="O76" s="42"/>
      <c r="P76" s="42"/>
      <c r="Q76" s="42"/>
      <c r="R76" s="42"/>
      <c r="S76" s="42"/>
      <c r="T76" s="42"/>
      <c r="U76" s="42"/>
      <c r="V76" s="42"/>
      <c r="W76" s="42"/>
      <c r="X76" s="42"/>
      <c r="Y76" s="42"/>
      <c r="Z76" s="42"/>
    </row>
    <row r="77">
      <c r="A77" s="133"/>
      <c r="B77" s="134"/>
      <c r="C77" s="63"/>
      <c r="D77" s="63"/>
      <c r="E77" s="135"/>
      <c r="F77" s="42"/>
      <c r="G77" s="42"/>
      <c r="H77" s="42"/>
      <c r="I77" s="42"/>
      <c r="J77" s="42"/>
      <c r="K77" s="42"/>
      <c r="L77" s="42"/>
      <c r="M77" s="42"/>
      <c r="N77" s="42"/>
      <c r="O77" s="42"/>
      <c r="P77" s="42"/>
      <c r="Q77" s="42"/>
      <c r="R77" s="42"/>
      <c r="S77" s="42"/>
      <c r="T77" s="42"/>
      <c r="U77" s="42"/>
      <c r="V77" s="42"/>
      <c r="W77" s="42"/>
      <c r="X77" s="42"/>
      <c r="Y77" s="42"/>
      <c r="Z77" s="42"/>
    </row>
    <row r="78">
      <c r="A78" s="133"/>
      <c r="B78" s="134"/>
      <c r="C78" s="63"/>
      <c r="D78" s="63"/>
      <c r="E78" s="135"/>
      <c r="F78" s="42"/>
      <c r="G78" s="42"/>
      <c r="H78" s="42"/>
      <c r="I78" s="42"/>
      <c r="J78" s="42"/>
      <c r="K78" s="42"/>
      <c r="L78" s="42"/>
      <c r="M78" s="42"/>
      <c r="N78" s="42"/>
      <c r="O78" s="42"/>
      <c r="P78" s="42"/>
      <c r="Q78" s="42"/>
      <c r="R78" s="42"/>
      <c r="S78" s="42"/>
      <c r="T78" s="42"/>
      <c r="U78" s="42"/>
      <c r="V78" s="42"/>
      <c r="W78" s="42"/>
      <c r="X78" s="42"/>
      <c r="Y78" s="42"/>
      <c r="Z78" s="42"/>
    </row>
    <row r="79">
      <c r="A79" s="133"/>
      <c r="B79" s="134"/>
      <c r="C79" s="63"/>
      <c r="D79" s="63"/>
      <c r="E79" s="135"/>
      <c r="F79" s="42"/>
      <c r="G79" s="42"/>
      <c r="H79" s="42"/>
      <c r="I79" s="42"/>
      <c r="J79" s="42"/>
      <c r="K79" s="42"/>
      <c r="L79" s="42"/>
      <c r="M79" s="42"/>
      <c r="N79" s="42"/>
      <c r="O79" s="42"/>
      <c r="P79" s="42"/>
      <c r="Q79" s="42"/>
      <c r="R79" s="42"/>
      <c r="S79" s="42"/>
      <c r="T79" s="42"/>
      <c r="U79" s="42"/>
      <c r="V79" s="42"/>
      <c r="W79" s="42"/>
      <c r="X79" s="42"/>
      <c r="Y79" s="42"/>
      <c r="Z79" s="42"/>
    </row>
    <row r="80">
      <c r="A80" s="133"/>
      <c r="B80" s="134"/>
      <c r="C80" s="63"/>
      <c r="D80" s="63"/>
      <c r="E80" s="135"/>
      <c r="F80" s="42"/>
      <c r="G80" s="42"/>
      <c r="H80" s="42"/>
      <c r="I80" s="42"/>
      <c r="J80" s="42"/>
      <c r="K80" s="42"/>
      <c r="L80" s="42"/>
      <c r="M80" s="42"/>
      <c r="N80" s="42"/>
      <c r="O80" s="42"/>
      <c r="P80" s="42"/>
      <c r="Q80" s="42"/>
      <c r="R80" s="42"/>
      <c r="S80" s="42"/>
      <c r="T80" s="42"/>
      <c r="U80" s="42"/>
      <c r="V80" s="42"/>
      <c r="W80" s="42"/>
      <c r="X80" s="42"/>
      <c r="Y80" s="42"/>
      <c r="Z80" s="42"/>
    </row>
    <row r="81">
      <c r="A81" s="133"/>
      <c r="B81" s="134"/>
      <c r="C81" s="63"/>
      <c r="D81" s="63"/>
      <c r="E81" s="135"/>
      <c r="F81" s="42"/>
      <c r="G81" s="42"/>
      <c r="H81" s="42"/>
      <c r="I81" s="42"/>
      <c r="J81" s="42"/>
      <c r="K81" s="42"/>
      <c r="L81" s="42"/>
      <c r="M81" s="42"/>
      <c r="N81" s="42"/>
      <c r="O81" s="42"/>
      <c r="P81" s="42"/>
      <c r="Q81" s="42"/>
      <c r="R81" s="42"/>
      <c r="S81" s="42"/>
      <c r="T81" s="42"/>
      <c r="U81" s="42"/>
      <c r="V81" s="42"/>
      <c r="W81" s="42"/>
      <c r="X81" s="42"/>
      <c r="Y81" s="42"/>
      <c r="Z81" s="42"/>
    </row>
    <row r="82">
      <c r="A82" s="133"/>
      <c r="B82" s="134"/>
      <c r="C82" s="63"/>
      <c r="D82" s="63"/>
      <c r="E82" s="135"/>
      <c r="F82" s="42"/>
      <c r="G82" s="42"/>
      <c r="H82" s="42"/>
      <c r="I82" s="42"/>
      <c r="J82" s="42"/>
      <c r="K82" s="42"/>
      <c r="L82" s="42"/>
      <c r="M82" s="42"/>
      <c r="N82" s="42"/>
      <c r="O82" s="42"/>
      <c r="P82" s="42"/>
      <c r="Q82" s="42"/>
      <c r="R82" s="42"/>
      <c r="S82" s="42"/>
      <c r="T82" s="42"/>
      <c r="U82" s="42"/>
      <c r="V82" s="42"/>
      <c r="W82" s="42"/>
      <c r="X82" s="42"/>
      <c r="Y82" s="42"/>
      <c r="Z82" s="42"/>
    </row>
    <row r="83">
      <c r="A83" s="133"/>
      <c r="B83" s="134"/>
      <c r="C83" s="63"/>
      <c r="D83" s="63"/>
      <c r="E83" s="135"/>
      <c r="F83" s="42"/>
      <c r="G83" s="42"/>
      <c r="H83" s="42"/>
      <c r="I83" s="42"/>
      <c r="J83" s="42"/>
      <c r="K83" s="42"/>
      <c r="L83" s="42"/>
      <c r="M83" s="42"/>
      <c r="N83" s="42"/>
      <c r="O83" s="42"/>
      <c r="P83" s="42"/>
      <c r="Q83" s="42"/>
      <c r="R83" s="42"/>
      <c r="S83" s="42"/>
      <c r="T83" s="42"/>
      <c r="U83" s="42"/>
      <c r="V83" s="42"/>
      <c r="W83" s="42"/>
      <c r="X83" s="42"/>
      <c r="Y83" s="42"/>
      <c r="Z83" s="42"/>
    </row>
    <row r="84">
      <c r="A84" s="133"/>
      <c r="B84" s="134"/>
      <c r="C84" s="63"/>
      <c r="D84" s="63"/>
      <c r="E84" s="135"/>
      <c r="F84" s="42"/>
      <c r="G84" s="42"/>
      <c r="H84" s="42"/>
      <c r="I84" s="42"/>
      <c r="J84" s="42"/>
      <c r="K84" s="42"/>
      <c r="L84" s="42"/>
      <c r="M84" s="42"/>
      <c r="N84" s="42"/>
      <c r="O84" s="42"/>
      <c r="P84" s="42"/>
      <c r="Q84" s="42"/>
      <c r="R84" s="42"/>
      <c r="S84" s="42"/>
      <c r="T84" s="42"/>
      <c r="U84" s="42"/>
      <c r="V84" s="42"/>
      <c r="W84" s="42"/>
      <c r="X84" s="42"/>
      <c r="Y84" s="42"/>
      <c r="Z84" s="42"/>
    </row>
    <row r="85">
      <c r="A85" s="133"/>
      <c r="B85" s="134"/>
      <c r="C85" s="63"/>
      <c r="D85" s="63"/>
      <c r="E85" s="135"/>
      <c r="F85" s="42"/>
      <c r="G85" s="42"/>
      <c r="H85" s="42"/>
      <c r="I85" s="42"/>
      <c r="J85" s="42"/>
      <c r="K85" s="42"/>
      <c r="L85" s="42"/>
      <c r="M85" s="42"/>
      <c r="N85" s="42"/>
      <c r="O85" s="42"/>
      <c r="P85" s="42"/>
      <c r="Q85" s="42"/>
      <c r="R85" s="42"/>
      <c r="S85" s="42"/>
      <c r="T85" s="42"/>
      <c r="U85" s="42"/>
      <c r="V85" s="42"/>
      <c r="W85" s="42"/>
      <c r="X85" s="42"/>
      <c r="Y85" s="42"/>
      <c r="Z85" s="42"/>
    </row>
    <row r="86">
      <c r="A86" s="133"/>
      <c r="B86" s="134"/>
      <c r="C86" s="63"/>
      <c r="D86" s="63"/>
      <c r="E86" s="135"/>
      <c r="F86" s="42"/>
      <c r="G86" s="42"/>
      <c r="H86" s="42"/>
      <c r="I86" s="42"/>
      <c r="J86" s="42"/>
      <c r="K86" s="42"/>
      <c r="L86" s="42"/>
      <c r="M86" s="42"/>
      <c r="N86" s="42"/>
      <c r="O86" s="42"/>
      <c r="P86" s="42"/>
      <c r="Q86" s="42"/>
      <c r="R86" s="42"/>
      <c r="S86" s="42"/>
      <c r="T86" s="42"/>
      <c r="U86" s="42"/>
      <c r="V86" s="42"/>
      <c r="W86" s="42"/>
      <c r="X86" s="42"/>
      <c r="Y86" s="42"/>
      <c r="Z86" s="42"/>
    </row>
    <row r="87">
      <c r="A87" s="133"/>
      <c r="B87" s="134"/>
      <c r="C87" s="63"/>
      <c r="D87" s="63"/>
      <c r="E87" s="135"/>
      <c r="F87" s="42"/>
      <c r="G87" s="42"/>
      <c r="H87" s="42"/>
      <c r="I87" s="42"/>
      <c r="J87" s="42"/>
      <c r="K87" s="42"/>
      <c r="L87" s="42"/>
      <c r="M87" s="42"/>
      <c r="N87" s="42"/>
      <c r="O87" s="42"/>
      <c r="P87" s="42"/>
      <c r="Q87" s="42"/>
      <c r="R87" s="42"/>
      <c r="S87" s="42"/>
      <c r="T87" s="42"/>
      <c r="U87" s="42"/>
      <c r="V87" s="42"/>
      <c r="W87" s="42"/>
      <c r="X87" s="42"/>
      <c r="Y87" s="42"/>
      <c r="Z87" s="42"/>
    </row>
    <row r="88">
      <c r="A88" s="133"/>
      <c r="B88" s="134"/>
      <c r="C88" s="63"/>
      <c r="D88" s="63"/>
      <c r="E88" s="135"/>
      <c r="F88" s="42"/>
      <c r="G88" s="42"/>
      <c r="H88" s="42"/>
      <c r="I88" s="42"/>
      <c r="J88" s="42"/>
      <c r="K88" s="42"/>
      <c r="L88" s="42"/>
      <c r="M88" s="42"/>
      <c r="N88" s="42"/>
      <c r="O88" s="42"/>
      <c r="P88" s="42"/>
      <c r="Q88" s="42"/>
      <c r="R88" s="42"/>
      <c r="S88" s="42"/>
      <c r="T88" s="42"/>
      <c r="U88" s="42"/>
      <c r="V88" s="42"/>
      <c r="W88" s="42"/>
      <c r="X88" s="42"/>
      <c r="Y88" s="42"/>
      <c r="Z88" s="42"/>
    </row>
    <row r="89">
      <c r="A89" s="133"/>
      <c r="B89" s="134"/>
      <c r="C89" s="63"/>
      <c r="D89" s="63"/>
      <c r="E89" s="135"/>
      <c r="F89" s="42"/>
      <c r="G89" s="42"/>
      <c r="H89" s="42"/>
      <c r="I89" s="42"/>
      <c r="J89" s="42"/>
      <c r="K89" s="42"/>
      <c r="L89" s="42"/>
      <c r="M89" s="42"/>
      <c r="N89" s="42"/>
      <c r="O89" s="42"/>
      <c r="P89" s="42"/>
      <c r="Q89" s="42"/>
      <c r="R89" s="42"/>
      <c r="S89" s="42"/>
      <c r="T89" s="42"/>
      <c r="U89" s="42"/>
      <c r="V89" s="42"/>
      <c r="W89" s="42"/>
      <c r="X89" s="42"/>
      <c r="Y89" s="42"/>
      <c r="Z89" s="42"/>
    </row>
    <row r="90">
      <c r="A90" s="133"/>
      <c r="B90" s="134"/>
      <c r="C90" s="63"/>
      <c r="D90" s="63"/>
      <c r="E90" s="135"/>
      <c r="F90" s="42"/>
      <c r="G90" s="42"/>
      <c r="H90" s="42"/>
      <c r="I90" s="42"/>
      <c r="J90" s="42"/>
      <c r="K90" s="42"/>
      <c r="L90" s="42"/>
      <c r="M90" s="42"/>
      <c r="N90" s="42"/>
      <c r="O90" s="42"/>
      <c r="P90" s="42"/>
      <c r="Q90" s="42"/>
      <c r="R90" s="42"/>
      <c r="S90" s="42"/>
      <c r="T90" s="42"/>
      <c r="U90" s="42"/>
      <c r="V90" s="42"/>
      <c r="W90" s="42"/>
      <c r="X90" s="42"/>
      <c r="Y90" s="42"/>
      <c r="Z90" s="42"/>
    </row>
    <row r="91">
      <c r="A91" s="133"/>
      <c r="B91" s="134"/>
      <c r="C91" s="63"/>
      <c r="D91" s="63"/>
      <c r="E91" s="135"/>
      <c r="F91" s="42"/>
      <c r="G91" s="42"/>
      <c r="H91" s="42"/>
      <c r="I91" s="42"/>
      <c r="J91" s="42"/>
      <c r="K91" s="42"/>
      <c r="L91" s="42"/>
      <c r="M91" s="42"/>
      <c r="N91" s="42"/>
      <c r="O91" s="42"/>
      <c r="P91" s="42"/>
      <c r="Q91" s="42"/>
      <c r="R91" s="42"/>
      <c r="S91" s="42"/>
      <c r="T91" s="42"/>
      <c r="U91" s="42"/>
      <c r="V91" s="42"/>
      <c r="W91" s="42"/>
      <c r="X91" s="42"/>
      <c r="Y91" s="42"/>
      <c r="Z91" s="42"/>
    </row>
    <row r="92">
      <c r="A92" s="133"/>
      <c r="B92" s="134"/>
      <c r="C92" s="63"/>
      <c r="D92" s="63"/>
      <c r="E92" s="135"/>
      <c r="F92" s="42"/>
      <c r="G92" s="42"/>
      <c r="H92" s="42"/>
      <c r="I92" s="42"/>
      <c r="J92" s="42"/>
      <c r="K92" s="42"/>
      <c r="L92" s="42"/>
      <c r="M92" s="42"/>
      <c r="N92" s="42"/>
      <c r="O92" s="42"/>
      <c r="P92" s="42"/>
      <c r="Q92" s="42"/>
      <c r="R92" s="42"/>
      <c r="S92" s="42"/>
      <c r="T92" s="42"/>
      <c r="U92" s="42"/>
      <c r="V92" s="42"/>
      <c r="W92" s="42"/>
      <c r="X92" s="42"/>
      <c r="Y92" s="42"/>
      <c r="Z92" s="42"/>
    </row>
    <row r="93">
      <c r="A93" s="133"/>
      <c r="B93" s="134"/>
      <c r="C93" s="63"/>
      <c r="D93" s="63"/>
      <c r="E93" s="135"/>
      <c r="F93" s="42"/>
      <c r="G93" s="42"/>
      <c r="H93" s="42"/>
      <c r="I93" s="42"/>
      <c r="J93" s="42"/>
      <c r="K93" s="42"/>
      <c r="L93" s="42"/>
      <c r="M93" s="42"/>
      <c r="N93" s="42"/>
      <c r="O93" s="42"/>
      <c r="P93" s="42"/>
      <c r="Q93" s="42"/>
      <c r="R93" s="42"/>
      <c r="S93" s="42"/>
      <c r="T93" s="42"/>
      <c r="U93" s="42"/>
      <c r="V93" s="42"/>
      <c r="W93" s="42"/>
      <c r="X93" s="42"/>
      <c r="Y93" s="42"/>
      <c r="Z93" s="42"/>
    </row>
    <row r="94">
      <c r="A94" s="133"/>
      <c r="B94" s="134"/>
      <c r="C94" s="63"/>
      <c r="D94" s="63"/>
      <c r="E94" s="135"/>
      <c r="F94" s="42"/>
      <c r="G94" s="42"/>
      <c r="H94" s="42"/>
      <c r="I94" s="42"/>
      <c r="J94" s="42"/>
      <c r="K94" s="42"/>
      <c r="L94" s="42"/>
      <c r="M94" s="42"/>
      <c r="N94" s="42"/>
      <c r="O94" s="42"/>
      <c r="P94" s="42"/>
      <c r="Q94" s="42"/>
      <c r="R94" s="42"/>
      <c r="S94" s="42"/>
      <c r="T94" s="42"/>
      <c r="U94" s="42"/>
      <c r="V94" s="42"/>
      <c r="W94" s="42"/>
      <c r="X94" s="42"/>
      <c r="Y94" s="42"/>
      <c r="Z94" s="42"/>
    </row>
    <row r="95">
      <c r="A95" s="133"/>
      <c r="B95" s="134"/>
      <c r="C95" s="63"/>
      <c r="D95" s="63"/>
      <c r="E95" s="135"/>
      <c r="F95" s="42"/>
      <c r="G95" s="42"/>
      <c r="H95" s="42"/>
      <c r="I95" s="42"/>
      <c r="J95" s="42"/>
      <c r="K95" s="42"/>
      <c r="L95" s="42"/>
      <c r="M95" s="42"/>
      <c r="N95" s="42"/>
      <c r="O95" s="42"/>
      <c r="P95" s="42"/>
      <c r="Q95" s="42"/>
      <c r="R95" s="42"/>
      <c r="S95" s="42"/>
      <c r="T95" s="42"/>
      <c r="U95" s="42"/>
      <c r="V95" s="42"/>
      <c r="W95" s="42"/>
      <c r="X95" s="42"/>
      <c r="Y95" s="42"/>
      <c r="Z95" s="42"/>
    </row>
    <row r="96">
      <c r="A96" s="133"/>
      <c r="B96" s="134"/>
      <c r="C96" s="63"/>
      <c r="D96" s="63"/>
      <c r="E96" s="135"/>
      <c r="F96" s="42"/>
      <c r="G96" s="42"/>
      <c r="H96" s="42"/>
      <c r="I96" s="42"/>
      <c r="J96" s="42"/>
      <c r="K96" s="42"/>
      <c r="L96" s="42"/>
      <c r="M96" s="42"/>
      <c r="N96" s="42"/>
      <c r="O96" s="42"/>
      <c r="P96" s="42"/>
      <c r="Q96" s="42"/>
      <c r="R96" s="42"/>
      <c r="S96" s="42"/>
      <c r="T96" s="42"/>
      <c r="U96" s="42"/>
      <c r="V96" s="42"/>
      <c r="W96" s="42"/>
      <c r="X96" s="42"/>
      <c r="Y96" s="42"/>
      <c r="Z96" s="42"/>
    </row>
    <row r="97">
      <c r="A97" s="133"/>
      <c r="B97" s="134"/>
      <c r="C97" s="63"/>
      <c r="D97" s="63"/>
      <c r="E97" s="135"/>
      <c r="F97" s="42"/>
      <c r="G97" s="42"/>
      <c r="H97" s="42"/>
      <c r="I97" s="42"/>
      <c r="J97" s="42"/>
      <c r="K97" s="42"/>
      <c r="L97" s="42"/>
      <c r="M97" s="42"/>
      <c r="N97" s="42"/>
      <c r="O97" s="42"/>
      <c r="P97" s="42"/>
      <c r="Q97" s="42"/>
      <c r="R97" s="42"/>
      <c r="S97" s="42"/>
      <c r="T97" s="42"/>
      <c r="U97" s="42"/>
      <c r="V97" s="42"/>
      <c r="W97" s="42"/>
      <c r="X97" s="42"/>
      <c r="Y97" s="42"/>
      <c r="Z97" s="42"/>
    </row>
    <row r="98">
      <c r="A98" s="133"/>
      <c r="B98" s="134"/>
      <c r="C98" s="63"/>
      <c r="D98" s="63"/>
      <c r="E98" s="135"/>
      <c r="F98" s="42"/>
      <c r="G98" s="42"/>
      <c r="H98" s="42"/>
      <c r="I98" s="42"/>
      <c r="J98" s="42"/>
      <c r="K98" s="42"/>
      <c r="L98" s="42"/>
      <c r="M98" s="42"/>
      <c r="N98" s="42"/>
      <c r="O98" s="42"/>
      <c r="P98" s="42"/>
      <c r="Q98" s="42"/>
      <c r="R98" s="42"/>
      <c r="S98" s="42"/>
      <c r="T98" s="42"/>
      <c r="U98" s="42"/>
      <c r="V98" s="42"/>
      <c r="W98" s="42"/>
      <c r="X98" s="42"/>
      <c r="Y98" s="42"/>
      <c r="Z98" s="42"/>
    </row>
    <row r="99">
      <c r="A99" s="133"/>
      <c r="B99" s="134"/>
      <c r="C99" s="63"/>
      <c r="D99" s="63"/>
      <c r="E99" s="135"/>
      <c r="F99" s="42"/>
      <c r="G99" s="42"/>
      <c r="H99" s="42"/>
      <c r="I99" s="42"/>
      <c r="J99" s="42"/>
      <c r="K99" s="42"/>
      <c r="L99" s="42"/>
      <c r="M99" s="42"/>
      <c r="N99" s="42"/>
      <c r="O99" s="42"/>
      <c r="P99" s="42"/>
      <c r="Q99" s="42"/>
      <c r="R99" s="42"/>
      <c r="S99" s="42"/>
      <c r="T99" s="42"/>
      <c r="U99" s="42"/>
      <c r="V99" s="42"/>
      <c r="W99" s="42"/>
      <c r="X99" s="42"/>
      <c r="Y99" s="42"/>
      <c r="Z99" s="42"/>
    </row>
    <row r="100">
      <c r="A100" s="133"/>
      <c r="B100" s="134"/>
      <c r="C100" s="63"/>
      <c r="D100" s="63"/>
      <c r="E100" s="135"/>
      <c r="F100" s="42"/>
      <c r="G100" s="42"/>
      <c r="H100" s="42"/>
      <c r="I100" s="42"/>
      <c r="J100" s="42"/>
      <c r="K100" s="42"/>
      <c r="L100" s="42"/>
      <c r="M100" s="42"/>
      <c r="N100" s="42"/>
      <c r="O100" s="42"/>
      <c r="P100" s="42"/>
      <c r="Q100" s="42"/>
      <c r="R100" s="42"/>
      <c r="S100" s="42"/>
      <c r="T100" s="42"/>
      <c r="U100" s="42"/>
      <c r="V100" s="42"/>
      <c r="W100" s="42"/>
      <c r="X100" s="42"/>
      <c r="Y100" s="42"/>
      <c r="Z100" s="42"/>
    </row>
    <row r="101">
      <c r="A101" s="133"/>
      <c r="B101" s="134"/>
      <c r="C101" s="63"/>
      <c r="D101" s="63"/>
      <c r="E101" s="135"/>
      <c r="F101" s="42"/>
      <c r="G101" s="42"/>
      <c r="H101" s="42"/>
      <c r="I101" s="42"/>
      <c r="J101" s="42"/>
      <c r="K101" s="42"/>
      <c r="L101" s="42"/>
      <c r="M101" s="42"/>
      <c r="N101" s="42"/>
      <c r="O101" s="42"/>
      <c r="P101" s="42"/>
      <c r="Q101" s="42"/>
      <c r="R101" s="42"/>
      <c r="S101" s="42"/>
      <c r="T101" s="42"/>
      <c r="U101" s="42"/>
      <c r="V101" s="42"/>
      <c r="W101" s="42"/>
      <c r="X101" s="42"/>
      <c r="Y101" s="42"/>
      <c r="Z101" s="42"/>
    </row>
    <row r="102">
      <c r="A102" s="133"/>
      <c r="B102" s="134"/>
      <c r="C102" s="63"/>
      <c r="D102" s="63"/>
      <c r="E102" s="135"/>
      <c r="F102" s="42"/>
      <c r="G102" s="42"/>
      <c r="H102" s="42"/>
      <c r="I102" s="42"/>
      <c r="J102" s="42"/>
      <c r="K102" s="42"/>
      <c r="L102" s="42"/>
      <c r="M102" s="42"/>
      <c r="N102" s="42"/>
      <c r="O102" s="42"/>
      <c r="P102" s="42"/>
      <c r="Q102" s="42"/>
      <c r="R102" s="42"/>
      <c r="S102" s="42"/>
      <c r="T102" s="42"/>
      <c r="U102" s="42"/>
      <c r="V102" s="42"/>
      <c r="W102" s="42"/>
      <c r="X102" s="42"/>
      <c r="Y102" s="42"/>
      <c r="Z102" s="42"/>
    </row>
    <row r="103">
      <c r="A103" s="133"/>
      <c r="B103" s="134"/>
      <c r="C103" s="63"/>
      <c r="D103" s="63"/>
      <c r="E103" s="135"/>
      <c r="F103" s="42"/>
      <c r="G103" s="42"/>
      <c r="H103" s="42"/>
      <c r="I103" s="42"/>
      <c r="J103" s="42"/>
      <c r="K103" s="42"/>
      <c r="L103" s="42"/>
      <c r="M103" s="42"/>
      <c r="N103" s="42"/>
      <c r="O103" s="42"/>
      <c r="P103" s="42"/>
      <c r="Q103" s="42"/>
      <c r="R103" s="42"/>
      <c r="S103" s="42"/>
      <c r="T103" s="42"/>
      <c r="U103" s="42"/>
      <c r="V103" s="42"/>
      <c r="W103" s="42"/>
      <c r="X103" s="42"/>
      <c r="Y103" s="42"/>
      <c r="Z103" s="42"/>
    </row>
    <row r="104">
      <c r="A104" s="133"/>
      <c r="B104" s="134"/>
      <c r="C104" s="63"/>
      <c r="D104" s="63"/>
      <c r="E104" s="135"/>
      <c r="F104" s="42"/>
      <c r="G104" s="42"/>
      <c r="H104" s="42"/>
      <c r="I104" s="42"/>
      <c r="J104" s="42"/>
      <c r="K104" s="42"/>
      <c r="L104" s="42"/>
      <c r="M104" s="42"/>
      <c r="N104" s="42"/>
      <c r="O104" s="42"/>
      <c r="P104" s="42"/>
      <c r="Q104" s="42"/>
      <c r="R104" s="42"/>
      <c r="S104" s="42"/>
      <c r="T104" s="42"/>
      <c r="U104" s="42"/>
      <c r="V104" s="42"/>
      <c r="W104" s="42"/>
      <c r="X104" s="42"/>
      <c r="Y104" s="42"/>
      <c r="Z104" s="42"/>
    </row>
    <row r="105">
      <c r="A105" s="133"/>
      <c r="B105" s="134"/>
      <c r="C105" s="63"/>
      <c r="D105" s="63"/>
      <c r="E105" s="135"/>
      <c r="F105" s="42"/>
      <c r="G105" s="42"/>
      <c r="H105" s="42"/>
      <c r="I105" s="42"/>
      <c r="J105" s="42"/>
      <c r="K105" s="42"/>
      <c r="L105" s="42"/>
      <c r="M105" s="42"/>
      <c r="N105" s="42"/>
      <c r="O105" s="42"/>
      <c r="P105" s="42"/>
      <c r="Q105" s="42"/>
      <c r="R105" s="42"/>
      <c r="S105" s="42"/>
      <c r="T105" s="42"/>
      <c r="U105" s="42"/>
      <c r="V105" s="42"/>
      <c r="W105" s="42"/>
      <c r="X105" s="42"/>
      <c r="Y105" s="42"/>
      <c r="Z105" s="42"/>
    </row>
    <row r="106">
      <c r="A106" s="133"/>
      <c r="B106" s="134"/>
      <c r="C106" s="63"/>
      <c r="D106" s="63"/>
      <c r="E106" s="135"/>
      <c r="F106" s="42"/>
      <c r="G106" s="42"/>
      <c r="H106" s="42"/>
      <c r="I106" s="42"/>
      <c r="J106" s="42"/>
      <c r="K106" s="42"/>
      <c r="L106" s="42"/>
      <c r="M106" s="42"/>
      <c r="N106" s="42"/>
      <c r="O106" s="42"/>
      <c r="P106" s="42"/>
      <c r="Q106" s="42"/>
      <c r="R106" s="42"/>
      <c r="S106" s="42"/>
      <c r="T106" s="42"/>
      <c r="U106" s="42"/>
      <c r="V106" s="42"/>
      <c r="W106" s="42"/>
      <c r="X106" s="42"/>
      <c r="Y106" s="42"/>
      <c r="Z106" s="42"/>
    </row>
    <row r="107">
      <c r="A107" s="133"/>
      <c r="B107" s="134"/>
      <c r="C107" s="63"/>
      <c r="D107" s="63"/>
      <c r="E107" s="135"/>
      <c r="F107" s="42"/>
      <c r="G107" s="42"/>
      <c r="H107" s="42"/>
      <c r="I107" s="42"/>
      <c r="J107" s="42"/>
      <c r="K107" s="42"/>
      <c r="L107" s="42"/>
      <c r="M107" s="42"/>
      <c r="N107" s="42"/>
      <c r="O107" s="42"/>
      <c r="P107" s="42"/>
      <c r="Q107" s="42"/>
      <c r="R107" s="42"/>
      <c r="S107" s="42"/>
      <c r="T107" s="42"/>
      <c r="U107" s="42"/>
      <c r="V107" s="42"/>
      <c r="W107" s="42"/>
      <c r="X107" s="42"/>
      <c r="Y107" s="42"/>
      <c r="Z107" s="42"/>
    </row>
    <row r="108">
      <c r="A108" s="133"/>
      <c r="B108" s="134"/>
      <c r="C108" s="63"/>
      <c r="D108" s="63"/>
      <c r="E108" s="135"/>
      <c r="F108" s="42"/>
      <c r="G108" s="42"/>
      <c r="H108" s="42"/>
      <c r="I108" s="42"/>
      <c r="J108" s="42"/>
      <c r="K108" s="42"/>
      <c r="L108" s="42"/>
      <c r="M108" s="42"/>
      <c r="N108" s="42"/>
      <c r="O108" s="42"/>
      <c r="P108" s="42"/>
      <c r="Q108" s="42"/>
      <c r="R108" s="42"/>
      <c r="S108" s="42"/>
      <c r="T108" s="42"/>
      <c r="U108" s="42"/>
      <c r="V108" s="42"/>
      <c r="W108" s="42"/>
      <c r="X108" s="42"/>
      <c r="Y108" s="42"/>
      <c r="Z108" s="42"/>
    </row>
    <row r="109">
      <c r="A109" s="133"/>
      <c r="B109" s="134"/>
      <c r="C109" s="63"/>
      <c r="D109" s="63"/>
      <c r="E109" s="135"/>
      <c r="F109" s="42"/>
      <c r="G109" s="42"/>
      <c r="H109" s="42"/>
      <c r="I109" s="42"/>
      <c r="J109" s="42"/>
      <c r="K109" s="42"/>
      <c r="L109" s="42"/>
      <c r="M109" s="42"/>
      <c r="N109" s="42"/>
      <c r="O109" s="42"/>
      <c r="P109" s="42"/>
      <c r="Q109" s="42"/>
      <c r="R109" s="42"/>
      <c r="S109" s="42"/>
      <c r="T109" s="42"/>
      <c r="U109" s="42"/>
      <c r="V109" s="42"/>
      <c r="W109" s="42"/>
      <c r="X109" s="42"/>
      <c r="Y109" s="42"/>
      <c r="Z109" s="42"/>
    </row>
    <row r="110">
      <c r="A110" s="133"/>
      <c r="B110" s="134"/>
      <c r="C110" s="63"/>
      <c r="D110" s="63"/>
      <c r="E110" s="135"/>
      <c r="F110" s="42"/>
      <c r="G110" s="42"/>
      <c r="H110" s="42"/>
      <c r="I110" s="42"/>
      <c r="J110" s="42"/>
      <c r="K110" s="42"/>
      <c r="L110" s="42"/>
      <c r="M110" s="42"/>
      <c r="N110" s="42"/>
      <c r="O110" s="42"/>
      <c r="P110" s="42"/>
      <c r="Q110" s="42"/>
      <c r="R110" s="42"/>
      <c r="S110" s="42"/>
      <c r="T110" s="42"/>
      <c r="U110" s="42"/>
      <c r="V110" s="42"/>
      <c r="W110" s="42"/>
      <c r="X110" s="42"/>
      <c r="Y110" s="42"/>
      <c r="Z110" s="42"/>
    </row>
    <row r="111">
      <c r="A111" s="133"/>
      <c r="B111" s="134"/>
      <c r="C111" s="63"/>
      <c r="D111" s="63"/>
      <c r="E111" s="135"/>
      <c r="F111" s="42"/>
      <c r="G111" s="42"/>
      <c r="H111" s="42"/>
      <c r="I111" s="42"/>
      <c r="J111" s="42"/>
      <c r="K111" s="42"/>
      <c r="L111" s="42"/>
      <c r="M111" s="42"/>
      <c r="N111" s="42"/>
      <c r="O111" s="42"/>
      <c r="P111" s="42"/>
      <c r="Q111" s="42"/>
      <c r="R111" s="42"/>
      <c r="S111" s="42"/>
      <c r="T111" s="42"/>
      <c r="U111" s="42"/>
      <c r="V111" s="42"/>
      <c r="W111" s="42"/>
      <c r="X111" s="42"/>
      <c r="Y111" s="42"/>
      <c r="Z111" s="42"/>
    </row>
    <row r="112">
      <c r="A112" s="133"/>
      <c r="B112" s="134"/>
      <c r="C112" s="63"/>
      <c r="D112" s="63"/>
      <c r="E112" s="135"/>
      <c r="F112" s="42"/>
      <c r="G112" s="42"/>
      <c r="H112" s="42"/>
      <c r="I112" s="42"/>
      <c r="J112" s="42"/>
      <c r="K112" s="42"/>
      <c r="L112" s="42"/>
      <c r="M112" s="42"/>
      <c r="N112" s="42"/>
      <c r="O112" s="42"/>
      <c r="P112" s="42"/>
      <c r="Q112" s="42"/>
      <c r="R112" s="42"/>
      <c r="S112" s="42"/>
      <c r="T112" s="42"/>
      <c r="U112" s="42"/>
      <c r="V112" s="42"/>
      <c r="W112" s="42"/>
      <c r="X112" s="42"/>
      <c r="Y112" s="42"/>
      <c r="Z112" s="42"/>
    </row>
    <row r="113">
      <c r="A113" s="133"/>
      <c r="B113" s="134"/>
      <c r="C113" s="63"/>
      <c r="D113" s="63"/>
      <c r="E113" s="135"/>
      <c r="F113" s="42"/>
      <c r="G113" s="42"/>
      <c r="H113" s="42"/>
      <c r="I113" s="42"/>
      <c r="J113" s="42"/>
      <c r="K113" s="42"/>
      <c r="L113" s="42"/>
      <c r="M113" s="42"/>
      <c r="N113" s="42"/>
      <c r="O113" s="42"/>
      <c r="P113" s="42"/>
      <c r="Q113" s="42"/>
      <c r="R113" s="42"/>
      <c r="S113" s="42"/>
      <c r="T113" s="42"/>
      <c r="U113" s="42"/>
      <c r="V113" s="42"/>
      <c r="W113" s="42"/>
      <c r="X113" s="42"/>
      <c r="Y113" s="42"/>
      <c r="Z113" s="42"/>
    </row>
    <row r="114">
      <c r="A114" s="133"/>
      <c r="B114" s="134"/>
      <c r="C114" s="63"/>
      <c r="D114" s="63"/>
      <c r="E114" s="135"/>
      <c r="F114" s="42"/>
      <c r="G114" s="42"/>
      <c r="H114" s="42"/>
      <c r="I114" s="42"/>
      <c r="J114" s="42"/>
      <c r="K114" s="42"/>
      <c r="L114" s="42"/>
      <c r="M114" s="42"/>
      <c r="N114" s="42"/>
      <c r="O114" s="42"/>
      <c r="P114" s="42"/>
      <c r="Q114" s="42"/>
      <c r="R114" s="42"/>
      <c r="S114" s="42"/>
      <c r="T114" s="42"/>
      <c r="U114" s="42"/>
      <c r="V114" s="42"/>
      <c r="W114" s="42"/>
      <c r="X114" s="42"/>
      <c r="Y114" s="42"/>
      <c r="Z114" s="42"/>
    </row>
    <row r="115">
      <c r="A115" s="133"/>
      <c r="B115" s="134"/>
      <c r="C115" s="63"/>
      <c r="D115" s="63"/>
      <c r="E115" s="135"/>
      <c r="F115" s="42"/>
      <c r="G115" s="42"/>
      <c r="H115" s="42"/>
      <c r="I115" s="42"/>
      <c r="J115" s="42"/>
      <c r="K115" s="42"/>
      <c r="L115" s="42"/>
      <c r="M115" s="42"/>
      <c r="N115" s="42"/>
      <c r="O115" s="42"/>
      <c r="P115" s="42"/>
      <c r="Q115" s="42"/>
      <c r="R115" s="42"/>
      <c r="S115" s="42"/>
      <c r="T115" s="42"/>
      <c r="U115" s="42"/>
      <c r="V115" s="42"/>
      <c r="W115" s="42"/>
      <c r="X115" s="42"/>
      <c r="Y115" s="42"/>
      <c r="Z115" s="42"/>
    </row>
    <row r="116">
      <c r="A116" s="133"/>
      <c r="B116" s="134"/>
      <c r="C116" s="63"/>
      <c r="D116" s="63"/>
      <c r="E116" s="135"/>
      <c r="F116" s="42"/>
      <c r="G116" s="42"/>
      <c r="H116" s="42"/>
      <c r="I116" s="42"/>
      <c r="J116" s="42"/>
      <c r="K116" s="42"/>
      <c r="L116" s="42"/>
      <c r="M116" s="42"/>
      <c r="N116" s="42"/>
      <c r="O116" s="42"/>
      <c r="P116" s="42"/>
      <c r="Q116" s="42"/>
      <c r="R116" s="42"/>
      <c r="S116" s="42"/>
      <c r="T116" s="42"/>
      <c r="U116" s="42"/>
      <c r="V116" s="42"/>
      <c r="W116" s="42"/>
      <c r="X116" s="42"/>
      <c r="Y116" s="42"/>
      <c r="Z116" s="42"/>
    </row>
    <row r="117">
      <c r="A117" s="133"/>
      <c r="B117" s="134"/>
      <c r="C117" s="63"/>
      <c r="D117" s="63"/>
      <c r="E117" s="135"/>
      <c r="F117" s="42"/>
      <c r="G117" s="42"/>
      <c r="H117" s="42"/>
      <c r="I117" s="42"/>
      <c r="J117" s="42"/>
      <c r="K117" s="42"/>
      <c r="L117" s="42"/>
      <c r="M117" s="42"/>
      <c r="N117" s="42"/>
      <c r="O117" s="42"/>
      <c r="P117" s="42"/>
      <c r="Q117" s="42"/>
      <c r="R117" s="42"/>
      <c r="S117" s="42"/>
      <c r="T117" s="42"/>
      <c r="U117" s="42"/>
      <c r="V117" s="42"/>
      <c r="W117" s="42"/>
      <c r="X117" s="42"/>
      <c r="Y117" s="42"/>
      <c r="Z117" s="42"/>
    </row>
    <row r="118">
      <c r="A118" s="133"/>
      <c r="B118" s="134"/>
      <c r="C118" s="63"/>
      <c r="D118" s="63"/>
      <c r="E118" s="135"/>
      <c r="F118" s="42"/>
      <c r="G118" s="42"/>
      <c r="H118" s="42"/>
      <c r="I118" s="42"/>
      <c r="J118" s="42"/>
      <c r="K118" s="42"/>
      <c r="L118" s="42"/>
      <c r="M118" s="42"/>
      <c r="N118" s="42"/>
      <c r="O118" s="42"/>
      <c r="P118" s="42"/>
      <c r="Q118" s="42"/>
      <c r="R118" s="42"/>
      <c r="S118" s="42"/>
      <c r="T118" s="42"/>
      <c r="U118" s="42"/>
      <c r="V118" s="42"/>
      <c r="W118" s="42"/>
      <c r="X118" s="42"/>
      <c r="Y118" s="42"/>
      <c r="Z118" s="42"/>
    </row>
    <row r="119">
      <c r="A119" s="133"/>
      <c r="B119" s="134"/>
      <c r="C119" s="63"/>
      <c r="D119" s="63"/>
      <c r="E119" s="135"/>
      <c r="F119" s="42"/>
      <c r="G119" s="42"/>
      <c r="H119" s="42"/>
      <c r="I119" s="42"/>
      <c r="J119" s="42"/>
      <c r="K119" s="42"/>
      <c r="L119" s="42"/>
      <c r="M119" s="42"/>
      <c r="N119" s="42"/>
      <c r="O119" s="42"/>
      <c r="P119" s="42"/>
      <c r="Q119" s="42"/>
      <c r="R119" s="42"/>
      <c r="S119" s="42"/>
      <c r="T119" s="42"/>
      <c r="U119" s="42"/>
      <c r="V119" s="42"/>
      <c r="W119" s="42"/>
      <c r="X119" s="42"/>
      <c r="Y119" s="42"/>
      <c r="Z119" s="42"/>
    </row>
    <row r="120">
      <c r="A120" s="133"/>
      <c r="B120" s="134"/>
      <c r="C120" s="63"/>
      <c r="D120" s="63"/>
      <c r="E120" s="135"/>
      <c r="F120" s="42"/>
      <c r="G120" s="42"/>
      <c r="H120" s="42"/>
      <c r="I120" s="42"/>
      <c r="J120" s="42"/>
      <c r="K120" s="42"/>
      <c r="L120" s="42"/>
      <c r="M120" s="42"/>
      <c r="N120" s="42"/>
      <c r="O120" s="42"/>
      <c r="P120" s="42"/>
      <c r="Q120" s="42"/>
      <c r="R120" s="42"/>
      <c r="S120" s="42"/>
      <c r="T120" s="42"/>
      <c r="U120" s="42"/>
      <c r="V120" s="42"/>
      <c r="W120" s="42"/>
      <c r="X120" s="42"/>
      <c r="Y120" s="42"/>
      <c r="Z120" s="42"/>
    </row>
    <row r="121">
      <c r="A121" s="133"/>
      <c r="B121" s="134"/>
      <c r="C121" s="63"/>
      <c r="D121" s="63"/>
      <c r="E121" s="135"/>
      <c r="F121" s="42"/>
      <c r="G121" s="42"/>
      <c r="H121" s="42"/>
      <c r="I121" s="42"/>
      <c r="J121" s="42"/>
      <c r="K121" s="42"/>
      <c r="L121" s="42"/>
      <c r="M121" s="42"/>
      <c r="N121" s="42"/>
      <c r="O121" s="42"/>
      <c r="P121" s="42"/>
      <c r="Q121" s="42"/>
      <c r="R121" s="42"/>
      <c r="S121" s="42"/>
      <c r="T121" s="42"/>
      <c r="U121" s="42"/>
      <c r="V121" s="42"/>
      <c r="W121" s="42"/>
      <c r="X121" s="42"/>
      <c r="Y121" s="42"/>
      <c r="Z121" s="42"/>
    </row>
    <row r="122">
      <c r="A122" s="133"/>
      <c r="B122" s="134"/>
      <c r="C122" s="63"/>
      <c r="D122" s="63"/>
      <c r="E122" s="135"/>
      <c r="F122" s="42"/>
      <c r="G122" s="42"/>
      <c r="H122" s="42"/>
      <c r="I122" s="42"/>
      <c r="J122" s="42"/>
      <c r="K122" s="42"/>
      <c r="L122" s="42"/>
      <c r="M122" s="42"/>
      <c r="N122" s="42"/>
      <c r="O122" s="42"/>
      <c r="P122" s="42"/>
      <c r="Q122" s="42"/>
      <c r="R122" s="42"/>
      <c r="S122" s="42"/>
      <c r="T122" s="42"/>
      <c r="U122" s="42"/>
      <c r="V122" s="42"/>
      <c r="W122" s="42"/>
      <c r="X122" s="42"/>
      <c r="Y122" s="42"/>
      <c r="Z122" s="42"/>
    </row>
    <row r="123">
      <c r="A123" s="133"/>
      <c r="B123" s="134"/>
      <c r="C123" s="63"/>
      <c r="D123" s="63"/>
      <c r="E123" s="135"/>
      <c r="F123" s="42"/>
      <c r="G123" s="42"/>
      <c r="H123" s="42"/>
      <c r="I123" s="42"/>
      <c r="J123" s="42"/>
      <c r="K123" s="42"/>
      <c r="L123" s="42"/>
      <c r="M123" s="42"/>
      <c r="N123" s="42"/>
      <c r="O123" s="42"/>
      <c r="P123" s="42"/>
      <c r="Q123" s="42"/>
      <c r="R123" s="42"/>
      <c r="S123" s="42"/>
      <c r="T123" s="42"/>
      <c r="U123" s="42"/>
      <c r="V123" s="42"/>
      <c r="W123" s="42"/>
      <c r="X123" s="42"/>
      <c r="Y123" s="42"/>
      <c r="Z123" s="42"/>
    </row>
    <row r="124">
      <c r="A124" s="133"/>
      <c r="B124" s="134"/>
      <c r="C124" s="63"/>
      <c r="D124" s="63"/>
      <c r="E124" s="135"/>
      <c r="F124" s="42"/>
      <c r="G124" s="42"/>
      <c r="H124" s="42"/>
      <c r="I124" s="42"/>
      <c r="J124" s="42"/>
      <c r="K124" s="42"/>
      <c r="L124" s="42"/>
      <c r="M124" s="42"/>
      <c r="N124" s="42"/>
      <c r="O124" s="42"/>
      <c r="P124" s="42"/>
      <c r="Q124" s="42"/>
      <c r="R124" s="42"/>
      <c r="S124" s="42"/>
      <c r="T124" s="42"/>
      <c r="U124" s="42"/>
      <c r="V124" s="42"/>
      <c r="W124" s="42"/>
      <c r="X124" s="42"/>
      <c r="Y124" s="42"/>
      <c r="Z124" s="42"/>
    </row>
    <row r="125">
      <c r="A125" s="133"/>
      <c r="B125" s="134"/>
      <c r="C125" s="63"/>
      <c r="D125" s="63"/>
      <c r="E125" s="135"/>
      <c r="F125" s="42"/>
      <c r="G125" s="42"/>
      <c r="H125" s="42"/>
      <c r="I125" s="42"/>
      <c r="J125" s="42"/>
      <c r="K125" s="42"/>
      <c r="L125" s="42"/>
      <c r="M125" s="42"/>
      <c r="N125" s="42"/>
      <c r="O125" s="42"/>
      <c r="P125" s="42"/>
      <c r="Q125" s="42"/>
      <c r="R125" s="42"/>
      <c r="S125" s="42"/>
      <c r="T125" s="42"/>
      <c r="U125" s="42"/>
      <c r="V125" s="42"/>
      <c r="W125" s="42"/>
      <c r="X125" s="42"/>
      <c r="Y125" s="42"/>
      <c r="Z125" s="42"/>
    </row>
    <row r="126">
      <c r="A126" s="133"/>
      <c r="B126" s="134"/>
      <c r="C126" s="63"/>
      <c r="D126" s="63"/>
      <c r="E126" s="135"/>
      <c r="F126" s="42"/>
      <c r="G126" s="42"/>
      <c r="H126" s="42"/>
      <c r="I126" s="42"/>
      <c r="J126" s="42"/>
      <c r="K126" s="42"/>
      <c r="L126" s="42"/>
      <c r="M126" s="42"/>
      <c r="N126" s="42"/>
      <c r="O126" s="42"/>
      <c r="P126" s="42"/>
      <c r="Q126" s="42"/>
      <c r="R126" s="42"/>
      <c r="S126" s="42"/>
      <c r="T126" s="42"/>
      <c r="U126" s="42"/>
      <c r="V126" s="42"/>
      <c r="W126" s="42"/>
      <c r="X126" s="42"/>
      <c r="Y126" s="42"/>
      <c r="Z126" s="42"/>
    </row>
    <row r="127">
      <c r="A127" s="133"/>
      <c r="B127" s="134"/>
      <c r="C127" s="63"/>
      <c r="D127" s="63"/>
      <c r="E127" s="135"/>
      <c r="F127" s="42"/>
      <c r="G127" s="42"/>
      <c r="H127" s="42"/>
      <c r="I127" s="42"/>
      <c r="J127" s="42"/>
      <c r="K127" s="42"/>
      <c r="L127" s="42"/>
      <c r="M127" s="42"/>
      <c r="N127" s="42"/>
      <c r="O127" s="42"/>
      <c r="P127" s="42"/>
      <c r="Q127" s="42"/>
      <c r="R127" s="42"/>
      <c r="S127" s="42"/>
      <c r="T127" s="42"/>
      <c r="U127" s="42"/>
      <c r="V127" s="42"/>
      <c r="W127" s="42"/>
      <c r="X127" s="42"/>
      <c r="Y127" s="42"/>
      <c r="Z127" s="42"/>
    </row>
    <row r="128">
      <c r="A128" s="133"/>
      <c r="B128" s="134"/>
      <c r="C128" s="63"/>
      <c r="D128" s="63"/>
      <c r="E128" s="135"/>
      <c r="F128" s="42"/>
      <c r="G128" s="42"/>
      <c r="H128" s="42"/>
      <c r="I128" s="42"/>
      <c r="J128" s="42"/>
      <c r="K128" s="42"/>
      <c r="L128" s="42"/>
      <c r="M128" s="42"/>
      <c r="N128" s="42"/>
      <c r="O128" s="42"/>
      <c r="P128" s="42"/>
      <c r="Q128" s="42"/>
      <c r="R128" s="42"/>
      <c r="S128" s="42"/>
      <c r="T128" s="42"/>
      <c r="U128" s="42"/>
      <c r="V128" s="42"/>
      <c r="W128" s="42"/>
      <c r="X128" s="42"/>
      <c r="Y128" s="42"/>
      <c r="Z128" s="42"/>
    </row>
    <row r="129">
      <c r="A129" s="133"/>
      <c r="B129" s="134"/>
      <c r="C129" s="63"/>
      <c r="D129" s="63"/>
      <c r="E129" s="135"/>
      <c r="F129" s="42"/>
      <c r="G129" s="42"/>
      <c r="H129" s="42"/>
      <c r="I129" s="42"/>
      <c r="J129" s="42"/>
      <c r="K129" s="42"/>
      <c r="L129" s="42"/>
      <c r="M129" s="42"/>
      <c r="N129" s="42"/>
      <c r="O129" s="42"/>
      <c r="P129" s="42"/>
      <c r="Q129" s="42"/>
      <c r="R129" s="42"/>
      <c r="S129" s="42"/>
      <c r="T129" s="42"/>
      <c r="U129" s="42"/>
      <c r="V129" s="42"/>
      <c r="W129" s="42"/>
      <c r="X129" s="42"/>
      <c r="Y129" s="42"/>
      <c r="Z129" s="42"/>
    </row>
    <row r="130">
      <c r="A130" s="133"/>
      <c r="B130" s="134"/>
      <c r="C130" s="63"/>
      <c r="D130" s="63"/>
      <c r="E130" s="135"/>
      <c r="F130" s="42"/>
      <c r="G130" s="42"/>
      <c r="H130" s="42"/>
      <c r="I130" s="42"/>
      <c r="J130" s="42"/>
      <c r="K130" s="42"/>
      <c r="L130" s="42"/>
      <c r="M130" s="42"/>
      <c r="N130" s="42"/>
      <c r="O130" s="42"/>
      <c r="P130" s="42"/>
      <c r="Q130" s="42"/>
      <c r="R130" s="42"/>
      <c r="S130" s="42"/>
      <c r="T130" s="42"/>
      <c r="U130" s="42"/>
      <c r="V130" s="42"/>
      <c r="W130" s="42"/>
      <c r="X130" s="42"/>
      <c r="Y130" s="42"/>
      <c r="Z130" s="42"/>
    </row>
    <row r="131">
      <c r="A131" s="133"/>
      <c r="B131" s="134"/>
      <c r="C131" s="63"/>
      <c r="D131" s="63"/>
      <c r="E131" s="135"/>
      <c r="F131" s="42"/>
      <c r="G131" s="42"/>
      <c r="H131" s="42"/>
      <c r="I131" s="42"/>
      <c r="J131" s="42"/>
      <c r="K131" s="42"/>
      <c r="L131" s="42"/>
      <c r="M131" s="42"/>
      <c r="N131" s="42"/>
      <c r="O131" s="42"/>
      <c r="P131" s="42"/>
      <c r="Q131" s="42"/>
      <c r="R131" s="42"/>
      <c r="S131" s="42"/>
      <c r="T131" s="42"/>
      <c r="U131" s="42"/>
      <c r="V131" s="42"/>
      <c r="W131" s="42"/>
      <c r="X131" s="42"/>
      <c r="Y131" s="42"/>
      <c r="Z131" s="42"/>
    </row>
    <row r="132">
      <c r="A132" s="133"/>
      <c r="B132" s="134"/>
      <c r="C132" s="63"/>
      <c r="D132" s="63"/>
      <c r="E132" s="135"/>
      <c r="F132" s="42"/>
      <c r="G132" s="42"/>
      <c r="H132" s="42"/>
      <c r="I132" s="42"/>
      <c r="J132" s="42"/>
      <c r="K132" s="42"/>
      <c r="L132" s="42"/>
      <c r="M132" s="42"/>
      <c r="N132" s="42"/>
      <c r="O132" s="42"/>
      <c r="P132" s="42"/>
      <c r="Q132" s="42"/>
      <c r="R132" s="42"/>
      <c r="S132" s="42"/>
      <c r="T132" s="42"/>
      <c r="U132" s="42"/>
      <c r="V132" s="42"/>
      <c r="W132" s="42"/>
      <c r="X132" s="42"/>
      <c r="Y132" s="42"/>
      <c r="Z132" s="42"/>
    </row>
    <row r="133">
      <c r="A133" s="133"/>
      <c r="B133" s="134"/>
      <c r="C133" s="63"/>
      <c r="D133" s="63"/>
      <c r="E133" s="135"/>
      <c r="F133" s="42"/>
      <c r="G133" s="42"/>
      <c r="H133" s="42"/>
      <c r="I133" s="42"/>
      <c r="J133" s="42"/>
      <c r="K133" s="42"/>
      <c r="L133" s="42"/>
      <c r="M133" s="42"/>
      <c r="N133" s="42"/>
      <c r="O133" s="42"/>
      <c r="P133" s="42"/>
      <c r="Q133" s="42"/>
      <c r="R133" s="42"/>
      <c r="S133" s="42"/>
      <c r="T133" s="42"/>
      <c r="U133" s="42"/>
      <c r="V133" s="42"/>
      <c r="W133" s="42"/>
      <c r="X133" s="42"/>
      <c r="Y133" s="42"/>
      <c r="Z133" s="42"/>
    </row>
    <row r="134">
      <c r="A134" s="133"/>
      <c r="B134" s="134"/>
      <c r="C134" s="63"/>
      <c r="D134" s="63"/>
      <c r="E134" s="135"/>
      <c r="F134" s="42"/>
      <c r="G134" s="42"/>
      <c r="H134" s="42"/>
      <c r="I134" s="42"/>
      <c r="J134" s="42"/>
      <c r="K134" s="42"/>
      <c r="L134" s="42"/>
      <c r="M134" s="42"/>
      <c r="N134" s="42"/>
      <c r="O134" s="42"/>
      <c r="P134" s="42"/>
      <c r="Q134" s="42"/>
      <c r="R134" s="42"/>
      <c r="S134" s="42"/>
      <c r="T134" s="42"/>
      <c r="U134" s="42"/>
      <c r="V134" s="42"/>
      <c r="W134" s="42"/>
      <c r="X134" s="42"/>
      <c r="Y134" s="42"/>
      <c r="Z134" s="42"/>
    </row>
    <row r="135">
      <c r="A135" s="133"/>
      <c r="B135" s="134"/>
      <c r="C135" s="63"/>
      <c r="D135" s="63"/>
      <c r="E135" s="135"/>
      <c r="F135" s="42"/>
      <c r="G135" s="42"/>
      <c r="H135" s="42"/>
      <c r="I135" s="42"/>
      <c r="J135" s="42"/>
      <c r="K135" s="42"/>
      <c r="L135" s="42"/>
      <c r="M135" s="42"/>
      <c r="N135" s="42"/>
      <c r="O135" s="42"/>
      <c r="P135" s="42"/>
      <c r="Q135" s="42"/>
      <c r="R135" s="42"/>
      <c r="S135" s="42"/>
      <c r="T135" s="42"/>
      <c r="U135" s="42"/>
      <c r="V135" s="42"/>
      <c r="W135" s="42"/>
      <c r="X135" s="42"/>
      <c r="Y135" s="42"/>
      <c r="Z135" s="42"/>
    </row>
    <row r="136">
      <c r="A136" s="133"/>
      <c r="B136" s="134"/>
      <c r="C136" s="63"/>
      <c r="D136" s="63"/>
      <c r="E136" s="135"/>
      <c r="F136" s="42"/>
      <c r="G136" s="42"/>
      <c r="H136" s="42"/>
      <c r="I136" s="42"/>
      <c r="J136" s="42"/>
      <c r="K136" s="42"/>
      <c r="L136" s="42"/>
      <c r="M136" s="42"/>
      <c r="N136" s="42"/>
      <c r="O136" s="42"/>
      <c r="P136" s="42"/>
      <c r="Q136" s="42"/>
      <c r="R136" s="42"/>
      <c r="S136" s="42"/>
      <c r="T136" s="42"/>
      <c r="U136" s="42"/>
      <c r="V136" s="42"/>
      <c r="W136" s="42"/>
      <c r="X136" s="42"/>
      <c r="Y136" s="42"/>
      <c r="Z136" s="42"/>
    </row>
    <row r="137">
      <c r="A137" s="133"/>
      <c r="B137" s="134"/>
      <c r="C137" s="63"/>
      <c r="D137" s="63"/>
      <c r="E137" s="135"/>
      <c r="F137" s="42"/>
      <c r="G137" s="42"/>
      <c r="H137" s="42"/>
      <c r="I137" s="42"/>
      <c r="J137" s="42"/>
      <c r="K137" s="42"/>
      <c r="L137" s="42"/>
      <c r="M137" s="42"/>
      <c r="N137" s="42"/>
      <c r="O137" s="42"/>
      <c r="P137" s="42"/>
      <c r="Q137" s="42"/>
      <c r="R137" s="42"/>
      <c r="S137" s="42"/>
      <c r="T137" s="42"/>
      <c r="U137" s="42"/>
      <c r="V137" s="42"/>
      <c r="W137" s="42"/>
      <c r="X137" s="42"/>
      <c r="Y137" s="42"/>
      <c r="Z137" s="42"/>
    </row>
    <row r="138">
      <c r="A138" s="133"/>
      <c r="B138" s="134"/>
      <c r="C138" s="63"/>
      <c r="D138" s="63"/>
      <c r="E138" s="135"/>
      <c r="F138" s="42"/>
      <c r="G138" s="42"/>
      <c r="H138" s="42"/>
      <c r="I138" s="42"/>
      <c r="J138" s="42"/>
      <c r="K138" s="42"/>
      <c r="L138" s="42"/>
      <c r="M138" s="42"/>
      <c r="N138" s="42"/>
      <c r="O138" s="42"/>
      <c r="P138" s="42"/>
      <c r="Q138" s="42"/>
      <c r="R138" s="42"/>
      <c r="S138" s="42"/>
      <c r="T138" s="42"/>
      <c r="U138" s="42"/>
      <c r="V138" s="42"/>
      <c r="W138" s="42"/>
      <c r="X138" s="42"/>
      <c r="Y138" s="42"/>
      <c r="Z138" s="42"/>
    </row>
    <row r="139">
      <c r="A139" s="133"/>
      <c r="B139" s="134"/>
      <c r="C139" s="63"/>
      <c r="D139" s="63"/>
      <c r="E139" s="135"/>
      <c r="F139" s="42"/>
      <c r="G139" s="42"/>
      <c r="H139" s="42"/>
      <c r="I139" s="42"/>
      <c r="J139" s="42"/>
      <c r="K139" s="42"/>
      <c r="L139" s="42"/>
      <c r="M139" s="42"/>
      <c r="N139" s="42"/>
      <c r="O139" s="42"/>
      <c r="P139" s="42"/>
      <c r="Q139" s="42"/>
      <c r="R139" s="42"/>
      <c r="S139" s="42"/>
      <c r="T139" s="42"/>
      <c r="U139" s="42"/>
      <c r="V139" s="42"/>
      <c r="W139" s="42"/>
      <c r="X139" s="42"/>
      <c r="Y139" s="42"/>
      <c r="Z139" s="42"/>
    </row>
    <row r="140">
      <c r="A140" s="133"/>
      <c r="B140" s="134"/>
      <c r="C140" s="63"/>
      <c r="D140" s="63"/>
      <c r="E140" s="135"/>
      <c r="F140" s="42"/>
      <c r="G140" s="42"/>
      <c r="H140" s="42"/>
      <c r="I140" s="42"/>
      <c r="J140" s="42"/>
      <c r="K140" s="42"/>
      <c r="L140" s="42"/>
      <c r="M140" s="42"/>
      <c r="N140" s="42"/>
      <c r="O140" s="42"/>
      <c r="P140" s="42"/>
      <c r="Q140" s="42"/>
      <c r="R140" s="42"/>
      <c r="S140" s="42"/>
      <c r="T140" s="42"/>
      <c r="U140" s="42"/>
      <c r="V140" s="42"/>
      <c r="W140" s="42"/>
      <c r="X140" s="42"/>
      <c r="Y140" s="42"/>
      <c r="Z140" s="42"/>
    </row>
    <row r="141">
      <c r="A141" s="133"/>
      <c r="B141" s="134"/>
      <c r="C141" s="63"/>
      <c r="D141" s="63"/>
      <c r="E141" s="135"/>
      <c r="F141" s="42"/>
      <c r="G141" s="42"/>
      <c r="H141" s="42"/>
      <c r="I141" s="42"/>
      <c r="J141" s="42"/>
      <c r="K141" s="42"/>
      <c r="L141" s="42"/>
      <c r="M141" s="42"/>
      <c r="N141" s="42"/>
      <c r="O141" s="42"/>
      <c r="P141" s="42"/>
      <c r="Q141" s="42"/>
      <c r="R141" s="42"/>
      <c r="S141" s="42"/>
      <c r="T141" s="42"/>
      <c r="U141" s="42"/>
      <c r="V141" s="42"/>
      <c r="W141" s="42"/>
      <c r="X141" s="42"/>
      <c r="Y141" s="42"/>
      <c r="Z141" s="42"/>
    </row>
    <row r="142">
      <c r="A142" s="133"/>
      <c r="B142" s="134"/>
      <c r="C142" s="63"/>
      <c r="D142" s="63"/>
      <c r="E142" s="135"/>
      <c r="F142" s="42"/>
      <c r="G142" s="42"/>
      <c r="H142" s="42"/>
      <c r="I142" s="42"/>
      <c r="J142" s="42"/>
      <c r="K142" s="42"/>
      <c r="L142" s="42"/>
      <c r="M142" s="42"/>
      <c r="N142" s="42"/>
      <c r="O142" s="42"/>
      <c r="P142" s="42"/>
      <c r="Q142" s="42"/>
      <c r="R142" s="42"/>
      <c r="S142" s="42"/>
      <c r="T142" s="42"/>
      <c r="U142" s="42"/>
      <c r="V142" s="42"/>
      <c r="W142" s="42"/>
      <c r="X142" s="42"/>
      <c r="Y142" s="42"/>
      <c r="Z142" s="42"/>
    </row>
    <row r="143">
      <c r="A143" s="133"/>
      <c r="B143" s="134"/>
      <c r="C143" s="63"/>
      <c r="D143" s="63"/>
      <c r="E143" s="135"/>
      <c r="F143" s="42"/>
      <c r="G143" s="42"/>
      <c r="H143" s="42"/>
      <c r="I143" s="42"/>
      <c r="J143" s="42"/>
      <c r="K143" s="42"/>
      <c r="L143" s="42"/>
      <c r="M143" s="42"/>
      <c r="N143" s="42"/>
      <c r="O143" s="42"/>
      <c r="P143" s="42"/>
      <c r="Q143" s="42"/>
      <c r="R143" s="42"/>
      <c r="S143" s="42"/>
      <c r="T143" s="42"/>
      <c r="U143" s="42"/>
      <c r="V143" s="42"/>
      <c r="W143" s="42"/>
      <c r="X143" s="42"/>
      <c r="Y143" s="42"/>
      <c r="Z143" s="42"/>
    </row>
    <row r="144">
      <c r="A144" s="133"/>
      <c r="B144" s="134"/>
      <c r="C144" s="63"/>
      <c r="D144" s="63"/>
      <c r="E144" s="135"/>
      <c r="F144" s="42"/>
      <c r="G144" s="42"/>
      <c r="H144" s="42"/>
      <c r="I144" s="42"/>
      <c r="J144" s="42"/>
      <c r="K144" s="42"/>
      <c r="L144" s="42"/>
      <c r="M144" s="42"/>
      <c r="N144" s="42"/>
      <c r="O144" s="42"/>
      <c r="P144" s="42"/>
      <c r="Q144" s="42"/>
      <c r="R144" s="42"/>
      <c r="S144" s="42"/>
      <c r="T144" s="42"/>
      <c r="U144" s="42"/>
      <c r="V144" s="42"/>
      <c r="W144" s="42"/>
      <c r="X144" s="42"/>
      <c r="Y144" s="42"/>
      <c r="Z144" s="42"/>
    </row>
    <row r="145">
      <c r="A145" s="133"/>
      <c r="B145" s="134"/>
      <c r="C145" s="63"/>
      <c r="D145" s="63"/>
      <c r="E145" s="135"/>
      <c r="F145" s="42"/>
      <c r="G145" s="42"/>
      <c r="H145" s="42"/>
      <c r="I145" s="42"/>
      <c r="J145" s="42"/>
      <c r="K145" s="42"/>
      <c r="L145" s="42"/>
      <c r="M145" s="42"/>
      <c r="N145" s="42"/>
      <c r="O145" s="42"/>
      <c r="P145" s="42"/>
      <c r="Q145" s="42"/>
      <c r="R145" s="42"/>
      <c r="S145" s="42"/>
      <c r="T145" s="42"/>
      <c r="U145" s="42"/>
      <c r="V145" s="42"/>
      <c r="W145" s="42"/>
      <c r="X145" s="42"/>
      <c r="Y145" s="42"/>
      <c r="Z145" s="42"/>
    </row>
    <row r="146">
      <c r="A146" s="133"/>
      <c r="B146" s="134"/>
      <c r="C146" s="63"/>
      <c r="D146" s="63"/>
      <c r="E146" s="135"/>
      <c r="F146" s="42"/>
      <c r="G146" s="42"/>
      <c r="H146" s="42"/>
      <c r="I146" s="42"/>
      <c r="J146" s="42"/>
      <c r="K146" s="42"/>
      <c r="L146" s="42"/>
      <c r="M146" s="42"/>
      <c r="N146" s="42"/>
      <c r="O146" s="42"/>
      <c r="P146" s="42"/>
      <c r="Q146" s="42"/>
      <c r="R146" s="42"/>
      <c r="S146" s="42"/>
      <c r="T146" s="42"/>
      <c r="U146" s="42"/>
      <c r="V146" s="42"/>
      <c r="W146" s="42"/>
      <c r="X146" s="42"/>
      <c r="Y146" s="42"/>
      <c r="Z146" s="42"/>
    </row>
    <row r="147">
      <c r="A147" s="133"/>
      <c r="B147" s="134"/>
      <c r="C147" s="63"/>
      <c r="D147" s="63"/>
      <c r="E147" s="135"/>
      <c r="F147" s="42"/>
      <c r="G147" s="42"/>
      <c r="H147" s="42"/>
      <c r="I147" s="42"/>
      <c r="J147" s="42"/>
      <c r="K147" s="42"/>
      <c r="L147" s="42"/>
      <c r="M147" s="42"/>
      <c r="N147" s="42"/>
      <c r="O147" s="42"/>
      <c r="P147" s="42"/>
      <c r="Q147" s="42"/>
      <c r="R147" s="42"/>
      <c r="S147" s="42"/>
      <c r="T147" s="42"/>
      <c r="U147" s="42"/>
      <c r="V147" s="42"/>
      <c r="W147" s="42"/>
      <c r="X147" s="42"/>
      <c r="Y147" s="42"/>
      <c r="Z147" s="42"/>
    </row>
    <row r="148">
      <c r="A148" s="133"/>
      <c r="B148" s="134"/>
      <c r="C148" s="63"/>
      <c r="D148" s="63"/>
      <c r="E148" s="135"/>
      <c r="F148" s="42"/>
      <c r="G148" s="42"/>
      <c r="H148" s="42"/>
      <c r="I148" s="42"/>
      <c r="J148" s="42"/>
      <c r="K148" s="42"/>
      <c r="L148" s="42"/>
      <c r="M148" s="42"/>
      <c r="N148" s="42"/>
      <c r="O148" s="42"/>
      <c r="P148" s="42"/>
      <c r="Q148" s="42"/>
      <c r="R148" s="42"/>
      <c r="S148" s="42"/>
      <c r="T148" s="42"/>
      <c r="U148" s="42"/>
      <c r="V148" s="42"/>
      <c r="W148" s="42"/>
      <c r="X148" s="42"/>
      <c r="Y148" s="42"/>
      <c r="Z148" s="42"/>
    </row>
    <row r="149">
      <c r="A149" s="133"/>
      <c r="B149" s="134"/>
      <c r="C149" s="63"/>
      <c r="D149" s="63"/>
      <c r="E149" s="135"/>
      <c r="F149" s="42"/>
      <c r="G149" s="42"/>
      <c r="H149" s="42"/>
      <c r="I149" s="42"/>
      <c r="J149" s="42"/>
      <c r="K149" s="42"/>
      <c r="L149" s="42"/>
      <c r="M149" s="42"/>
      <c r="N149" s="42"/>
      <c r="O149" s="42"/>
      <c r="P149" s="42"/>
      <c r="Q149" s="42"/>
      <c r="R149" s="42"/>
      <c r="S149" s="42"/>
      <c r="T149" s="42"/>
      <c r="U149" s="42"/>
      <c r="V149" s="42"/>
      <c r="W149" s="42"/>
      <c r="X149" s="42"/>
      <c r="Y149" s="42"/>
      <c r="Z149" s="42"/>
    </row>
    <row r="150">
      <c r="A150" s="133"/>
      <c r="B150" s="134"/>
      <c r="C150" s="63"/>
      <c r="D150" s="63"/>
      <c r="E150" s="135"/>
      <c r="F150" s="42"/>
      <c r="G150" s="42"/>
      <c r="H150" s="42"/>
      <c r="I150" s="42"/>
      <c r="J150" s="42"/>
      <c r="K150" s="42"/>
      <c r="L150" s="42"/>
      <c r="M150" s="42"/>
      <c r="N150" s="42"/>
      <c r="O150" s="42"/>
      <c r="P150" s="42"/>
      <c r="Q150" s="42"/>
      <c r="R150" s="42"/>
      <c r="S150" s="42"/>
      <c r="T150" s="42"/>
      <c r="U150" s="42"/>
      <c r="V150" s="42"/>
      <c r="W150" s="42"/>
      <c r="X150" s="42"/>
      <c r="Y150" s="42"/>
      <c r="Z150" s="42"/>
    </row>
    <row r="151">
      <c r="A151" s="133"/>
      <c r="B151" s="134"/>
      <c r="C151" s="63"/>
      <c r="D151" s="63"/>
      <c r="E151" s="135"/>
      <c r="F151" s="42"/>
      <c r="G151" s="42"/>
      <c r="H151" s="42"/>
      <c r="I151" s="42"/>
      <c r="J151" s="42"/>
      <c r="K151" s="42"/>
      <c r="L151" s="42"/>
      <c r="M151" s="42"/>
      <c r="N151" s="42"/>
      <c r="O151" s="42"/>
      <c r="P151" s="42"/>
      <c r="Q151" s="42"/>
      <c r="R151" s="42"/>
      <c r="S151" s="42"/>
      <c r="T151" s="42"/>
      <c r="U151" s="42"/>
      <c r="V151" s="42"/>
      <c r="W151" s="42"/>
      <c r="X151" s="42"/>
      <c r="Y151" s="42"/>
      <c r="Z151" s="42"/>
    </row>
    <row r="152">
      <c r="A152" s="133"/>
      <c r="B152" s="134"/>
      <c r="C152" s="63"/>
      <c r="D152" s="63"/>
      <c r="E152" s="135"/>
      <c r="F152" s="42"/>
      <c r="G152" s="42"/>
      <c r="H152" s="42"/>
      <c r="I152" s="42"/>
      <c r="J152" s="42"/>
      <c r="K152" s="42"/>
      <c r="L152" s="42"/>
      <c r="M152" s="42"/>
      <c r="N152" s="42"/>
      <c r="O152" s="42"/>
      <c r="P152" s="42"/>
      <c r="Q152" s="42"/>
      <c r="R152" s="42"/>
      <c r="S152" s="42"/>
      <c r="T152" s="42"/>
      <c r="U152" s="42"/>
      <c r="V152" s="42"/>
      <c r="W152" s="42"/>
      <c r="X152" s="42"/>
      <c r="Y152" s="42"/>
      <c r="Z152" s="42"/>
    </row>
    <row r="153">
      <c r="A153" s="133"/>
      <c r="B153" s="134"/>
      <c r="C153" s="63"/>
      <c r="D153" s="63"/>
      <c r="E153" s="135"/>
      <c r="F153" s="42"/>
      <c r="G153" s="42"/>
      <c r="H153" s="42"/>
      <c r="I153" s="42"/>
      <c r="J153" s="42"/>
      <c r="K153" s="42"/>
      <c r="L153" s="42"/>
      <c r="M153" s="42"/>
      <c r="N153" s="42"/>
      <c r="O153" s="42"/>
      <c r="P153" s="42"/>
      <c r="Q153" s="42"/>
      <c r="R153" s="42"/>
      <c r="S153" s="42"/>
      <c r="T153" s="42"/>
      <c r="U153" s="42"/>
      <c r="V153" s="42"/>
      <c r="W153" s="42"/>
      <c r="X153" s="42"/>
      <c r="Y153" s="42"/>
      <c r="Z153" s="42"/>
    </row>
    <row r="154">
      <c r="A154" s="133"/>
      <c r="B154" s="134"/>
      <c r="C154" s="63"/>
      <c r="D154" s="63"/>
      <c r="E154" s="135"/>
      <c r="F154" s="42"/>
      <c r="G154" s="42"/>
      <c r="H154" s="42"/>
      <c r="I154" s="42"/>
      <c r="J154" s="42"/>
      <c r="K154" s="42"/>
      <c r="L154" s="42"/>
      <c r="M154" s="42"/>
      <c r="N154" s="42"/>
      <c r="O154" s="42"/>
      <c r="P154" s="42"/>
      <c r="Q154" s="42"/>
      <c r="R154" s="42"/>
      <c r="S154" s="42"/>
      <c r="T154" s="42"/>
      <c r="U154" s="42"/>
      <c r="V154" s="42"/>
      <c r="W154" s="42"/>
      <c r="X154" s="42"/>
      <c r="Y154" s="42"/>
      <c r="Z154" s="42"/>
    </row>
    <row r="155">
      <c r="A155" s="133"/>
      <c r="B155" s="134"/>
      <c r="C155" s="63"/>
      <c r="D155" s="63"/>
      <c r="E155" s="135"/>
      <c r="F155" s="42"/>
      <c r="G155" s="42"/>
      <c r="H155" s="42"/>
      <c r="I155" s="42"/>
      <c r="J155" s="42"/>
      <c r="K155" s="42"/>
      <c r="L155" s="42"/>
      <c r="M155" s="42"/>
      <c r="N155" s="42"/>
      <c r="O155" s="42"/>
      <c r="P155" s="42"/>
      <c r="Q155" s="42"/>
      <c r="R155" s="42"/>
      <c r="S155" s="42"/>
      <c r="T155" s="42"/>
      <c r="U155" s="42"/>
      <c r="V155" s="42"/>
      <c r="W155" s="42"/>
      <c r="X155" s="42"/>
      <c r="Y155" s="42"/>
      <c r="Z155" s="42"/>
    </row>
    <row r="156">
      <c r="A156" s="133"/>
      <c r="B156" s="134"/>
      <c r="C156" s="63"/>
      <c r="D156" s="63"/>
      <c r="E156" s="135"/>
      <c r="F156" s="42"/>
      <c r="G156" s="42"/>
      <c r="H156" s="42"/>
      <c r="I156" s="42"/>
      <c r="J156" s="42"/>
      <c r="K156" s="42"/>
      <c r="L156" s="42"/>
      <c r="M156" s="42"/>
      <c r="N156" s="42"/>
      <c r="O156" s="42"/>
      <c r="P156" s="42"/>
      <c r="Q156" s="42"/>
      <c r="R156" s="42"/>
      <c r="S156" s="42"/>
      <c r="T156" s="42"/>
      <c r="U156" s="42"/>
      <c r="V156" s="42"/>
      <c r="W156" s="42"/>
      <c r="X156" s="42"/>
      <c r="Y156" s="42"/>
      <c r="Z156" s="42"/>
    </row>
    <row r="157">
      <c r="A157" s="133"/>
      <c r="B157" s="134"/>
      <c r="C157" s="63"/>
      <c r="D157" s="63"/>
      <c r="E157" s="135"/>
      <c r="F157" s="42"/>
      <c r="G157" s="42"/>
      <c r="H157" s="42"/>
      <c r="I157" s="42"/>
      <c r="J157" s="42"/>
      <c r="K157" s="42"/>
      <c r="L157" s="42"/>
      <c r="M157" s="42"/>
      <c r="N157" s="42"/>
      <c r="O157" s="42"/>
      <c r="P157" s="42"/>
      <c r="Q157" s="42"/>
      <c r="R157" s="42"/>
      <c r="S157" s="42"/>
      <c r="T157" s="42"/>
      <c r="U157" s="42"/>
      <c r="V157" s="42"/>
      <c r="W157" s="42"/>
      <c r="X157" s="42"/>
      <c r="Y157" s="42"/>
      <c r="Z157" s="42"/>
    </row>
    <row r="158">
      <c r="A158" s="133"/>
      <c r="B158" s="134"/>
      <c r="C158" s="63"/>
      <c r="D158" s="63"/>
      <c r="E158" s="135"/>
      <c r="F158" s="42"/>
      <c r="G158" s="42"/>
      <c r="H158" s="42"/>
      <c r="I158" s="42"/>
      <c r="J158" s="42"/>
      <c r="K158" s="42"/>
      <c r="L158" s="42"/>
      <c r="M158" s="42"/>
      <c r="N158" s="42"/>
      <c r="O158" s="42"/>
      <c r="P158" s="42"/>
      <c r="Q158" s="42"/>
      <c r="R158" s="42"/>
      <c r="S158" s="42"/>
      <c r="T158" s="42"/>
      <c r="U158" s="42"/>
      <c r="V158" s="42"/>
      <c r="W158" s="42"/>
      <c r="X158" s="42"/>
      <c r="Y158" s="42"/>
      <c r="Z158" s="42"/>
    </row>
    <row r="159">
      <c r="A159" s="133"/>
      <c r="B159" s="134"/>
      <c r="C159" s="63"/>
      <c r="D159" s="63"/>
      <c r="E159" s="135"/>
      <c r="F159" s="42"/>
      <c r="G159" s="42"/>
      <c r="H159" s="42"/>
      <c r="I159" s="42"/>
      <c r="J159" s="42"/>
      <c r="K159" s="42"/>
      <c r="L159" s="42"/>
      <c r="M159" s="42"/>
      <c r="N159" s="42"/>
      <c r="O159" s="42"/>
      <c r="P159" s="42"/>
      <c r="Q159" s="42"/>
      <c r="R159" s="42"/>
      <c r="S159" s="42"/>
      <c r="T159" s="42"/>
      <c r="U159" s="42"/>
      <c r="V159" s="42"/>
      <c r="W159" s="42"/>
      <c r="X159" s="42"/>
      <c r="Y159" s="42"/>
      <c r="Z159" s="42"/>
    </row>
    <row r="160">
      <c r="A160" s="133"/>
      <c r="B160" s="134"/>
      <c r="C160" s="63"/>
      <c r="D160" s="63"/>
      <c r="E160" s="135"/>
      <c r="F160" s="42"/>
      <c r="G160" s="42"/>
      <c r="H160" s="42"/>
      <c r="I160" s="42"/>
      <c r="J160" s="42"/>
      <c r="K160" s="42"/>
      <c r="L160" s="42"/>
      <c r="M160" s="42"/>
      <c r="N160" s="42"/>
      <c r="O160" s="42"/>
      <c r="P160" s="42"/>
      <c r="Q160" s="42"/>
      <c r="R160" s="42"/>
      <c r="S160" s="42"/>
      <c r="T160" s="42"/>
      <c r="U160" s="42"/>
      <c r="V160" s="42"/>
      <c r="W160" s="42"/>
      <c r="X160" s="42"/>
      <c r="Y160" s="42"/>
      <c r="Z160" s="42"/>
    </row>
    <row r="161">
      <c r="A161" s="133"/>
      <c r="B161" s="134"/>
      <c r="C161" s="63"/>
      <c r="D161" s="63"/>
      <c r="E161" s="135"/>
      <c r="F161" s="42"/>
      <c r="G161" s="42"/>
      <c r="H161" s="42"/>
      <c r="I161" s="42"/>
      <c r="J161" s="42"/>
      <c r="K161" s="42"/>
      <c r="L161" s="42"/>
      <c r="M161" s="42"/>
      <c r="N161" s="42"/>
      <c r="O161" s="42"/>
      <c r="P161" s="42"/>
      <c r="Q161" s="42"/>
      <c r="R161" s="42"/>
      <c r="S161" s="42"/>
      <c r="T161" s="42"/>
      <c r="U161" s="42"/>
      <c r="V161" s="42"/>
      <c r="W161" s="42"/>
      <c r="X161" s="42"/>
      <c r="Y161" s="42"/>
      <c r="Z161" s="42"/>
    </row>
    <row r="162">
      <c r="A162" s="133"/>
      <c r="B162" s="134"/>
      <c r="C162" s="63"/>
      <c r="D162" s="63"/>
      <c r="E162" s="135"/>
      <c r="F162" s="42"/>
      <c r="G162" s="42"/>
      <c r="H162" s="42"/>
      <c r="I162" s="42"/>
      <c r="J162" s="42"/>
      <c r="K162" s="42"/>
      <c r="L162" s="42"/>
      <c r="M162" s="42"/>
      <c r="N162" s="42"/>
      <c r="O162" s="42"/>
      <c r="P162" s="42"/>
      <c r="Q162" s="42"/>
      <c r="R162" s="42"/>
      <c r="S162" s="42"/>
      <c r="T162" s="42"/>
      <c r="U162" s="42"/>
      <c r="V162" s="42"/>
      <c r="W162" s="42"/>
      <c r="X162" s="42"/>
      <c r="Y162" s="42"/>
      <c r="Z162" s="42"/>
    </row>
    <row r="163">
      <c r="A163" s="133"/>
      <c r="B163" s="134"/>
      <c r="C163" s="63"/>
      <c r="D163" s="63"/>
      <c r="E163" s="135"/>
      <c r="F163" s="42"/>
      <c r="G163" s="42"/>
      <c r="H163" s="42"/>
      <c r="I163" s="42"/>
      <c r="J163" s="42"/>
      <c r="K163" s="42"/>
      <c r="L163" s="42"/>
      <c r="M163" s="42"/>
      <c r="N163" s="42"/>
      <c r="O163" s="42"/>
      <c r="P163" s="42"/>
      <c r="Q163" s="42"/>
      <c r="R163" s="42"/>
      <c r="S163" s="42"/>
      <c r="T163" s="42"/>
      <c r="U163" s="42"/>
      <c r="V163" s="42"/>
      <c r="W163" s="42"/>
      <c r="X163" s="42"/>
      <c r="Y163" s="42"/>
      <c r="Z163" s="42"/>
    </row>
    <row r="164">
      <c r="A164" s="133"/>
      <c r="B164" s="134"/>
      <c r="C164" s="63"/>
      <c r="D164" s="63"/>
      <c r="E164" s="135"/>
      <c r="F164" s="42"/>
      <c r="G164" s="42"/>
      <c r="H164" s="42"/>
      <c r="I164" s="42"/>
      <c r="J164" s="42"/>
      <c r="K164" s="42"/>
      <c r="L164" s="42"/>
      <c r="M164" s="42"/>
      <c r="N164" s="42"/>
      <c r="O164" s="42"/>
      <c r="P164" s="42"/>
      <c r="Q164" s="42"/>
      <c r="R164" s="42"/>
      <c r="S164" s="42"/>
      <c r="T164" s="42"/>
      <c r="U164" s="42"/>
      <c r="V164" s="42"/>
      <c r="W164" s="42"/>
      <c r="X164" s="42"/>
      <c r="Y164" s="42"/>
      <c r="Z164" s="42"/>
    </row>
    <row r="165">
      <c r="A165" s="133"/>
      <c r="B165" s="134"/>
      <c r="C165" s="63"/>
      <c r="D165" s="63"/>
      <c r="E165" s="135"/>
      <c r="F165" s="42"/>
      <c r="G165" s="42"/>
      <c r="H165" s="42"/>
      <c r="I165" s="42"/>
      <c r="J165" s="42"/>
      <c r="K165" s="42"/>
      <c r="L165" s="42"/>
      <c r="M165" s="42"/>
      <c r="N165" s="42"/>
      <c r="O165" s="42"/>
      <c r="P165" s="42"/>
      <c r="Q165" s="42"/>
      <c r="R165" s="42"/>
      <c r="S165" s="42"/>
      <c r="T165" s="42"/>
      <c r="U165" s="42"/>
      <c r="V165" s="42"/>
      <c r="W165" s="42"/>
      <c r="X165" s="42"/>
      <c r="Y165" s="42"/>
      <c r="Z165" s="42"/>
    </row>
    <row r="166">
      <c r="A166" s="133"/>
      <c r="B166" s="134"/>
      <c r="C166" s="63"/>
      <c r="D166" s="63"/>
      <c r="E166" s="135"/>
      <c r="F166" s="42"/>
      <c r="G166" s="42"/>
      <c r="H166" s="42"/>
      <c r="I166" s="42"/>
      <c r="J166" s="42"/>
      <c r="K166" s="42"/>
      <c r="L166" s="42"/>
      <c r="M166" s="42"/>
      <c r="N166" s="42"/>
      <c r="O166" s="42"/>
      <c r="P166" s="42"/>
      <c r="Q166" s="42"/>
      <c r="R166" s="42"/>
      <c r="S166" s="42"/>
      <c r="T166" s="42"/>
      <c r="U166" s="42"/>
      <c r="V166" s="42"/>
      <c r="W166" s="42"/>
      <c r="X166" s="42"/>
      <c r="Y166" s="42"/>
      <c r="Z166" s="42"/>
    </row>
    <row r="167">
      <c r="A167" s="133"/>
      <c r="B167" s="134"/>
      <c r="C167" s="63"/>
      <c r="D167" s="63"/>
      <c r="E167" s="135"/>
      <c r="F167" s="42"/>
      <c r="G167" s="42"/>
      <c r="H167" s="42"/>
      <c r="I167" s="42"/>
      <c r="J167" s="42"/>
      <c r="K167" s="42"/>
      <c r="L167" s="42"/>
      <c r="M167" s="42"/>
      <c r="N167" s="42"/>
      <c r="O167" s="42"/>
      <c r="P167" s="42"/>
      <c r="Q167" s="42"/>
      <c r="R167" s="42"/>
      <c r="S167" s="42"/>
      <c r="T167" s="42"/>
      <c r="U167" s="42"/>
      <c r="V167" s="42"/>
      <c r="W167" s="42"/>
      <c r="X167" s="42"/>
      <c r="Y167" s="42"/>
      <c r="Z167" s="42"/>
    </row>
    <row r="168">
      <c r="A168" s="133"/>
      <c r="B168" s="134"/>
      <c r="C168" s="63"/>
      <c r="D168" s="63"/>
      <c r="E168" s="135"/>
      <c r="F168" s="42"/>
      <c r="G168" s="42"/>
      <c r="H168" s="42"/>
      <c r="I168" s="42"/>
      <c r="J168" s="42"/>
      <c r="K168" s="42"/>
      <c r="L168" s="42"/>
      <c r="M168" s="42"/>
      <c r="N168" s="42"/>
      <c r="O168" s="42"/>
      <c r="P168" s="42"/>
      <c r="Q168" s="42"/>
      <c r="R168" s="42"/>
      <c r="S168" s="42"/>
      <c r="T168" s="42"/>
      <c r="U168" s="42"/>
      <c r="V168" s="42"/>
      <c r="W168" s="42"/>
      <c r="X168" s="42"/>
      <c r="Y168" s="42"/>
      <c r="Z168" s="42"/>
    </row>
    <row r="169">
      <c r="A169" s="133"/>
      <c r="B169" s="134"/>
      <c r="C169" s="63"/>
      <c r="D169" s="63"/>
      <c r="E169" s="135"/>
      <c r="F169" s="42"/>
      <c r="G169" s="42"/>
      <c r="H169" s="42"/>
      <c r="I169" s="42"/>
      <c r="J169" s="42"/>
      <c r="K169" s="42"/>
      <c r="L169" s="42"/>
      <c r="M169" s="42"/>
      <c r="N169" s="42"/>
      <c r="O169" s="42"/>
      <c r="P169" s="42"/>
      <c r="Q169" s="42"/>
      <c r="R169" s="42"/>
      <c r="S169" s="42"/>
      <c r="T169" s="42"/>
      <c r="U169" s="42"/>
      <c r="V169" s="42"/>
      <c r="W169" s="42"/>
      <c r="X169" s="42"/>
      <c r="Y169" s="42"/>
      <c r="Z169" s="42"/>
    </row>
    <row r="170">
      <c r="A170" s="133"/>
      <c r="B170" s="134"/>
      <c r="C170" s="63"/>
      <c r="D170" s="63"/>
      <c r="E170" s="135"/>
      <c r="F170" s="42"/>
      <c r="G170" s="42"/>
      <c r="H170" s="42"/>
      <c r="I170" s="42"/>
      <c r="J170" s="42"/>
      <c r="K170" s="42"/>
      <c r="L170" s="42"/>
      <c r="M170" s="42"/>
      <c r="N170" s="42"/>
      <c r="O170" s="42"/>
      <c r="P170" s="42"/>
      <c r="Q170" s="42"/>
      <c r="R170" s="42"/>
      <c r="S170" s="42"/>
      <c r="T170" s="42"/>
      <c r="U170" s="42"/>
      <c r="V170" s="42"/>
      <c r="W170" s="42"/>
      <c r="X170" s="42"/>
      <c r="Y170" s="42"/>
      <c r="Z170" s="42"/>
    </row>
    <row r="171">
      <c r="A171" s="133"/>
      <c r="B171" s="134"/>
      <c r="C171" s="63"/>
      <c r="D171" s="63"/>
      <c r="E171" s="135"/>
      <c r="F171" s="42"/>
      <c r="G171" s="42"/>
      <c r="H171" s="42"/>
      <c r="I171" s="42"/>
      <c r="J171" s="42"/>
      <c r="K171" s="42"/>
      <c r="L171" s="42"/>
      <c r="M171" s="42"/>
      <c r="N171" s="42"/>
      <c r="O171" s="42"/>
      <c r="P171" s="42"/>
      <c r="Q171" s="42"/>
      <c r="R171" s="42"/>
      <c r="S171" s="42"/>
      <c r="T171" s="42"/>
      <c r="U171" s="42"/>
      <c r="V171" s="42"/>
      <c r="W171" s="42"/>
      <c r="X171" s="42"/>
      <c r="Y171" s="42"/>
      <c r="Z171" s="42"/>
    </row>
    <row r="172">
      <c r="A172" s="133"/>
      <c r="B172" s="134"/>
      <c r="C172" s="63"/>
      <c r="D172" s="63"/>
      <c r="E172" s="135"/>
      <c r="F172" s="42"/>
      <c r="G172" s="42"/>
      <c r="H172" s="42"/>
      <c r="I172" s="42"/>
      <c r="J172" s="42"/>
      <c r="K172" s="42"/>
      <c r="L172" s="42"/>
      <c r="M172" s="42"/>
      <c r="N172" s="42"/>
      <c r="O172" s="42"/>
      <c r="P172" s="42"/>
      <c r="Q172" s="42"/>
      <c r="R172" s="42"/>
      <c r="S172" s="42"/>
      <c r="T172" s="42"/>
      <c r="U172" s="42"/>
      <c r="V172" s="42"/>
      <c r="W172" s="42"/>
      <c r="X172" s="42"/>
      <c r="Y172" s="42"/>
      <c r="Z172" s="42"/>
    </row>
    <row r="173">
      <c r="A173" s="133"/>
      <c r="B173" s="134"/>
      <c r="C173" s="63"/>
      <c r="D173" s="63"/>
      <c r="E173" s="135"/>
      <c r="F173" s="42"/>
      <c r="G173" s="42"/>
      <c r="H173" s="42"/>
      <c r="I173" s="42"/>
      <c r="J173" s="42"/>
      <c r="K173" s="42"/>
      <c r="L173" s="42"/>
      <c r="M173" s="42"/>
      <c r="N173" s="42"/>
      <c r="O173" s="42"/>
      <c r="P173" s="42"/>
      <c r="Q173" s="42"/>
      <c r="R173" s="42"/>
      <c r="S173" s="42"/>
      <c r="T173" s="42"/>
      <c r="U173" s="42"/>
      <c r="V173" s="42"/>
      <c r="W173" s="42"/>
      <c r="X173" s="42"/>
      <c r="Y173" s="42"/>
      <c r="Z173" s="42"/>
    </row>
    <row r="174">
      <c r="A174" s="133"/>
      <c r="B174" s="134"/>
      <c r="C174" s="63"/>
      <c r="D174" s="63"/>
      <c r="E174" s="135"/>
      <c r="F174" s="42"/>
      <c r="G174" s="42"/>
      <c r="H174" s="42"/>
      <c r="I174" s="42"/>
      <c r="J174" s="42"/>
      <c r="K174" s="42"/>
      <c r="L174" s="42"/>
      <c r="M174" s="42"/>
      <c r="N174" s="42"/>
      <c r="O174" s="42"/>
      <c r="P174" s="42"/>
      <c r="Q174" s="42"/>
      <c r="R174" s="42"/>
      <c r="S174" s="42"/>
      <c r="T174" s="42"/>
      <c r="U174" s="42"/>
      <c r="V174" s="42"/>
      <c r="W174" s="42"/>
      <c r="X174" s="42"/>
      <c r="Y174" s="42"/>
      <c r="Z174" s="42"/>
    </row>
    <row r="175">
      <c r="A175" s="133"/>
      <c r="B175" s="134"/>
      <c r="C175" s="63"/>
      <c r="D175" s="63"/>
      <c r="E175" s="135"/>
      <c r="F175" s="42"/>
      <c r="G175" s="42"/>
      <c r="H175" s="42"/>
      <c r="I175" s="42"/>
      <c r="J175" s="42"/>
      <c r="K175" s="42"/>
      <c r="L175" s="42"/>
      <c r="M175" s="42"/>
      <c r="N175" s="42"/>
      <c r="O175" s="42"/>
      <c r="P175" s="42"/>
      <c r="Q175" s="42"/>
      <c r="R175" s="42"/>
      <c r="S175" s="42"/>
      <c r="T175" s="42"/>
      <c r="U175" s="42"/>
      <c r="V175" s="42"/>
      <c r="W175" s="42"/>
      <c r="X175" s="42"/>
      <c r="Y175" s="42"/>
      <c r="Z175" s="42"/>
    </row>
    <row r="176">
      <c r="A176" s="133"/>
      <c r="B176" s="134"/>
      <c r="C176" s="63"/>
      <c r="D176" s="63"/>
      <c r="E176" s="135"/>
      <c r="F176" s="42"/>
      <c r="G176" s="42"/>
      <c r="H176" s="42"/>
      <c r="I176" s="42"/>
      <c r="J176" s="42"/>
      <c r="K176" s="42"/>
      <c r="L176" s="42"/>
      <c r="M176" s="42"/>
      <c r="N176" s="42"/>
      <c r="O176" s="42"/>
      <c r="P176" s="42"/>
      <c r="Q176" s="42"/>
      <c r="R176" s="42"/>
      <c r="S176" s="42"/>
      <c r="T176" s="42"/>
      <c r="U176" s="42"/>
      <c r="V176" s="42"/>
      <c r="W176" s="42"/>
      <c r="X176" s="42"/>
      <c r="Y176" s="42"/>
      <c r="Z176" s="42"/>
    </row>
    <row r="177">
      <c r="A177" s="133"/>
      <c r="B177" s="134"/>
      <c r="C177" s="63"/>
      <c r="D177" s="63"/>
      <c r="E177" s="135"/>
      <c r="F177" s="42"/>
      <c r="G177" s="42"/>
      <c r="H177" s="42"/>
      <c r="I177" s="42"/>
      <c r="J177" s="42"/>
      <c r="K177" s="42"/>
      <c r="L177" s="42"/>
      <c r="M177" s="42"/>
      <c r="N177" s="42"/>
      <c r="O177" s="42"/>
      <c r="P177" s="42"/>
      <c r="Q177" s="42"/>
      <c r="R177" s="42"/>
      <c r="S177" s="42"/>
      <c r="T177" s="42"/>
      <c r="U177" s="42"/>
      <c r="V177" s="42"/>
      <c r="W177" s="42"/>
      <c r="X177" s="42"/>
      <c r="Y177" s="42"/>
      <c r="Z177" s="42"/>
    </row>
    <row r="178">
      <c r="A178" s="133"/>
      <c r="B178" s="134"/>
      <c r="C178" s="63"/>
      <c r="D178" s="63"/>
      <c r="E178" s="135"/>
      <c r="F178" s="42"/>
      <c r="G178" s="42"/>
      <c r="H178" s="42"/>
      <c r="I178" s="42"/>
      <c r="J178" s="42"/>
      <c r="K178" s="42"/>
      <c r="L178" s="42"/>
      <c r="M178" s="42"/>
      <c r="N178" s="42"/>
      <c r="O178" s="42"/>
      <c r="P178" s="42"/>
      <c r="Q178" s="42"/>
      <c r="R178" s="42"/>
      <c r="S178" s="42"/>
      <c r="T178" s="42"/>
      <c r="U178" s="42"/>
      <c r="V178" s="42"/>
      <c r="W178" s="42"/>
      <c r="X178" s="42"/>
      <c r="Y178" s="42"/>
      <c r="Z178" s="42"/>
    </row>
    <row r="179">
      <c r="A179" s="133"/>
      <c r="B179" s="134"/>
      <c r="C179" s="63"/>
      <c r="D179" s="63"/>
      <c r="E179" s="135"/>
      <c r="F179" s="42"/>
      <c r="G179" s="42"/>
      <c r="H179" s="42"/>
      <c r="I179" s="42"/>
      <c r="J179" s="42"/>
      <c r="K179" s="42"/>
      <c r="L179" s="42"/>
      <c r="M179" s="42"/>
      <c r="N179" s="42"/>
      <c r="O179" s="42"/>
      <c r="P179" s="42"/>
      <c r="Q179" s="42"/>
      <c r="R179" s="42"/>
      <c r="S179" s="42"/>
      <c r="T179" s="42"/>
      <c r="U179" s="42"/>
      <c r="V179" s="42"/>
      <c r="W179" s="42"/>
      <c r="X179" s="42"/>
      <c r="Y179" s="42"/>
      <c r="Z179" s="42"/>
    </row>
    <row r="180">
      <c r="A180" s="133"/>
      <c r="B180" s="134"/>
      <c r="C180" s="63"/>
      <c r="D180" s="63"/>
      <c r="E180" s="135"/>
      <c r="F180" s="42"/>
      <c r="G180" s="42"/>
      <c r="H180" s="42"/>
      <c r="I180" s="42"/>
      <c r="J180" s="42"/>
      <c r="K180" s="42"/>
      <c r="L180" s="42"/>
      <c r="M180" s="42"/>
      <c r="N180" s="42"/>
      <c r="O180" s="42"/>
      <c r="P180" s="42"/>
      <c r="Q180" s="42"/>
      <c r="R180" s="42"/>
      <c r="S180" s="42"/>
      <c r="T180" s="42"/>
      <c r="U180" s="42"/>
      <c r="V180" s="42"/>
      <c r="W180" s="42"/>
      <c r="X180" s="42"/>
      <c r="Y180" s="42"/>
      <c r="Z180" s="42"/>
    </row>
    <row r="181">
      <c r="A181" s="133"/>
      <c r="B181" s="134"/>
      <c r="C181" s="63"/>
      <c r="D181" s="63"/>
      <c r="E181" s="135"/>
      <c r="F181" s="42"/>
      <c r="G181" s="42"/>
      <c r="H181" s="42"/>
      <c r="I181" s="42"/>
      <c r="J181" s="42"/>
      <c r="K181" s="42"/>
      <c r="L181" s="42"/>
      <c r="M181" s="42"/>
      <c r="N181" s="42"/>
      <c r="O181" s="42"/>
      <c r="P181" s="42"/>
      <c r="Q181" s="42"/>
      <c r="R181" s="42"/>
      <c r="S181" s="42"/>
      <c r="T181" s="42"/>
      <c r="U181" s="42"/>
      <c r="V181" s="42"/>
      <c r="W181" s="42"/>
      <c r="X181" s="42"/>
      <c r="Y181" s="42"/>
      <c r="Z181" s="42"/>
    </row>
    <row r="182">
      <c r="A182" s="133"/>
      <c r="B182" s="134"/>
      <c r="C182" s="63"/>
      <c r="D182" s="63"/>
      <c r="E182" s="135"/>
      <c r="F182" s="42"/>
      <c r="G182" s="42"/>
      <c r="H182" s="42"/>
      <c r="I182" s="42"/>
      <c r="J182" s="42"/>
      <c r="K182" s="42"/>
      <c r="L182" s="42"/>
      <c r="M182" s="42"/>
      <c r="N182" s="42"/>
      <c r="O182" s="42"/>
      <c r="P182" s="42"/>
      <c r="Q182" s="42"/>
      <c r="R182" s="42"/>
      <c r="S182" s="42"/>
      <c r="T182" s="42"/>
      <c r="U182" s="42"/>
      <c r="V182" s="42"/>
      <c r="W182" s="42"/>
      <c r="X182" s="42"/>
      <c r="Y182" s="42"/>
      <c r="Z182" s="42"/>
    </row>
    <row r="183">
      <c r="A183" s="133"/>
      <c r="B183" s="134"/>
      <c r="C183" s="63"/>
      <c r="D183" s="63"/>
      <c r="E183" s="135"/>
      <c r="F183" s="42"/>
      <c r="G183" s="42"/>
      <c r="H183" s="42"/>
      <c r="I183" s="42"/>
      <c r="J183" s="42"/>
      <c r="K183" s="42"/>
      <c r="L183" s="42"/>
      <c r="M183" s="42"/>
      <c r="N183" s="42"/>
      <c r="O183" s="42"/>
      <c r="P183" s="42"/>
      <c r="Q183" s="42"/>
      <c r="R183" s="42"/>
      <c r="S183" s="42"/>
      <c r="T183" s="42"/>
      <c r="U183" s="42"/>
      <c r="V183" s="42"/>
      <c r="W183" s="42"/>
      <c r="X183" s="42"/>
      <c r="Y183" s="42"/>
      <c r="Z183" s="42"/>
    </row>
    <row r="184">
      <c r="A184" s="133"/>
      <c r="B184" s="134"/>
      <c r="C184" s="63"/>
      <c r="D184" s="63"/>
      <c r="E184" s="135"/>
      <c r="F184" s="42"/>
      <c r="G184" s="42"/>
      <c r="H184" s="42"/>
      <c r="I184" s="42"/>
      <c r="J184" s="42"/>
      <c r="K184" s="42"/>
      <c r="L184" s="42"/>
      <c r="M184" s="42"/>
      <c r="N184" s="42"/>
      <c r="O184" s="42"/>
      <c r="P184" s="42"/>
      <c r="Q184" s="42"/>
      <c r="R184" s="42"/>
      <c r="S184" s="42"/>
      <c r="T184" s="42"/>
      <c r="U184" s="42"/>
      <c r="V184" s="42"/>
      <c r="W184" s="42"/>
      <c r="X184" s="42"/>
      <c r="Y184" s="42"/>
      <c r="Z184" s="42"/>
    </row>
    <row r="185">
      <c r="A185" s="133"/>
      <c r="B185" s="134"/>
      <c r="C185" s="63"/>
      <c r="D185" s="63"/>
      <c r="E185" s="135"/>
      <c r="F185" s="42"/>
      <c r="G185" s="42"/>
      <c r="H185" s="42"/>
      <c r="I185" s="42"/>
      <c r="J185" s="42"/>
      <c r="K185" s="42"/>
      <c r="L185" s="42"/>
      <c r="M185" s="42"/>
      <c r="N185" s="42"/>
      <c r="O185" s="42"/>
      <c r="P185" s="42"/>
      <c r="Q185" s="42"/>
      <c r="R185" s="42"/>
      <c r="S185" s="42"/>
      <c r="T185" s="42"/>
      <c r="U185" s="42"/>
      <c r="V185" s="42"/>
      <c r="W185" s="42"/>
      <c r="X185" s="42"/>
      <c r="Y185" s="42"/>
      <c r="Z185" s="42"/>
    </row>
    <row r="186">
      <c r="A186" s="133"/>
      <c r="B186" s="134"/>
      <c r="C186" s="63"/>
      <c r="D186" s="63"/>
      <c r="E186" s="135"/>
      <c r="F186" s="42"/>
      <c r="G186" s="42"/>
      <c r="H186" s="42"/>
      <c r="I186" s="42"/>
      <c r="J186" s="42"/>
      <c r="K186" s="42"/>
      <c r="L186" s="42"/>
      <c r="M186" s="42"/>
      <c r="N186" s="42"/>
      <c r="O186" s="42"/>
      <c r="P186" s="42"/>
      <c r="Q186" s="42"/>
      <c r="R186" s="42"/>
      <c r="S186" s="42"/>
      <c r="T186" s="42"/>
      <c r="U186" s="42"/>
      <c r="V186" s="42"/>
      <c r="W186" s="42"/>
      <c r="X186" s="42"/>
      <c r="Y186" s="42"/>
      <c r="Z186" s="42"/>
    </row>
    <row r="187">
      <c r="A187" s="133"/>
      <c r="B187" s="134"/>
      <c r="C187" s="63"/>
      <c r="D187" s="63"/>
      <c r="E187" s="135"/>
      <c r="F187" s="42"/>
      <c r="G187" s="42"/>
      <c r="H187" s="42"/>
      <c r="I187" s="42"/>
      <c r="J187" s="42"/>
      <c r="K187" s="42"/>
      <c r="L187" s="42"/>
      <c r="M187" s="42"/>
      <c r="N187" s="42"/>
      <c r="O187" s="42"/>
      <c r="P187" s="42"/>
      <c r="Q187" s="42"/>
      <c r="R187" s="42"/>
      <c r="S187" s="42"/>
      <c r="T187" s="42"/>
      <c r="U187" s="42"/>
      <c r="V187" s="42"/>
      <c r="W187" s="42"/>
      <c r="X187" s="42"/>
      <c r="Y187" s="42"/>
      <c r="Z187" s="42"/>
    </row>
    <row r="188">
      <c r="A188" s="133"/>
      <c r="B188" s="134"/>
      <c r="C188" s="63"/>
      <c r="D188" s="63"/>
      <c r="E188" s="135"/>
      <c r="F188" s="42"/>
      <c r="G188" s="42"/>
      <c r="H188" s="42"/>
      <c r="I188" s="42"/>
      <c r="J188" s="42"/>
      <c r="K188" s="42"/>
      <c r="L188" s="42"/>
      <c r="M188" s="42"/>
      <c r="N188" s="42"/>
      <c r="O188" s="42"/>
      <c r="P188" s="42"/>
      <c r="Q188" s="42"/>
      <c r="R188" s="42"/>
      <c r="S188" s="42"/>
      <c r="T188" s="42"/>
      <c r="U188" s="42"/>
      <c r="V188" s="42"/>
      <c r="W188" s="42"/>
      <c r="X188" s="42"/>
      <c r="Y188" s="42"/>
      <c r="Z188" s="42"/>
    </row>
    <row r="189">
      <c r="A189" s="133"/>
      <c r="B189" s="134"/>
      <c r="C189" s="63"/>
      <c r="D189" s="63"/>
      <c r="E189" s="135"/>
      <c r="F189" s="42"/>
      <c r="G189" s="42"/>
      <c r="H189" s="42"/>
      <c r="I189" s="42"/>
      <c r="J189" s="42"/>
      <c r="K189" s="42"/>
      <c r="L189" s="42"/>
      <c r="M189" s="42"/>
      <c r="N189" s="42"/>
      <c r="O189" s="42"/>
      <c r="P189" s="42"/>
      <c r="Q189" s="42"/>
      <c r="R189" s="42"/>
      <c r="S189" s="42"/>
      <c r="T189" s="42"/>
      <c r="U189" s="42"/>
      <c r="V189" s="42"/>
      <c r="W189" s="42"/>
      <c r="X189" s="42"/>
      <c r="Y189" s="42"/>
      <c r="Z189" s="42"/>
    </row>
    <row r="190">
      <c r="A190" s="133"/>
      <c r="B190" s="134"/>
      <c r="C190" s="63"/>
      <c r="D190" s="63"/>
      <c r="E190" s="135"/>
      <c r="F190" s="42"/>
      <c r="G190" s="42"/>
      <c r="H190" s="42"/>
      <c r="I190" s="42"/>
      <c r="J190" s="42"/>
      <c r="K190" s="42"/>
      <c r="L190" s="42"/>
      <c r="M190" s="42"/>
      <c r="N190" s="42"/>
      <c r="O190" s="42"/>
      <c r="P190" s="42"/>
      <c r="Q190" s="42"/>
      <c r="R190" s="42"/>
      <c r="S190" s="42"/>
      <c r="T190" s="42"/>
      <c r="U190" s="42"/>
      <c r="V190" s="42"/>
      <c r="W190" s="42"/>
      <c r="X190" s="42"/>
      <c r="Y190" s="42"/>
      <c r="Z190" s="42"/>
    </row>
    <row r="191">
      <c r="A191" s="133"/>
      <c r="B191" s="134"/>
      <c r="C191" s="63"/>
      <c r="D191" s="63"/>
      <c r="E191" s="135"/>
      <c r="F191" s="42"/>
      <c r="G191" s="42"/>
      <c r="H191" s="42"/>
      <c r="I191" s="42"/>
      <c r="J191" s="42"/>
      <c r="K191" s="42"/>
      <c r="L191" s="42"/>
      <c r="M191" s="42"/>
      <c r="N191" s="42"/>
      <c r="O191" s="42"/>
      <c r="P191" s="42"/>
      <c r="Q191" s="42"/>
      <c r="R191" s="42"/>
      <c r="S191" s="42"/>
      <c r="T191" s="42"/>
      <c r="U191" s="42"/>
      <c r="V191" s="42"/>
      <c r="W191" s="42"/>
      <c r="X191" s="42"/>
      <c r="Y191" s="42"/>
      <c r="Z191" s="42"/>
    </row>
    <row r="192">
      <c r="A192" s="133"/>
      <c r="B192" s="134"/>
      <c r="C192" s="63"/>
      <c r="D192" s="63"/>
      <c r="E192" s="135"/>
      <c r="F192" s="42"/>
      <c r="G192" s="42"/>
      <c r="H192" s="42"/>
      <c r="I192" s="42"/>
      <c r="J192" s="42"/>
      <c r="K192" s="42"/>
      <c r="L192" s="42"/>
      <c r="M192" s="42"/>
      <c r="N192" s="42"/>
      <c r="O192" s="42"/>
      <c r="P192" s="42"/>
      <c r="Q192" s="42"/>
      <c r="R192" s="42"/>
      <c r="S192" s="42"/>
      <c r="T192" s="42"/>
      <c r="U192" s="42"/>
      <c r="V192" s="42"/>
      <c r="W192" s="42"/>
      <c r="X192" s="42"/>
      <c r="Y192" s="42"/>
      <c r="Z192" s="42"/>
    </row>
    <row r="193">
      <c r="A193" s="133"/>
      <c r="B193" s="134"/>
      <c r="C193" s="63"/>
      <c r="D193" s="63"/>
      <c r="E193" s="135"/>
      <c r="F193" s="42"/>
      <c r="G193" s="42"/>
      <c r="H193" s="42"/>
      <c r="I193" s="42"/>
      <c r="J193" s="42"/>
      <c r="K193" s="42"/>
      <c r="L193" s="42"/>
      <c r="M193" s="42"/>
      <c r="N193" s="42"/>
      <c r="O193" s="42"/>
      <c r="P193" s="42"/>
      <c r="Q193" s="42"/>
      <c r="R193" s="42"/>
      <c r="S193" s="42"/>
      <c r="T193" s="42"/>
      <c r="U193" s="42"/>
      <c r="V193" s="42"/>
      <c r="W193" s="42"/>
      <c r="X193" s="42"/>
      <c r="Y193" s="42"/>
      <c r="Z193" s="42"/>
    </row>
    <row r="194">
      <c r="A194" s="133"/>
      <c r="B194" s="134"/>
      <c r="C194" s="63"/>
      <c r="D194" s="63"/>
      <c r="E194" s="135"/>
      <c r="F194" s="42"/>
      <c r="G194" s="42"/>
      <c r="H194" s="42"/>
      <c r="I194" s="42"/>
      <c r="J194" s="42"/>
      <c r="K194" s="42"/>
      <c r="L194" s="42"/>
      <c r="M194" s="42"/>
      <c r="N194" s="42"/>
      <c r="O194" s="42"/>
      <c r="P194" s="42"/>
      <c r="Q194" s="42"/>
      <c r="R194" s="42"/>
      <c r="S194" s="42"/>
      <c r="T194" s="42"/>
      <c r="U194" s="42"/>
      <c r="V194" s="42"/>
      <c r="W194" s="42"/>
      <c r="X194" s="42"/>
      <c r="Y194" s="42"/>
      <c r="Z194" s="42"/>
    </row>
    <row r="195">
      <c r="A195" s="133"/>
      <c r="B195" s="134"/>
      <c r="C195" s="63"/>
      <c r="D195" s="63"/>
      <c r="E195" s="135"/>
      <c r="F195" s="42"/>
      <c r="G195" s="42"/>
      <c r="H195" s="42"/>
      <c r="I195" s="42"/>
      <c r="J195" s="42"/>
      <c r="K195" s="42"/>
      <c r="L195" s="42"/>
      <c r="M195" s="42"/>
      <c r="N195" s="42"/>
      <c r="O195" s="42"/>
      <c r="P195" s="42"/>
      <c r="Q195" s="42"/>
      <c r="R195" s="42"/>
      <c r="S195" s="42"/>
      <c r="T195" s="42"/>
      <c r="U195" s="42"/>
      <c r="V195" s="42"/>
      <c r="W195" s="42"/>
      <c r="X195" s="42"/>
      <c r="Y195" s="42"/>
      <c r="Z195" s="42"/>
    </row>
    <row r="196">
      <c r="A196" s="133"/>
      <c r="B196" s="134"/>
      <c r="C196" s="63"/>
      <c r="D196" s="63"/>
      <c r="E196" s="135"/>
      <c r="F196" s="42"/>
      <c r="G196" s="42"/>
      <c r="H196" s="42"/>
      <c r="I196" s="42"/>
      <c r="J196" s="42"/>
      <c r="K196" s="42"/>
      <c r="L196" s="42"/>
      <c r="M196" s="42"/>
      <c r="N196" s="42"/>
      <c r="O196" s="42"/>
      <c r="P196" s="42"/>
      <c r="Q196" s="42"/>
      <c r="R196" s="42"/>
      <c r="S196" s="42"/>
      <c r="T196" s="42"/>
      <c r="U196" s="42"/>
      <c r="V196" s="42"/>
      <c r="W196" s="42"/>
      <c r="X196" s="42"/>
      <c r="Y196" s="42"/>
      <c r="Z196" s="42"/>
    </row>
    <row r="197">
      <c r="A197" s="133"/>
      <c r="B197" s="134"/>
      <c r="C197" s="63"/>
      <c r="D197" s="63"/>
      <c r="E197" s="135"/>
      <c r="F197" s="42"/>
      <c r="G197" s="42"/>
      <c r="H197" s="42"/>
      <c r="I197" s="42"/>
      <c r="J197" s="42"/>
      <c r="K197" s="42"/>
      <c r="L197" s="42"/>
      <c r="M197" s="42"/>
      <c r="N197" s="42"/>
      <c r="O197" s="42"/>
      <c r="P197" s="42"/>
      <c r="Q197" s="42"/>
      <c r="R197" s="42"/>
      <c r="S197" s="42"/>
      <c r="T197" s="42"/>
      <c r="U197" s="42"/>
      <c r="V197" s="42"/>
      <c r="W197" s="42"/>
      <c r="X197" s="42"/>
      <c r="Y197" s="42"/>
      <c r="Z197" s="42"/>
    </row>
    <row r="198">
      <c r="A198" s="133"/>
      <c r="B198" s="134"/>
      <c r="C198" s="63"/>
      <c r="D198" s="63"/>
      <c r="E198" s="135"/>
      <c r="F198" s="42"/>
      <c r="G198" s="42"/>
      <c r="H198" s="42"/>
      <c r="I198" s="42"/>
      <c r="J198" s="42"/>
      <c r="K198" s="42"/>
      <c r="L198" s="42"/>
      <c r="M198" s="42"/>
      <c r="N198" s="42"/>
      <c r="O198" s="42"/>
      <c r="P198" s="42"/>
      <c r="Q198" s="42"/>
      <c r="R198" s="42"/>
      <c r="S198" s="42"/>
      <c r="T198" s="42"/>
      <c r="U198" s="42"/>
      <c r="V198" s="42"/>
      <c r="W198" s="42"/>
      <c r="X198" s="42"/>
      <c r="Y198" s="42"/>
      <c r="Z198" s="42"/>
    </row>
    <row r="199">
      <c r="A199" s="133"/>
      <c r="B199" s="134"/>
      <c r="C199" s="63"/>
      <c r="D199" s="63"/>
      <c r="E199" s="135"/>
      <c r="F199" s="42"/>
      <c r="G199" s="42"/>
      <c r="H199" s="42"/>
      <c r="I199" s="42"/>
      <c r="J199" s="42"/>
      <c r="K199" s="42"/>
      <c r="L199" s="42"/>
      <c r="M199" s="42"/>
      <c r="N199" s="42"/>
      <c r="O199" s="42"/>
      <c r="P199" s="42"/>
      <c r="Q199" s="42"/>
      <c r="R199" s="42"/>
      <c r="S199" s="42"/>
      <c r="T199" s="42"/>
      <c r="U199" s="42"/>
      <c r="V199" s="42"/>
      <c r="W199" s="42"/>
      <c r="X199" s="42"/>
      <c r="Y199" s="42"/>
      <c r="Z199" s="42"/>
    </row>
    <row r="200">
      <c r="A200" s="133"/>
      <c r="B200" s="134"/>
      <c r="C200" s="63"/>
      <c r="D200" s="63"/>
      <c r="E200" s="135"/>
      <c r="F200" s="42"/>
      <c r="G200" s="42"/>
      <c r="H200" s="42"/>
      <c r="I200" s="42"/>
      <c r="J200" s="42"/>
      <c r="K200" s="42"/>
      <c r="L200" s="42"/>
      <c r="M200" s="42"/>
      <c r="N200" s="42"/>
      <c r="O200" s="42"/>
      <c r="P200" s="42"/>
      <c r="Q200" s="42"/>
      <c r="R200" s="42"/>
      <c r="S200" s="42"/>
      <c r="T200" s="42"/>
      <c r="U200" s="42"/>
      <c r="V200" s="42"/>
      <c r="W200" s="42"/>
      <c r="X200" s="42"/>
      <c r="Y200" s="42"/>
      <c r="Z200" s="42"/>
    </row>
    <row r="201">
      <c r="A201" s="133"/>
      <c r="B201" s="134"/>
      <c r="C201" s="63"/>
      <c r="D201" s="63"/>
      <c r="E201" s="135"/>
      <c r="F201" s="42"/>
      <c r="G201" s="42"/>
      <c r="H201" s="42"/>
      <c r="I201" s="42"/>
      <c r="J201" s="42"/>
      <c r="K201" s="42"/>
      <c r="L201" s="42"/>
      <c r="M201" s="42"/>
      <c r="N201" s="42"/>
      <c r="O201" s="42"/>
      <c r="P201" s="42"/>
      <c r="Q201" s="42"/>
      <c r="R201" s="42"/>
      <c r="S201" s="42"/>
      <c r="T201" s="42"/>
      <c r="U201" s="42"/>
      <c r="V201" s="42"/>
      <c r="W201" s="42"/>
      <c r="X201" s="42"/>
      <c r="Y201" s="42"/>
      <c r="Z201" s="42"/>
    </row>
    <row r="202">
      <c r="A202" s="133"/>
      <c r="B202" s="134"/>
      <c r="C202" s="63"/>
      <c r="D202" s="63"/>
      <c r="E202" s="135"/>
      <c r="F202" s="42"/>
      <c r="G202" s="42"/>
      <c r="H202" s="42"/>
      <c r="I202" s="42"/>
      <c r="J202" s="42"/>
      <c r="K202" s="42"/>
      <c r="L202" s="42"/>
      <c r="M202" s="42"/>
      <c r="N202" s="42"/>
      <c r="O202" s="42"/>
      <c r="P202" s="42"/>
      <c r="Q202" s="42"/>
      <c r="R202" s="42"/>
      <c r="S202" s="42"/>
      <c r="T202" s="42"/>
      <c r="U202" s="42"/>
      <c r="V202" s="42"/>
      <c r="W202" s="42"/>
      <c r="X202" s="42"/>
      <c r="Y202" s="42"/>
      <c r="Z202" s="42"/>
    </row>
    <row r="203">
      <c r="A203" s="133"/>
      <c r="B203" s="134"/>
      <c r="C203" s="63"/>
      <c r="D203" s="63"/>
      <c r="E203" s="135"/>
      <c r="F203" s="42"/>
      <c r="G203" s="42"/>
      <c r="H203" s="42"/>
      <c r="I203" s="42"/>
      <c r="J203" s="42"/>
      <c r="K203" s="42"/>
      <c r="L203" s="42"/>
      <c r="M203" s="42"/>
      <c r="N203" s="42"/>
      <c r="O203" s="42"/>
      <c r="P203" s="42"/>
      <c r="Q203" s="42"/>
      <c r="R203" s="42"/>
      <c r="S203" s="42"/>
      <c r="T203" s="42"/>
      <c r="U203" s="42"/>
      <c r="V203" s="42"/>
      <c r="W203" s="42"/>
      <c r="X203" s="42"/>
      <c r="Y203" s="42"/>
      <c r="Z203" s="42"/>
    </row>
    <row r="204">
      <c r="A204" s="133"/>
      <c r="B204" s="134"/>
      <c r="C204" s="63"/>
      <c r="D204" s="63"/>
      <c r="E204" s="135"/>
      <c r="F204" s="42"/>
      <c r="G204" s="42"/>
      <c r="H204" s="42"/>
      <c r="I204" s="42"/>
      <c r="J204" s="42"/>
      <c r="K204" s="42"/>
      <c r="L204" s="42"/>
      <c r="M204" s="42"/>
      <c r="N204" s="42"/>
      <c r="O204" s="42"/>
      <c r="P204" s="42"/>
      <c r="Q204" s="42"/>
      <c r="R204" s="42"/>
      <c r="S204" s="42"/>
      <c r="T204" s="42"/>
      <c r="U204" s="42"/>
      <c r="V204" s="42"/>
      <c r="W204" s="42"/>
      <c r="X204" s="42"/>
      <c r="Y204" s="42"/>
      <c r="Z204" s="42"/>
    </row>
    <row r="205">
      <c r="A205" s="133"/>
      <c r="B205" s="134"/>
      <c r="C205" s="63"/>
      <c r="D205" s="63"/>
      <c r="E205" s="135"/>
      <c r="F205" s="42"/>
      <c r="G205" s="42"/>
      <c r="H205" s="42"/>
      <c r="I205" s="42"/>
      <c r="J205" s="42"/>
      <c r="K205" s="42"/>
      <c r="L205" s="42"/>
      <c r="M205" s="42"/>
      <c r="N205" s="42"/>
      <c r="O205" s="42"/>
      <c r="P205" s="42"/>
      <c r="Q205" s="42"/>
      <c r="R205" s="42"/>
      <c r="S205" s="42"/>
      <c r="T205" s="42"/>
      <c r="U205" s="42"/>
      <c r="V205" s="42"/>
      <c r="W205" s="42"/>
      <c r="X205" s="42"/>
      <c r="Y205" s="42"/>
      <c r="Z205" s="42"/>
    </row>
    <row r="206">
      <c r="A206" s="133"/>
      <c r="B206" s="134"/>
      <c r="C206" s="63"/>
      <c r="D206" s="63"/>
      <c r="E206" s="135"/>
      <c r="F206" s="42"/>
      <c r="G206" s="42"/>
      <c r="H206" s="42"/>
      <c r="I206" s="42"/>
      <c r="J206" s="42"/>
      <c r="K206" s="42"/>
      <c r="L206" s="42"/>
      <c r="M206" s="42"/>
      <c r="N206" s="42"/>
      <c r="O206" s="42"/>
      <c r="P206" s="42"/>
      <c r="Q206" s="42"/>
      <c r="R206" s="42"/>
      <c r="S206" s="42"/>
      <c r="T206" s="42"/>
      <c r="U206" s="42"/>
      <c r="V206" s="42"/>
      <c r="W206" s="42"/>
      <c r="X206" s="42"/>
      <c r="Y206" s="42"/>
      <c r="Z206" s="42"/>
    </row>
    <row r="207">
      <c r="A207" s="133"/>
      <c r="B207" s="134"/>
      <c r="C207" s="63"/>
      <c r="D207" s="63"/>
      <c r="E207" s="135"/>
      <c r="F207" s="42"/>
      <c r="G207" s="42"/>
      <c r="H207" s="42"/>
      <c r="I207" s="42"/>
      <c r="J207" s="42"/>
      <c r="K207" s="42"/>
      <c r="L207" s="42"/>
      <c r="M207" s="42"/>
      <c r="N207" s="42"/>
      <c r="O207" s="42"/>
      <c r="P207" s="42"/>
      <c r="Q207" s="42"/>
      <c r="R207" s="42"/>
      <c r="S207" s="42"/>
      <c r="T207" s="42"/>
      <c r="U207" s="42"/>
      <c r="V207" s="42"/>
      <c r="W207" s="42"/>
      <c r="X207" s="42"/>
      <c r="Y207" s="42"/>
      <c r="Z207" s="42"/>
    </row>
    <row r="208">
      <c r="A208" s="133"/>
      <c r="B208" s="134"/>
      <c r="C208" s="63"/>
      <c r="D208" s="63"/>
      <c r="E208" s="135"/>
      <c r="F208" s="42"/>
      <c r="G208" s="42"/>
      <c r="H208" s="42"/>
      <c r="I208" s="42"/>
      <c r="J208" s="42"/>
      <c r="K208" s="42"/>
      <c r="L208" s="42"/>
      <c r="M208" s="42"/>
      <c r="N208" s="42"/>
      <c r="O208" s="42"/>
      <c r="P208" s="42"/>
      <c r="Q208" s="42"/>
      <c r="R208" s="42"/>
      <c r="S208" s="42"/>
      <c r="T208" s="42"/>
      <c r="U208" s="42"/>
      <c r="V208" s="42"/>
      <c r="W208" s="42"/>
      <c r="X208" s="42"/>
      <c r="Y208" s="42"/>
      <c r="Z208" s="42"/>
    </row>
    <row r="209">
      <c r="A209" s="133"/>
      <c r="B209" s="134"/>
      <c r="C209" s="63"/>
      <c r="D209" s="63"/>
      <c r="E209" s="135"/>
      <c r="F209" s="42"/>
      <c r="G209" s="42"/>
      <c r="H209" s="42"/>
      <c r="I209" s="42"/>
      <c r="J209" s="42"/>
      <c r="K209" s="42"/>
      <c r="L209" s="42"/>
      <c r="M209" s="42"/>
      <c r="N209" s="42"/>
      <c r="O209" s="42"/>
      <c r="P209" s="42"/>
      <c r="Q209" s="42"/>
      <c r="R209" s="42"/>
      <c r="S209" s="42"/>
      <c r="T209" s="42"/>
      <c r="U209" s="42"/>
      <c r="V209" s="42"/>
      <c r="W209" s="42"/>
      <c r="X209" s="42"/>
      <c r="Y209" s="42"/>
      <c r="Z209" s="42"/>
    </row>
    <row r="210">
      <c r="A210" s="133"/>
      <c r="B210" s="134"/>
      <c r="C210" s="63"/>
      <c r="D210" s="63"/>
      <c r="E210" s="135"/>
      <c r="F210" s="42"/>
      <c r="G210" s="42"/>
      <c r="H210" s="42"/>
      <c r="I210" s="42"/>
      <c r="J210" s="42"/>
      <c r="K210" s="42"/>
      <c r="L210" s="42"/>
      <c r="M210" s="42"/>
      <c r="N210" s="42"/>
      <c r="O210" s="42"/>
      <c r="P210" s="42"/>
      <c r="Q210" s="42"/>
      <c r="R210" s="42"/>
      <c r="S210" s="42"/>
      <c r="T210" s="42"/>
      <c r="U210" s="42"/>
      <c r="V210" s="42"/>
      <c r="W210" s="42"/>
      <c r="X210" s="42"/>
      <c r="Y210" s="42"/>
      <c r="Z210" s="42"/>
    </row>
    <row r="211">
      <c r="A211" s="133"/>
      <c r="B211" s="134"/>
      <c r="C211" s="63"/>
      <c r="D211" s="63"/>
      <c r="E211" s="135"/>
      <c r="F211" s="42"/>
      <c r="G211" s="42"/>
      <c r="H211" s="42"/>
      <c r="I211" s="42"/>
      <c r="J211" s="42"/>
      <c r="K211" s="42"/>
      <c r="L211" s="42"/>
      <c r="M211" s="42"/>
      <c r="N211" s="42"/>
      <c r="O211" s="42"/>
      <c r="P211" s="42"/>
      <c r="Q211" s="42"/>
      <c r="R211" s="42"/>
      <c r="S211" s="42"/>
      <c r="T211" s="42"/>
      <c r="U211" s="42"/>
      <c r="V211" s="42"/>
      <c r="W211" s="42"/>
      <c r="X211" s="42"/>
      <c r="Y211" s="42"/>
      <c r="Z211" s="42"/>
    </row>
    <row r="212">
      <c r="A212" s="133"/>
      <c r="B212" s="134"/>
      <c r="C212" s="63"/>
      <c r="D212" s="63"/>
      <c r="E212" s="135"/>
      <c r="F212" s="42"/>
      <c r="G212" s="42"/>
      <c r="H212" s="42"/>
      <c r="I212" s="42"/>
      <c r="J212" s="42"/>
      <c r="K212" s="42"/>
      <c r="L212" s="42"/>
      <c r="M212" s="42"/>
      <c r="N212" s="42"/>
      <c r="O212" s="42"/>
      <c r="P212" s="42"/>
      <c r="Q212" s="42"/>
      <c r="R212" s="42"/>
      <c r="S212" s="42"/>
      <c r="T212" s="42"/>
      <c r="U212" s="42"/>
      <c r="V212" s="42"/>
      <c r="W212" s="42"/>
      <c r="X212" s="42"/>
      <c r="Y212" s="42"/>
      <c r="Z212" s="42"/>
    </row>
    <row r="213">
      <c r="A213" s="133"/>
      <c r="B213" s="134"/>
      <c r="C213" s="63"/>
      <c r="D213" s="63"/>
      <c r="E213" s="135"/>
      <c r="F213" s="42"/>
      <c r="G213" s="42"/>
      <c r="H213" s="42"/>
      <c r="I213" s="42"/>
      <c r="J213" s="42"/>
      <c r="K213" s="42"/>
      <c r="L213" s="42"/>
      <c r="M213" s="42"/>
      <c r="N213" s="42"/>
      <c r="O213" s="42"/>
      <c r="P213" s="42"/>
      <c r="Q213" s="42"/>
      <c r="R213" s="42"/>
      <c r="S213" s="42"/>
      <c r="T213" s="42"/>
      <c r="U213" s="42"/>
      <c r="V213" s="42"/>
      <c r="W213" s="42"/>
      <c r="X213" s="42"/>
      <c r="Y213" s="42"/>
      <c r="Z213" s="42"/>
    </row>
    <row r="214">
      <c r="A214" s="133"/>
      <c r="B214" s="134"/>
      <c r="C214" s="63"/>
      <c r="D214" s="63"/>
      <c r="E214" s="135"/>
      <c r="F214" s="42"/>
      <c r="G214" s="42"/>
      <c r="H214" s="42"/>
      <c r="I214" s="42"/>
      <c r="J214" s="42"/>
      <c r="K214" s="42"/>
      <c r="L214" s="42"/>
      <c r="M214" s="42"/>
      <c r="N214" s="42"/>
      <c r="O214" s="42"/>
      <c r="P214" s="42"/>
      <c r="Q214" s="42"/>
      <c r="R214" s="42"/>
      <c r="S214" s="42"/>
      <c r="T214" s="42"/>
      <c r="U214" s="42"/>
      <c r="V214" s="42"/>
      <c r="W214" s="42"/>
      <c r="X214" s="42"/>
      <c r="Y214" s="42"/>
      <c r="Z214" s="42"/>
    </row>
    <row r="215">
      <c r="A215" s="133"/>
      <c r="B215" s="134"/>
      <c r="C215" s="63"/>
      <c r="D215" s="63"/>
      <c r="E215" s="135"/>
      <c r="F215" s="42"/>
      <c r="G215" s="42"/>
      <c r="H215" s="42"/>
      <c r="I215" s="42"/>
      <c r="J215" s="42"/>
      <c r="K215" s="42"/>
      <c r="L215" s="42"/>
      <c r="M215" s="42"/>
      <c r="N215" s="42"/>
      <c r="O215" s="42"/>
      <c r="P215" s="42"/>
      <c r="Q215" s="42"/>
      <c r="R215" s="42"/>
      <c r="S215" s="42"/>
      <c r="T215" s="42"/>
      <c r="U215" s="42"/>
      <c r="V215" s="42"/>
      <c r="W215" s="42"/>
      <c r="X215" s="42"/>
      <c r="Y215" s="42"/>
      <c r="Z215" s="42"/>
    </row>
    <row r="216">
      <c r="A216" s="133"/>
      <c r="B216" s="134"/>
      <c r="C216" s="63"/>
      <c r="D216" s="63"/>
      <c r="E216" s="135"/>
      <c r="F216" s="42"/>
      <c r="G216" s="42"/>
      <c r="H216" s="42"/>
      <c r="I216" s="42"/>
      <c r="J216" s="42"/>
      <c r="K216" s="42"/>
      <c r="L216" s="42"/>
      <c r="M216" s="42"/>
      <c r="N216" s="42"/>
      <c r="O216" s="42"/>
      <c r="P216" s="42"/>
      <c r="Q216" s="42"/>
      <c r="R216" s="42"/>
      <c r="S216" s="42"/>
      <c r="T216" s="42"/>
      <c r="U216" s="42"/>
      <c r="V216" s="42"/>
      <c r="W216" s="42"/>
      <c r="X216" s="42"/>
      <c r="Y216" s="42"/>
      <c r="Z216" s="42"/>
    </row>
    <row r="217">
      <c r="A217" s="133"/>
      <c r="B217" s="134"/>
      <c r="C217" s="63"/>
      <c r="D217" s="63"/>
      <c r="E217" s="135"/>
      <c r="F217" s="42"/>
      <c r="G217" s="42"/>
      <c r="H217" s="42"/>
      <c r="I217" s="42"/>
      <c r="J217" s="42"/>
      <c r="K217" s="42"/>
      <c r="L217" s="42"/>
      <c r="M217" s="42"/>
      <c r="N217" s="42"/>
      <c r="O217" s="42"/>
      <c r="P217" s="42"/>
      <c r="Q217" s="42"/>
      <c r="R217" s="42"/>
      <c r="S217" s="42"/>
      <c r="T217" s="42"/>
      <c r="U217" s="42"/>
      <c r="V217" s="42"/>
      <c r="W217" s="42"/>
      <c r="X217" s="42"/>
      <c r="Y217" s="42"/>
      <c r="Z217" s="42"/>
    </row>
    <row r="218">
      <c r="A218" s="133"/>
      <c r="B218" s="134"/>
      <c r="C218" s="63"/>
      <c r="D218" s="63"/>
      <c r="E218" s="135"/>
      <c r="F218" s="42"/>
      <c r="G218" s="42"/>
      <c r="H218" s="42"/>
      <c r="I218" s="42"/>
      <c r="J218" s="42"/>
      <c r="K218" s="42"/>
      <c r="L218" s="42"/>
      <c r="M218" s="42"/>
      <c r="N218" s="42"/>
      <c r="O218" s="42"/>
      <c r="P218" s="42"/>
      <c r="Q218" s="42"/>
      <c r="R218" s="42"/>
      <c r="S218" s="42"/>
      <c r="T218" s="42"/>
      <c r="U218" s="42"/>
      <c r="V218" s="42"/>
      <c r="W218" s="42"/>
      <c r="X218" s="42"/>
      <c r="Y218" s="42"/>
      <c r="Z218" s="42"/>
    </row>
    <row r="219">
      <c r="A219" s="133"/>
      <c r="B219" s="134"/>
      <c r="C219" s="63"/>
      <c r="D219" s="63"/>
      <c r="E219" s="135"/>
      <c r="F219" s="42"/>
      <c r="G219" s="42"/>
      <c r="H219" s="42"/>
      <c r="I219" s="42"/>
      <c r="J219" s="42"/>
      <c r="K219" s="42"/>
      <c r="L219" s="42"/>
      <c r="M219" s="42"/>
      <c r="N219" s="42"/>
      <c r="O219" s="42"/>
      <c r="P219" s="42"/>
      <c r="Q219" s="42"/>
      <c r="R219" s="42"/>
      <c r="S219" s="42"/>
      <c r="T219" s="42"/>
      <c r="U219" s="42"/>
      <c r="V219" s="42"/>
      <c r="W219" s="42"/>
      <c r="X219" s="42"/>
      <c r="Y219" s="42"/>
      <c r="Z219" s="42"/>
    </row>
    <row r="220">
      <c r="A220" s="133"/>
      <c r="B220" s="134"/>
      <c r="C220" s="63"/>
      <c r="D220" s="63"/>
      <c r="E220" s="135"/>
      <c r="F220" s="42"/>
      <c r="G220" s="42"/>
      <c r="H220" s="42"/>
      <c r="I220" s="42"/>
      <c r="J220" s="42"/>
      <c r="K220" s="42"/>
      <c r="L220" s="42"/>
      <c r="M220" s="42"/>
      <c r="N220" s="42"/>
      <c r="O220" s="42"/>
      <c r="P220" s="42"/>
      <c r="Q220" s="42"/>
      <c r="R220" s="42"/>
      <c r="S220" s="42"/>
      <c r="T220" s="42"/>
      <c r="U220" s="42"/>
      <c r="V220" s="42"/>
      <c r="W220" s="42"/>
      <c r="X220" s="42"/>
      <c r="Y220" s="42"/>
      <c r="Z220" s="42"/>
    </row>
    <row r="221">
      <c r="A221" s="133"/>
      <c r="B221" s="134"/>
      <c r="C221" s="63"/>
      <c r="D221" s="63"/>
      <c r="E221" s="135"/>
      <c r="F221" s="42"/>
      <c r="G221" s="42"/>
      <c r="H221" s="42"/>
      <c r="I221" s="42"/>
      <c r="J221" s="42"/>
      <c r="K221" s="42"/>
      <c r="L221" s="42"/>
      <c r="M221" s="42"/>
      <c r="N221" s="42"/>
      <c r="O221" s="42"/>
      <c r="P221" s="42"/>
      <c r="Q221" s="42"/>
      <c r="R221" s="42"/>
      <c r="S221" s="42"/>
      <c r="T221" s="42"/>
      <c r="U221" s="42"/>
      <c r="V221" s="42"/>
      <c r="W221" s="42"/>
      <c r="X221" s="42"/>
      <c r="Y221" s="42"/>
      <c r="Z221" s="42"/>
    </row>
    <row r="222">
      <c r="A222" s="133"/>
      <c r="B222" s="134"/>
      <c r="C222" s="63"/>
      <c r="D222" s="63"/>
      <c r="E222" s="135"/>
      <c r="F222" s="42"/>
      <c r="G222" s="42"/>
      <c r="H222" s="42"/>
      <c r="I222" s="42"/>
      <c r="J222" s="42"/>
      <c r="K222" s="42"/>
      <c r="L222" s="42"/>
      <c r="M222" s="42"/>
      <c r="N222" s="42"/>
      <c r="O222" s="42"/>
      <c r="P222" s="42"/>
      <c r="Q222" s="42"/>
      <c r="R222" s="42"/>
      <c r="S222" s="42"/>
      <c r="T222" s="42"/>
      <c r="U222" s="42"/>
      <c r="V222" s="42"/>
      <c r="W222" s="42"/>
      <c r="X222" s="42"/>
      <c r="Y222" s="42"/>
      <c r="Z222" s="42"/>
    </row>
    <row r="223">
      <c r="A223" s="133"/>
      <c r="B223" s="134"/>
      <c r="C223" s="63"/>
      <c r="D223" s="63"/>
      <c r="E223" s="135"/>
      <c r="F223" s="42"/>
      <c r="G223" s="42"/>
      <c r="H223" s="42"/>
      <c r="I223" s="42"/>
      <c r="J223" s="42"/>
      <c r="K223" s="42"/>
      <c r="L223" s="42"/>
      <c r="M223" s="42"/>
      <c r="N223" s="42"/>
      <c r="O223" s="42"/>
      <c r="P223" s="42"/>
      <c r="Q223" s="42"/>
      <c r="R223" s="42"/>
      <c r="S223" s="42"/>
      <c r="T223" s="42"/>
      <c r="U223" s="42"/>
      <c r="V223" s="42"/>
      <c r="W223" s="42"/>
      <c r="X223" s="42"/>
      <c r="Y223" s="42"/>
      <c r="Z223" s="42"/>
    </row>
    <row r="224">
      <c r="A224" s="133"/>
      <c r="B224" s="134"/>
      <c r="C224" s="63"/>
      <c r="D224" s="63"/>
      <c r="E224" s="135"/>
      <c r="F224" s="42"/>
      <c r="G224" s="42"/>
      <c r="H224" s="42"/>
      <c r="I224" s="42"/>
      <c r="J224" s="42"/>
      <c r="K224" s="42"/>
      <c r="L224" s="42"/>
      <c r="M224" s="42"/>
      <c r="N224" s="42"/>
      <c r="O224" s="42"/>
      <c r="P224" s="42"/>
      <c r="Q224" s="42"/>
      <c r="R224" s="42"/>
      <c r="S224" s="42"/>
      <c r="T224" s="42"/>
      <c r="U224" s="42"/>
      <c r="V224" s="42"/>
      <c r="W224" s="42"/>
      <c r="X224" s="42"/>
      <c r="Y224" s="42"/>
      <c r="Z224" s="42"/>
    </row>
    <row r="225">
      <c r="A225" s="133"/>
      <c r="B225" s="134"/>
      <c r="C225" s="63"/>
      <c r="D225" s="63"/>
      <c r="E225" s="135"/>
      <c r="F225" s="42"/>
      <c r="G225" s="42"/>
      <c r="H225" s="42"/>
      <c r="I225" s="42"/>
      <c r="J225" s="42"/>
      <c r="K225" s="42"/>
      <c r="L225" s="42"/>
      <c r="M225" s="42"/>
      <c r="N225" s="42"/>
      <c r="O225" s="42"/>
      <c r="P225" s="42"/>
      <c r="Q225" s="42"/>
      <c r="R225" s="42"/>
      <c r="S225" s="42"/>
      <c r="T225" s="42"/>
      <c r="U225" s="42"/>
      <c r="V225" s="42"/>
      <c r="W225" s="42"/>
      <c r="X225" s="42"/>
      <c r="Y225" s="42"/>
      <c r="Z225" s="42"/>
    </row>
    <row r="226">
      <c r="A226" s="133"/>
      <c r="B226" s="134"/>
      <c r="C226" s="63"/>
      <c r="D226" s="63"/>
      <c r="E226" s="135"/>
      <c r="F226" s="42"/>
      <c r="G226" s="42"/>
      <c r="H226" s="42"/>
      <c r="I226" s="42"/>
      <c r="J226" s="42"/>
      <c r="K226" s="42"/>
      <c r="L226" s="42"/>
      <c r="M226" s="42"/>
      <c r="N226" s="42"/>
      <c r="O226" s="42"/>
      <c r="P226" s="42"/>
      <c r="Q226" s="42"/>
      <c r="R226" s="42"/>
      <c r="S226" s="42"/>
      <c r="T226" s="42"/>
      <c r="U226" s="42"/>
      <c r="V226" s="42"/>
      <c r="W226" s="42"/>
      <c r="X226" s="42"/>
      <c r="Y226" s="42"/>
      <c r="Z226" s="42"/>
    </row>
    <row r="227">
      <c r="A227" s="133"/>
      <c r="B227" s="134"/>
      <c r="C227" s="63"/>
      <c r="D227" s="63"/>
      <c r="E227" s="135"/>
      <c r="F227" s="42"/>
      <c r="G227" s="42"/>
      <c r="H227" s="42"/>
      <c r="I227" s="42"/>
      <c r="J227" s="42"/>
      <c r="K227" s="42"/>
      <c r="L227" s="42"/>
      <c r="M227" s="42"/>
      <c r="N227" s="42"/>
      <c r="O227" s="42"/>
      <c r="P227" s="42"/>
      <c r="Q227" s="42"/>
      <c r="R227" s="42"/>
      <c r="S227" s="42"/>
      <c r="T227" s="42"/>
      <c r="U227" s="42"/>
      <c r="V227" s="42"/>
      <c r="W227" s="42"/>
      <c r="X227" s="42"/>
      <c r="Y227" s="42"/>
      <c r="Z227" s="42"/>
    </row>
    <row r="228">
      <c r="A228" s="133"/>
      <c r="B228" s="134"/>
      <c r="C228" s="63"/>
      <c r="D228" s="63"/>
      <c r="E228" s="135"/>
      <c r="F228" s="42"/>
      <c r="G228" s="42"/>
      <c r="H228" s="42"/>
      <c r="I228" s="42"/>
      <c r="J228" s="42"/>
      <c r="K228" s="42"/>
      <c r="L228" s="42"/>
      <c r="M228" s="42"/>
      <c r="N228" s="42"/>
      <c r="O228" s="42"/>
      <c r="P228" s="42"/>
      <c r="Q228" s="42"/>
      <c r="R228" s="42"/>
      <c r="S228" s="42"/>
      <c r="T228" s="42"/>
      <c r="U228" s="42"/>
      <c r="V228" s="42"/>
      <c r="W228" s="42"/>
      <c r="X228" s="42"/>
      <c r="Y228" s="42"/>
      <c r="Z228" s="42"/>
    </row>
    <row r="229">
      <c r="A229" s="133"/>
      <c r="B229" s="134"/>
      <c r="C229" s="63"/>
      <c r="D229" s="63"/>
      <c r="E229" s="135"/>
      <c r="F229" s="42"/>
      <c r="G229" s="42"/>
      <c r="H229" s="42"/>
      <c r="I229" s="42"/>
      <c r="J229" s="42"/>
      <c r="K229" s="42"/>
      <c r="L229" s="42"/>
      <c r="M229" s="42"/>
      <c r="N229" s="42"/>
      <c r="O229" s="42"/>
      <c r="P229" s="42"/>
      <c r="Q229" s="42"/>
      <c r="R229" s="42"/>
      <c r="S229" s="42"/>
      <c r="T229" s="42"/>
      <c r="U229" s="42"/>
      <c r="V229" s="42"/>
      <c r="W229" s="42"/>
      <c r="X229" s="42"/>
      <c r="Y229" s="42"/>
      <c r="Z229" s="42"/>
    </row>
    <row r="230">
      <c r="A230" s="133"/>
      <c r="B230" s="134"/>
      <c r="C230" s="63"/>
      <c r="D230" s="63"/>
      <c r="E230" s="135"/>
      <c r="F230" s="42"/>
      <c r="G230" s="42"/>
      <c r="H230" s="42"/>
      <c r="I230" s="42"/>
      <c r="J230" s="42"/>
      <c r="K230" s="42"/>
      <c r="L230" s="42"/>
      <c r="M230" s="42"/>
      <c r="N230" s="42"/>
      <c r="O230" s="42"/>
      <c r="P230" s="42"/>
      <c r="Q230" s="42"/>
      <c r="R230" s="42"/>
      <c r="S230" s="42"/>
      <c r="T230" s="42"/>
      <c r="U230" s="42"/>
      <c r="V230" s="42"/>
      <c r="W230" s="42"/>
      <c r="X230" s="42"/>
      <c r="Y230" s="42"/>
      <c r="Z230" s="42"/>
    </row>
    <row r="231">
      <c r="A231" s="133"/>
      <c r="B231" s="134"/>
      <c r="C231" s="63"/>
      <c r="D231" s="63"/>
      <c r="E231" s="135"/>
      <c r="F231" s="42"/>
      <c r="G231" s="42"/>
      <c r="H231" s="42"/>
      <c r="I231" s="42"/>
      <c r="J231" s="42"/>
      <c r="K231" s="42"/>
      <c r="L231" s="42"/>
      <c r="M231" s="42"/>
      <c r="N231" s="42"/>
      <c r="O231" s="42"/>
      <c r="P231" s="42"/>
      <c r="Q231" s="42"/>
      <c r="R231" s="42"/>
      <c r="S231" s="42"/>
      <c r="T231" s="42"/>
      <c r="U231" s="42"/>
      <c r="V231" s="42"/>
      <c r="W231" s="42"/>
      <c r="X231" s="42"/>
      <c r="Y231" s="42"/>
      <c r="Z231" s="42"/>
    </row>
    <row r="232">
      <c r="A232" s="133"/>
      <c r="B232" s="134"/>
      <c r="C232" s="63"/>
      <c r="D232" s="63"/>
      <c r="E232" s="135"/>
      <c r="F232" s="42"/>
      <c r="G232" s="42"/>
      <c r="H232" s="42"/>
      <c r="I232" s="42"/>
      <c r="J232" s="42"/>
      <c r="K232" s="42"/>
      <c r="L232" s="42"/>
      <c r="M232" s="42"/>
      <c r="N232" s="42"/>
      <c r="O232" s="42"/>
      <c r="P232" s="42"/>
      <c r="Q232" s="42"/>
      <c r="R232" s="42"/>
      <c r="S232" s="42"/>
      <c r="T232" s="42"/>
      <c r="U232" s="42"/>
      <c r="V232" s="42"/>
      <c r="W232" s="42"/>
      <c r="X232" s="42"/>
      <c r="Y232" s="42"/>
      <c r="Z232" s="42"/>
    </row>
    <row r="233">
      <c r="A233" s="133"/>
      <c r="B233" s="134"/>
      <c r="C233" s="63"/>
      <c r="D233" s="63"/>
      <c r="E233" s="135"/>
      <c r="F233" s="42"/>
      <c r="G233" s="42"/>
      <c r="H233" s="42"/>
      <c r="I233" s="42"/>
      <c r="J233" s="42"/>
      <c r="K233" s="42"/>
      <c r="L233" s="42"/>
      <c r="M233" s="42"/>
      <c r="N233" s="42"/>
      <c r="O233" s="42"/>
      <c r="P233" s="42"/>
      <c r="Q233" s="42"/>
      <c r="R233" s="42"/>
      <c r="S233" s="42"/>
      <c r="T233" s="42"/>
      <c r="U233" s="42"/>
      <c r="V233" s="42"/>
      <c r="W233" s="42"/>
      <c r="X233" s="42"/>
      <c r="Y233" s="42"/>
      <c r="Z233" s="42"/>
    </row>
    <row r="234">
      <c r="A234" s="133"/>
      <c r="B234" s="134"/>
      <c r="C234" s="63"/>
      <c r="D234" s="63"/>
      <c r="E234" s="135"/>
      <c r="F234" s="42"/>
      <c r="G234" s="42"/>
      <c r="H234" s="42"/>
      <c r="I234" s="42"/>
      <c r="J234" s="42"/>
      <c r="K234" s="42"/>
      <c r="L234" s="42"/>
      <c r="M234" s="42"/>
      <c r="N234" s="42"/>
      <c r="O234" s="42"/>
      <c r="P234" s="42"/>
      <c r="Q234" s="42"/>
      <c r="R234" s="42"/>
      <c r="S234" s="42"/>
      <c r="T234" s="42"/>
      <c r="U234" s="42"/>
      <c r="V234" s="42"/>
      <c r="W234" s="42"/>
      <c r="X234" s="42"/>
      <c r="Y234" s="42"/>
      <c r="Z234" s="42"/>
    </row>
    <row r="235">
      <c r="A235" s="133"/>
      <c r="B235" s="134"/>
      <c r="C235" s="63"/>
      <c r="D235" s="63"/>
      <c r="E235" s="135"/>
      <c r="F235" s="42"/>
      <c r="G235" s="42"/>
      <c r="H235" s="42"/>
      <c r="I235" s="42"/>
      <c r="J235" s="42"/>
      <c r="K235" s="42"/>
      <c r="L235" s="42"/>
      <c r="M235" s="42"/>
      <c r="N235" s="42"/>
      <c r="O235" s="42"/>
      <c r="P235" s="42"/>
      <c r="Q235" s="42"/>
      <c r="R235" s="42"/>
      <c r="S235" s="42"/>
      <c r="T235" s="42"/>
      <c r="U235" s="42"/>
      <c r="V235" s="42"/>
      <c r="W235" s="42"/>
      <c r="X235" s="42"/>
      <c r="Y235" s="42"/>
      <c r="Z235" s="42"/>
    </row>
    <row r="236">
      <c r="A236" s="133"/>
      <c r="B236" s="134"/>
      <c r="C236" s="63"/>
      <c r="D236" s="63"/>
      <c r="E236" s="135"/>
      <c r="F236" s="42"/>
      <c r="G236" s="42"/>
      <c r="H236" s="42"/>
      <c r="I236" s="42"/>
      <c r="J236" s="42"/>
      <c r="K236" s="42"/>
      <c r="L236" s="42"/>
      <c r="M236" s="42"/>
      <c r="N236" s="42"/>
      <c r="O236" s="42"/>
      <c r="P236" s="42"/>
      <c r="Q236" s="42"/>
      <c r="R236" s="42"/>
      <c r="S236" s="42"/>
      <c r="T236" s="42"/>
      <c r="U236" s="42"/>
      <c r="V236" s="42"/>
      <c r="W236" s="42"/>
      <c r="X236" s="42"/>
      <c r="Y236" s="42"/>
      <c r="Z236" s="42"/>
    </row>
    <row r="237">
      <c r="A237" s="133"/>
      <c r="B237" s="134"/>
      <c r="C237" s="63"/>
      <c r="D237" s="63"/>
      <c r="E237" s="135"/>
      <c r="F237" s="42"/>
      <c r="G237" s="42"/>
      <c r="H237" s="42"/>
      <c r="I237" s="42"/>
      <c r="J237" s="42"/>
      <c r="K237" s="42"/>
      <c r="L237" s="42"/>
      <c r="M237" s="42"/>
      <c r="N237" s="42"/>
      <c r="O237" s="42"/>
      <c r="P237" s="42"/>
      <c r="Q237" s="42"/>
      <c r="R237" s="42"/>
      <c r="S237" s="42"/>
      <c r="T237" s="42"/>
      <c r="U237" s="42"/>
      <c r="V237" s="42"/>
      <c r="W237" s="42"/>
      <c r="X237" s="42"/>
      <c r="Y237" s="42"/>
      <c r="Z237" s="42"/>
    </row>
    <row r="238">
      <c r="A238" s="133"/>
      <c r="B238" s="134"/>
      <c r="C238" s="63"/>
      <c r="D238" s="63"/>
      <c r="E238" s="135"/>
      <c r="F238" s="42"/>
      <c r="G238" s="42"/>
      <c r="H238" s="42"/>
      <c r="I238" s="42"/>
      <c r="J238" s="42"/>
      <c r="K238" s="42"/>
      <c r="L238" s="42"/>
      <c r="M238" s="42"/>
      <c r="N238" s="42"/>
      <c r="O238" s="42"/>
      <c r="P238" s="42"/>
      <c r="Q238" s="42"/>
      <c r="R238" s="42"/>
      <c r="S238" s="42"/>
      <c r="T238" s="42"/>
      <c r="U238" s="42"/>
      <c r="V238" s="42"/>
      <c r="W238" s="42"/>
      <c r="X238" s="42"/>
      <c r="Y238" s="42"/>
      <c r="Z238" s="42"/>
    </row>
    <row r="239">
      <c r="A239" s="133"/>
      <c r="B239" s="134"/>
      <c r="C239" s="63"/>
      <c r="D239" s="63"/>
      <c r="E239" s="135"/>
      <c r="F239" s="42"/>
      <c r="G239" s="42"/>
      <c r="H239" s="42"/>
      <c r="I239" s="42"/>
      <c r="J239" s="42"/>
      <c r="K239" s="42"/>
      <c r="L239" s="42"/>
      <c r="M239" s="42"/>
      <c r="N239" s="42"/>
      <c r="O239" s="42"/>
      <c r="P239" s="42"/>
      <c r="Q239" s="42"/>
      <c r="R239" s="42"/>
      <c r="S239" s="42"/>
      <c r="T239" s="42"/>
      <c r="U239" s="42"/>
      <c r="V239" s="42"/>
      <c r="W239" s="42"/>
      <c r="X239" s="42"/>
      <c r="Y239" s="42"/>
      <c r="Z239" s="42"/>
    </row>
    <row r="240">
      <c r="A240" s="133"/>
      <c r="B240" s="134"/>
      <c r="C240" s="63"/>
      <c r="D240" s="63"/>
      <c r="E240" s="135"/>
      <c r="F240" s="42"/>
      <c r="G240" s="42"/>
      <c r="H240" s="42"/>
      <c r="I240" s="42"/>
      <c r="J240" s="42"/>
      <c r="K240" s="42"/>
      <c r="L240" s="42"/>
      <c r="M240" s="42"/>
      <c r="N240" s="42"/>
      <c r="O240" s="42"/>
      <c r="P240" s="42"/>
      <c r="Q240" s="42"/>
      <c r="R240" s="42"/>
      <c r="S240" s="42"/>
      <c r="T240" s="42"/>
      <c r="U240" s="42"/>
      <c r="V240" s="42"/>
      <c r="W240" s="42"/>
      <c r="X240" s="42"/>
      <c r="Y240" s="42"/>
      <c r="Z240" s="42"/>
    </row>
    <row r="241">
      <c r="A241" s="133"/>
      <c r="B241" s="134"/>
      <c r="C241" s="63"/>
      <c r="D241" s="63"/>
      <c r="E241" s="135"/>
      <c r="F241" s="42"/>
      <c r="G241" s="42"/>
      <c r="H241" s="42"/>
      <c r="I241" s="42"/>
      <c r="J241" s="42"/>
      <c r="K241" s="42"/>
      <c r="L241" s="42"/>
      <c r="M241" s="42"/>
      <c r="N241" s="42"/>
      <c r="O241" s="42"/>
      <c r="P241" s="42"/>
      <c r="Q241" s="42"/>
      <c r="R241" s="42"/>
      <c r="S241" s="42"/>
      <c r="T241" s="42"/>
      <c r="U241" s="42"/>
      <c r="V241" s="42"/>
      <c r="W241" s="42"/>
      <c r="X241" s="42"/>
      <c r="Y241" s="42"/>
      <c r="Z241" s="42"/>
    </row>
    <row r="242">
      <c r="A242" s="133"/>
      <c r="B242" s="134"/>
      <c r="C242" s="63"/>
      <c r="D242" s="63"/>
      <c r="E242" s="135"/>
      <c r="F242" s="42"/>
      <c r="G242" s="42"/>
      <c r="H242" s="42"/>
      <c r="I242" s="42"/>
      <c r="J242" s="42"/>
      <c r="K242" s="42"/>
      <c r="L242" s="42"/>
      <c r="M242" s="42"/>
      <c r="N242" s="42"/>
      <c r="O242" s="42"/>
      <c r="P242" s="42"/>
      <c r="Q242" s="42"/>
      <c r="R242" s="42"/>
      <c r="S242" s="42"/>
      <c r="T242" s="42"/>
      <c r="U242" s="42"/>
      <c r="V242" s="42"/>
      <c r="W242" s="42"/>
      <c r="X242" s="42"/>
      <c r="Y242" s="42"/>
      <c r="Z242" s="42"/>
    </row>
    <row r="243">
      <c r="A243" s="133"/>
      <c r="B243" s="134"/>
      <c r="C243" s="63"/>
      <c r="D243" s="63"/>
      <c r="E243" s="135"/>
      <c r="F243" s="42"/>
      <c r="G243" s="42"/>
      <c r="H243" s="42"/>
      <c r="I243" s="42"/>
      <c r="J243" s="42"/>
      <c r="K243" s="42"/>
      <c r="L243" s="42"/>
      <c r="M243" s="42"/>
      <c r="N243" s="42"/>
      <c r="O243" s="42"/>
      <c r="P243" s="42"/>
      <c r="Q243" s="42"/>
      <c r="R243" s="42"/>
      <c r="S243" s="42"/>
      <c r="T243" s="42"/>
      <c r="U243" s="42"/>
      <c r="V243" s="42"/>
      <c r="W243" s="42"/>
      <c r="X243" s="42"/>
      <c r="Y243" s="42"/>
      <c r="Z243" s="42"/>
    </row>
    <row r="244">
      <c r="A244" s="133"/>
      <c r="B244" s="134"/>
      <c r="C244" s="63"/>
      <c r="D244" s="63"/>
      <c r="E244" s="135"/>
      <c r="F244" s="42"/>
      <c r="G244" s="42"/>
      <c r="H244" s="42"/>
      <c r="I244" s="42"/>
      <c r="J244" s="42"/>
      <c r="K244" s="42"/>
      <c r="L244" s="42"/>
      <c r="M244" s="42"/>
      <c r="N244" s="42"/>
      <c r="O244" s="42"/>
      <c r="P244" s="42"/>
      <c r="Q244" s="42"/>
      <c r="R244" s="42"/>
      <c r="S244" s="42"/>
      <c r="T244" s="42"/>
      <c r="U244" s="42"/>
      <c r="V244" s="42"/>
      <c r="W244" s="42"/>
      <c r="X244" s="42"/>
      <c r="Y244" s="42"/>
      <c r="Z244" s="42"/>
    </row>
    <row r="245">
      <c r="A245" s="133"/>
      <c r="B245" s="134"/>
      <c r="C245" s="63"/>
      <c r="D245" s="63"/>
      <c r="E245" s="135"/>
      <c r="F245" s="42"/>
      <c r="G245" s="42"/>
      <c r="H245" s="42"/>
      <c r="I245" s="42"/>
      <c r="J245" s="42"/>
      <c r="K245" s="42"/>
      <c r="L245" s="42"/>
      <c r="M245" s="42"/>
      <c r="N245" s="42"/>
      <c r="O245" s="42"/>
      <c r="P245" s="42"/>
      <c r="Q245" s="42"/>
      <c r="R245" s="42"/>
      <c r="S245" s="42"/>
      <c r="T245" s="42"/>
      <c r="U245" s="42"/>
      <c r="V245" s="42"/>
      <c r="W245" s="42"/>
      <c r="X245" s="42"/>
      <c r="Y245" s="42"/>
      <c r="Z245" s="42"/>
    </row>
    <row r="246">
      <c r="A246" s="133"/>
      <c r="B246" s="134"/>
      <c r="C246" s="63"/>
      <c r="D246" s="63"/>
      <c r="E246" s="135"/>
      <c r="F246" s="42"/>
      <c r="G246" s="42"/>
      <c r="H246" s="42"/>
      <c r="I246" s="42"/>
      <c r="J246" s="42"/>
      <c r="K246" s="42"/>
      <c r="L246" s="42"/>
      <c r="M246" s="42"/>
      <c r="N246" s="42"/>
      <c r="O246" s="42"/>
      <c r="P246" s="42"/>
      <c r="Q246" s="42"/>
      <c r="R246" s="42"/>
      <c r="S246" s="42"/>
      <c r="T246" s="42"/>
      <c r="U246" s="42"/>
      <c r="V246" s="42"/>
      <c r="W246" s="42"/>
      <c r="X246" s="42"/>
      <c r="Y246" s="42"/>
      <c r="Z246" s="42"/>
    </row>
    <row r="247">
      <c r="A247" s="133"/>
      <c r="B247" s="134"/>
      <c r="C247" s="63"/>
      <c r="D247" s="63"/>
      <c r="E247" s="135"/>
      <c r="F247" s="42"/>
      <c r="G247" s="42"/>
      <c r="H247" s="42"/>
      <c r="I247" s="42"/>
      <c r="J247" s="42"/>
      <c r="K247" s="42"/>
      <c r="L247" s="42"/>
      <c r="M247" s="42"/>
      <c r="N247" s="42"/>
      <c r="O247" s="42"/>
      <c r="P247" s="42"/>
      <c r="Q247" s="42"/>
      <c r="R247" s="42"/>
      <c r="S247" s="42"/>
      <c r="T247" s="42"/>
      <c r="U247" s="42"/>
      <c r="V247" s="42"/>
      <c r="W247" s="42"/>
      <c r="X247" s="42"/>
      <c r="Y247" s="42"/>
      <c r="Z247" s="42"/>
    </row>
    <row r="248">
      <c r="A248" s="133"/>
      <c r="B248" s="134"/>
      <c r="C248" s="63"/>
      <c r="D248" s="63"/>
      <c r="E248" s="135"/>
      <c r="F248" s="42"/>
      <c r="G248" s="42"/>
      <c r="H248" s="42"/>
      <c r="I248" s="42"/>
      <c r="J248" s="42"/>
      <c r="K248" s="42"/>
      <c r="L248" s="42"/>
      <c r="M248" s="42"/>
      <c r="N248" s="42"/>
      <c r="O248" s="42"/>
      <c r="P248" s="42"/>
      <c r="Q248" s="42"/>
      <c r="R248" s="42"/>
      <c r="S248" s="42"/>
      <c r="T248" s="42"/>
      <c r="U248" s="42"/>
      <c r="V248" s="42"/>
      <c r="W248" s="42"/>
      <c r="X248" s="42"/>
      <c r="Y248" s="42"/>
      <c r="Z248" s="42"/>
    </row>
    <row r="249">
      <c r="A249" s="133"/>
      <c r="B249" s="134"/>
      <c r="C249" s="63"/>
      <c r="D249" s="63"/>
      <c r="E249" s="135"/>
      <c r="F249" s="42"/>
      <c r="G249" s="42"/>
      <c r="H249" s="42"/>
      <c r="I249" s="42"/>
      <c r="J249" s="42"/>
      <c r="K249" s="42"/>
      <c r="L249" s="42"/>
      <c r="M249" s="42"/>
      <c r="N249" s="42"/>
      <c r="O249" s="42"/>
      <c r="P249" s="42"/>
      <c r="Q249" s="42"/>
      <c r="R249" s="42"/>
      <c r="S249" s="42"/>
      <c r="T249" s="42"/>
      <c r="U249" s="42"/>
      <c r="V249" s="42"/>
      <c r="W249" s="42"/>
      <c r="X249" s="42"/>
      <c r="Y249" s="42"/>
      <c r="Z249" s="42"/>
    </row>
    <row r="250">
      <c r="A250" s="133"/>
      <c r="B250" s="134"/>
      <c r="C250" s="63"/>
      <c r="D250" s="63"/>
      <c r="E250" s="135"/>
      <c r="F250" s="42"/>
      <c r="G250" s="42"/>
      <c r="H250" s="42"/>
      <c r="I250" s="42"/>
      <c r="J250" s="42"/>
      <c r="K250" s="42"/>
      <c r="L250" s="42"/>
      <c r="M250" s="42"/>
      <c r="N250" s="42"/>
      <c r="O250" s="42"/>
      <c r="P250" s="42"/>
      <c r="Q250" s="42"/>
      <c r="R250" s="42"/>
      <c r="S250" s="42"/>
      <c r="T250" s="42"/>
      <c r="U250" s="42"/>
      <c r="V250" s="42"/>
      <c r="W250" s="42"/>
      <c r="X250" s="42"/>
      <c r="Y250" s="42"/>
      <c r="Z250" s="42"/>
    </row>
    <row r="251">
      <c r="A251" s="133"/>
      <c r="B251" s="134"/>
      <c r="C251" s="63"/>
      <c r="D251" s="63"/>
      <c r="E251" s="135"/>
      <c r="F251" s="42"/>
      <c r="G251" s="42"/>
      <c r="H251" s="42"/>
      <c r="I251" s="42"/>
      <c r="J251" s="42"/>
      <c r="K251" s="42"/>
      <c r="L251" s="42"/>
      <c r="M251" s="42"/>
      <c r="N251" s="42"/>
      <c r="O251" s="42"/>
      <c r="P251" s="42"/>
      <c r="Q251" s="42"/>
      <c r="R251" s="42"/>
      <c r="S251" s="42"/>
      <c r="T251" s="42"/>
      <c r="U251" s="42"/>
      <c r="V251" s="42"/>
      <c r="W251" s="42"/>
      <c r="X251" s="42"/>
      <c r="Y251" s="42"/>
      <c r="Z251" s="42"/>
    </row>
    <row r="252">
      <c r="A252" s="133"/>
      <c r="B252" s="134"/>
      <c r="C252" s="63"/>
      <c r="D252" s="63"/>
      <c r="E252" s="135"/>
      <c r="F252" s="42"/>
      <c r="G252" s="42"/>
      <c r="H252" s="42"/>
      <c r="I252" s="42"/>
      <c r="J252" s="42"/>
      <c r="K252" s="42"/>
      <c r="L252" s="42"/>
      <c r="M252" s="42"/>
      <c r="N252" s="42"/>
      <c r="O252" s="42"/>
      <c r="P252" s="42"/>
      <c r="Q252" s="42"/>
      <c r="R252" s="42"/>
      <c r="S252" s="42"/>
      <c r="T252" s="42"/>
      <c r="U252" s="42"/>
      <c r="V252" s="42"/>
      <c r="W252" s="42"/>
      <c r="X252" s="42"/>
      <c r="Y252" s="42"/>
      <c r="Z252" s="42"/>
    </row>
    <row r="253">
      <c r="A253" s="133"/>
      <c r="B253" s="134"/>
      <c r="C253" s="63"/>
      <c r="D253" s="63"/>
      <c r="E253" s="135"/>
      <c r="F253" s="42"/>
      <c r="G253" s="42"/>
      <c r="H253" s="42"/>
      <c r="I253" s="42"/>
      <c r="J253" s="42"/>
      <c r="K253" s="42"/>
      <c r="L253" s="42"/>
      <c r="M253" s="42"/>
      <c r="N253" s="42"/>
      <c r="O253" s="42"/>
      <c r="P253" s="42"/>
      <c r="Q253" s="42"/>
      <c r="R253" s="42"/>
      <c r="S253" s="42"/>
      <c r="T253" s="42"/>
      <c r="U253" s="42"/>
      <c r="V253" s="42"/>
      <c r="W253" s="42"/>
      <c r="X253" s="42"/>
      <c r="Y253" s="42"/>
      <c r="Z253" s="42"/>
    </row>
    <row r="254">
      <c r="A254" s="133"/>
      <c r="B254" s="134"/>
      <c r="C254" s="63"/>
      <c r="D254" s="63"/>
      <c r="E254" s="135"/>
      <c r="F254" s="42"/>
      <c r="G254" s="42"/>
      <c r="H254" s="42"/>
      <c r="I254" s="42"/>
      <c r="J254" s="42"/>
      <c r="K254" s="42"/>
      <c r="L254" s="42"/>
      <c r="M254" s="42"/>
      <c r="N254" s="42"/>
      <c r="O254" s="42"/>
      <c r="P254" s="42"/>
      <c r="Q254" s="42"/>
      <c r="R254" s="42"/>
      <c r="S254" s="42"/>
      <c r="T254" s="42"/>
      <c r="U254" s="42"/>
      <c r="V254" s="42"/>
      <c r="W254" s="42"/>
      <c r="X254" s="42"/>
      <c r="Y254" s="42"/>
      <c r="Z254" s="42"/>
    </row>
    <row r="255">
      <c r="A255" s="133"/>
      <c r="B255" s="134"/>
      <c r="C255" s="63"/>
      <c r="D255" s="63"/>
      <c r="E255" s="135"/>
      <c r="F255" s="42"/>
      <c r="G255" s="42"/>
      <c r="H255" s="42"/>
      <c r="I255" s="42"/>
      <c r="J255" s="42"/>
      <c r="K255" s="42"/>
      <c r="L255" s="42"/>
      <c r="M255" s="42"/>
      <c r="N255" s="42"/>
      <c r="O255" s="42"/>
      <c r="P255" s="42"/>
      <c r="Q255" s="42"/>
      <c r="R255" s="42"/>
      <c r="S255" s="42"/>
      <c r="T255" s="42"/>
      <c r="U255" s="42"/>
      <c r="V255" s="42"/>
      <c r="W255" s="42"/>
      <c r="X255" s="42"/>
      <c r="Y255" s="42"/>
      <c r="Z255" s="42"/>
    </row>
    <row r="256">
      <c r="A256" s="133"/>
      <c r="B256" s="134"/>
      <c r="C256" s="63"/>
      <c r="D256" s="63"/>
      <c r="E256" s="135"/>
      <c r="F256" s="42"/>
      <c r="G256" s="42"/>
      <c r="H256" s="42"/>
      <c r="I256" s="42"/>
      <c r="J256" s="42"/>
      <c r="K256" s="42"/>
      <c r="L256" s="42"/>
      <c r="M256" s="42"/>
      <c r="N256" s="42"/>
      <c r="O256" s="42"/>
      <c r="P256" s="42"/>
      <c r="Q256" s="42"/>
      <c r="R256" s="42"/>
      <c r="S256" s="42"/>
      <c r="T256" s="42"/>
      <c r="U256" s="42"/>
      <c r="V256" s="42"/>
      <c r="W256" s="42"/>
      <c r="X256" s="42"/>
      <c r="Y256" s="42"/>
      <c r="Z256" s="42"/>
    </row>
    <row r="257">
      <c r="A257" s="133"/>
      <c r="B257" s="134"/>
      <c r="C257" s="63"/>
      <c r="D257" s="63"/>
      <c r="E257" s="135"/>
      <c r="F257" s="42"/>
      <c r="G257" s="42"/>
      <c r="H257" s="42"/>
      <c r="I257" s="42"/>
      <c r="J257" s="42"/>
      <c r="K257" s="42"/>
      <c r="L257" s="42"/>
      <c r="M257" s="42"/>
      <c r="N257" s="42"/>
      <c r="O257" s="42"/>
      <c r="P257" s="42"/>
      <c r="Q257" s="42"/>
      <c r="R257" s="42"/>
      <c r="S257" s="42"/>
      <c r="T257" s="42"/>
      <c r="U257" s="42"/>
      <c r="V257" s="42"/>
      <c r="W257" s="42"/>
      <c r="X257" s="42"/>
      <c r="Y257" s="42"/>
      <c r="Z257" s="42"/>
    </row>
    <row r="258">
      <c r="A258" s="133"/>
      <c r="B258" s="134"/>
      <c r="C258" s="63"/>
      <c r="D258" s="63"/>
      <c r="E258" s="135"/>
      <c r="F258" s="42"/>
      <c r="G258" s="42"/>
      <c r="H258" s="42"/>
      <c r="I258" s="42"/>
      <c r="J258" s="42"/>
      <c r="K258" s="42"/>
      <c r="L258" s="42"/>
      <c r="M258" s="42"/>
      <c r="N258" s="42"/>
      <c r="O258" s="42"/>
      <c r="P258" s="42"/>
      <c r="Q258" s="42"/>
      <c r="R258" s="42"/>
      <c r="S258" s="42"/>
      <c r="T258" s="42"/>
      <c r="U258" s="42"/>
      <c r="V258" s="42"/>
      <c r="W258" s="42"/>
      <c r="X258" s="42"/>
      <c r="Y258" s="42"/>
      <c r="Z258" s="42"/>
    </row>
    <row r="259">
      <c r="A259" s="133"/>
      <c r="B259" s="134"/>
      <c r="C259" s="63"/>
      <c r="D259" s="63"/>
      <c r="E259" s="135"/>
      <c r="F259" s="42"/>
      <c r="G259" s="42"/>
      <c r="H259" s="42"/>
      <c r="I259" s="42"/>
      <c r="J259" s="42"/>
      <c r="K259" s="42"/>
      <c r="L259" s="42"/>
      <c r="M259" s="42"/>
      <c r="N259" s="42"/>
      <c r="O259" s="42"/>
      <c r="P259" s="42"/>
      <c r="Q259" s="42"/>
      <c r="R259" s="42"/>
      <c r="S259" s="42"/>
      <c r="T259" s="42"/>
      <c r="U259" s="42"/>
      <c r="V259" s="42"/>
      <c r="W259" s="42"/>
      <c r="X259" s="42"/>
      <c r="Y259" s="42"/>
      <c r="Z259" s="42"/>
    </row>
    <row r="260">
      <c r="A260" s="133"/>
      <c r="B260" s="134"/>
      <c r="C260" s="63"/>
      <c r="D260" s="63"/>
      <c r="E260" s="135"/>
      <c r="F260" s="42"/>
      <c r="G260" s="42"/>
      <c r="H260" s="42"/>
      <c r="I260" s="42"/>
      <c r="J260" s="42"/>
      <c r="K260" s="42"/>
      <c r="L260" s="42"/>
      <c r="M260" s="42"/>
      <c r="N260" s="42"/>
      <c r="O260" s="42"/>
      <c r="P260" s="42"/>
      <c r="Q260" s="42"/>
      <c r="R260" s="42"/>
      <c r="S260" s="42"/>
      <c r="T260" s="42"/>
      <c r="U260" s="42"/>
      <c r="V260" s="42"/>
      <c r="W260" s="42"/>
      <c r="X260" s="42"/>
      <c r="Y260" s="42"/>
      <c r="Z260" s="42"/>
    </row>
    <row r="261">
      <c r="A261" s="133"/>
      <c r="B261" s="134"/>
      <c r="C261" s="63"/>
      <c r="D261" s="63"/>
      <c r="E261" s="135"/>
      <c r="F261" s="42"/>
      <c r="G261" s="42"/>
      <c r="H261" s="42"/>
      <c r="I261" s="42"/>
      <c r="J261" s="42"/>
      <c r="K261" s="42"/>
      <c r="L261" s="42"/>
      <c r="M261" s="42"/>
      <c r="N261" s="42"/>
      <c r="O261" s="42"/>
      <c r="P261" s="42"/>
      <c r="Q261" s="42"/>
      <c r="R261" s="42"/>
      <c r="S261" s="42"/>
      <c r="T261" s="42"/>
      <c r="U261" s="42"/>
      <c r="V261" s="42"/>
      <c r="W261" s="42"/>
      <c r="X261" s="42"/>
      <c r="Y261" s="42"/>
      <c r="Z261" s="42"/>
    </row>
    <row r="262">
      <c r="A262" s="133"/>
      <c r="B262" s="134"/>
      <c r="C262" s="63"/>
      <c r="D262" s="63"/>
      <c r="E262" s="135"/>
      <c r="F262" s="42"/>
      <c r="G262" s="42"/>
      <c r="H262" s="42"/>
      <c r="I262" s="42"/>
      <c r="J262" s="42"/>
      <c r="K262" s="42"/>
      <c r="L262" s="42"/>
      <c r="M262" s="42"/>
      <c r="N262" s="42"/>
      <c r="O262" s="42"/>
      <c r="P262" s="42"/>
      <c r="Q262" s="42"/>
      <c r="R262" s="42"/>
      <c r="S262" s="42"/>
      <c r="T262" s="42"/>
      <c r="U262" s="42"/>
      <c r="V262" s="42"/>
      <c r="W262" s="42"/>
      <c r="X262" s="42"/>
      <c r="Y262" s="42"/>
      <c r="Z262" s="42"/>
    </row>
    <row r="263">
      <c r="A263" s="133"/>
      <c r="B263" s="134"/>
      <c r="C263" s="63"/>
      <c r="D263" s="63"/>
      <c r="E263" s="135"/>
      <c r="F263" s="42"/>
      <c r="G263" s="42"/>
      <c r="H263" s="42"/>
      <c r="I263" s="42"/>
      <c r="J263" s="42"/>
      <c r="K263" s="42"/>
      <c r="L263" s="42"/>
      <c r="M263" s="42"/>
      <c r="N263" s="42"/>
      <c r="O263" s="42"/>
      <c r="P263" s="42"/>
      <c r="Q263" s="42"/>
      <c r="R263" s="42"/>
      <c r="S263" s="42"/>
      <c r="T263" s="42"/>
      <c r="U263" s="42"/>
      <c r="V263" s="42"/>
      <c r="W263" s="42"/>
      <c r="X263" s="42"/>
      <c r="Y263" s="42"/>
      <c r="Z263" s="42"/>
    </row>
    <row r="264">
      <c r="A264" s="133"/>
      <c r="B264" s="134"/>
      <c r="C264" s="63"/>
      <c r="D264" s="63"/>
      <c r="E264" s="135"/>
      <c r="F264" s="42"/>
      <c r="G264" s="42"/>
      <c r="H264" s="42"/>
      <c r="I264" s="42"/>
      <c r="J264" s="42"/>
      <c r="K264" s="42"/>
      <c r="L264" s="42"/>
      <c r="M264" s="42"/>
      <c r="N264" s="42"/>
      <c r="O264" s="42"/>
      <c r="P264" s="42"/>
      <c r="Q264" s="42"/>
      <c r="R264" s="42"/>
      <c r="S264" s="42"/>
      <c r="T264" s="42"/>
      <c r="U264" s="42"/>
      <c r="V264" s="42"/>
      <c r="W264" s="42"/>
      <c r="X264" s="42"/>
      <c r="Y264" s="42"/>
      <c r="Z264" s="42"/>
    </row>
    <row r="265">
      <c r="A265" s="133"/>
      <c r="B265" s="134"/>
      <c r="C265" s="63"/>
      <c r="D265" s="63"/>
      <c r="E265" s="135"/>
      <c r="F265" s="42"/>
      <c r="G265" s="42"/>
      <c r="H265" s="42"/>
      <c r="I265" s="42"/>
      <c r="J265" s="42"/>
      <c r="K265" s="42"/>
      <c r="L265" s="42"/>
      <c r="M265" s="42"/>
      <c r="N265" s="42"/>
      <c r="O265" s="42"/>
      <c r="P265" s="42"/>
      <c r="Q265" s="42"/>
      <c r="R265" s="42"/>
      <c r="S265" s="42"/>
      <c r="T265" s="42"/>
      <c r="U265" s="42"/>
      <c r="V265" s="42"/>
      <c r="W265" s="42"/>
      <c r="X265" s="42"/>
      <c r="Y265" s="42"/>
      <c r="Z265" s="42"/>
    </row>
    <row r="266">
      <c r="A266" s="133"/>
      <c r="B266" s="134"/>
      <c r="C266" s="63"/>
      <c r="D266" s="63"/>
      <c r="E266" s="135"/>
      <c r="F266" s="42"/>
      <c r="G266" s="42"/>
      <c r="H266" s="42"/>
      <c r="I266" s="42"/>
      <c r="J266" s="42"/>
      <c r="K266" s="42"/>
      <c r="L266" s="42"/>
      <c r="M266" s="42"/>
      <c r="N266" s="42"/>
      <c r="O266" s="42"/>
      <c r="P266" s="42"/>
      <c r="Q266" s="42"/>
      <c r="R266" s="42"/>
      <c r="S266" s="42"/>
      <c r="T266" s="42"/>
      <c r="U266" s="42"/>
      <c r="V266" s="42"/>
      <c r="W266" s="42"/>
      <c r="X266" s="42"/>
      <c r="Y266" s="42"/>
      <c r="Z266" s="42"/>
    </row>
    <row r="267">
      <c r="A267" s="133"/>
      <c r="B267" s="134"/>
      <c r="C267" s="63"/>
      <c r="D267" s="63"/>
      <c r="E267" s="135"/>
      <c r="F267" s="42"/>
      <c r="G267" s="42"/>
      <c r="H267" s="42"/>
      <c r="I267" s="42"/>
      <c r="J267" s="42"/>
      <c r="K267" s="42"/>
      <c r="L267" s="42"/>
      <c r="M267" s="42"/>
      <c r="N267" s="42"/>
      <c r="O267" s="42"/>
      <c r="P267" s="42"/>
      <c r="Q267" s="42"/>
      <c r="R267" s="42"/>
      <c r="S267" s="42"/>
      <c r="T267" s="42"/>
      <c r="U267" s="42"/>
      <c r="V267" s="42"/>
      <c r="W267" s="42"/>
      <c r="X267" s="42"/>
      <c r="Y267" s="42"/>
      <c r="Z267" s="42"/>
    </row>
    <row r="268">
      <c r="A268" s="133"/>
      <c r="B268" s="134"/>
      <c r="C268" s="63"/>
      <c r="D268" s="63"/>
      <c r="E268" s="135"/>
      <c r="F268" s="42"/>
      <c r="G268" s="42"/>
      <c r="H268" s="42"/>
      <c r="I268" s="42"/>
      <c r="J268" s="42"/>
      <c r="K268" s="42"/>
      <c r="L268" s="42"/>
      <c r="M268" s="42"/>
      <c r="N268" s="42"/>
      <c r="O268" s="42"/>
      <c r="P268" s="42"/>
      <c r="Q268" s="42"/>
      <c r="R268" s="42"/>
      <c r="S268" s="42"/>
      <c r="T268" s="42"/>
      <c r="U268" s="42"/>
      <c r="V268" s="42"/>
      <c r="W268" s="42"/>
      <c r="X268" s="42"/>
      <c r="Y268" s="42"/>
      <c r="Z268" s="42"/>
    </row>
    <row r="269">
      <c r="A269" s="133"/>
      <c r="B269" s="134"/>
      <c r="C269" s="63"/>
      <c r="D269" s="63"/>
      <c r="E269" s="135"/>
      <c r="F269" s="42"/>
      <c r="G269" s="42"/>
      <c r="H269" s="42"/>
      <c r="I269" s="42"/>
      <c r="J269" s="42"/>
      <c r="K269" s="42"/>
      <c r="L269" s="42"/>
      <c r="M269" s="42"/>
      <c r="N269" s="42"/>
      <c r="O269" s="42"/>
      <c r="P269" s="42"/>
      <c r="Q269" s="42"/>
      <c r="R269" s="42"/>
      <c r="S269" s="42"/>
      <c r="T269" s="42"/>
      <c r="U269" s="42"/>
      <c r="V269" s="42"/>
      <c r="W269" s="42"/>
      <c r="X269" s="42"/>
      <c r="Y269" s="42"/>
      <c r="Z269" s="42"/>
    </row>
    <row r="270">
      <c r="A270" s="133"/>
      <c r="B270" s="134"/>
      <c r="C270" s="63"/>
      <c r="D270" s="63"/>
      <c r="E270" s="135"/>
      <c r="F270" s="42"/>
      <c r="G270" s="42"/>
      <c r="H270" s="42"/>
      <c r="I270" s="42"/>
      <c r="J270" s="42"/>
      <c r="K270" s="42"/>
      <c r="L270" s="42"/>
      <c r="M270" s="42"/>
      <c r="N270" s="42"/>
      <c r="O270" s="42"/>
      <c r="P270" s="42"/>
      <c r="Q270" s="42"/>
      <c r="R270" s="42"/>
      <c r="S270" s="42"/>
      <c r="T270" s="42"/>
      <c r="U270" s="42"/>
      <c r="V270" s="42"/>
      <c r="W270" s="42"/>
      <c r="X270" s="42"/>
      <c r="Y270" s="42"/>
      <c r="Z270" s="42"/>
    </row>
    <row r="271">
      <c r="A271" s="133"/>
      <c r="B271" s="134"/>
      <c r="C271" s="63"/>
      <c r="D271" s="63"/>
      <c r="E271" s="135"/>
      <c r="F271" s="42"/>
      <c r="G271" s="42"/>
      <c r="H271" s="42"/>
      <c r="I271" s="42"/>
      <c r="J271" s="42"/>
      <c r="K271" s="42"/>
      <c r="L271" s="42"/>
      <c r="M271" s="42"/>
      <c r="N271" s="42"/>
      <c r="O271" s="42"/>
      <c r="P271" s="42"/>
      <c r="Q271" s="42"/>
      <c r="R271" s="42"/>
      <c r="S271" s="42"/>
      <c r="T271" s="42"/>
      <c r="U271" s="42"/>
      <c r="V271" s="42"/>
      <c r="W271" s="42"/>
      <c r="X271" s="42"/>
      <c r="Y271" s="42"/>
      <c r="Z271" s="42"/>
    </row>
    <row r="272">
      <c r="A272" s="133"/>
      <c r="B272" s="134"/>
      <c r="C272" s="63"/>
      <c r="D272" s="63"/>
      <c r="E272" s="135"/>
      <c r="F272" s="42"/>
      <c r="G272" s="42"/>
      <c r="H272" s="42"/>
      <c r="I272" s="42"/>
      <c r="J272" s="42"/>
      <c r="K272" s="42"/>
      <c r="L272" s="42"/>
      <c r="M272" s="42"/>
      <c r="N272" s="42"/>
      <c r="O272" s="42"/>
      <c r="P272" s="42"/>
      <c r="Q272" s="42"/>
      <c r="R272" s="42"/>
      <c r="S272" s="42"/>
      <c r="T272" s="42"/>
      <c r="U272" s="42"/>
      <c r="V272" s="42"/>
      <c r="W272" s="42"/>
      <c r="X272" s="42"/>
      <c r="Y272" s="42"/>
      <c r="Z272" s="42"/>
    </row>
    <row r="273">
      <c r="A273" s="133"/>
      <c r="B273" s="134"/>
      <c r="C273" s="63"/>
      <c r="D273" s="63"/>
      <c r="E273" s="135"/>
      <c r="F273" s="42"/>
      <c r="G273" s="42"/>
      <c r="H273" s="42"/>
      <c r="I273" s="42"/>
      <c r="J273" s="42"/>
      <c r="K273" s="42"/>
      <c r="L273" s="42"/>
      <c r="M273" s="42"/>
      <c r="N273" s="42"/>
      <c r="O273" s="42"/>
      <c r="P273" s="42"/>
      <c r="Q273" s="42"/>
      <c r="R273" s="42"/>
      <c r="S273" s="42"/>
      <c r="T273" s="42"/>
      <c r="U273" s="42"/>
      <c r="V273" s="42"/>
      <c r="W273" s="42"/>
      <c r="X273" s="42"/>
      <c r="Y273" s="42"/>
      <c r="Z273" s="42"/>
    </row>
    <row r="274">
      <c r="A274" s="133"/>
      <c r="B274" s="134"/>
      <c r="C274" s="63"/>
      <c r="D274" s="63"/>
      <c r="E274" s="135"/>
      <c r="F274" s="42"/>
      <c r="G274" s="42"/>
      <c r="H274" s="42"/>
      <c r="I274" s="42"/>
      <c r="J274" s="42"/>
      <c r="K274" s="42"/>
      <c r="L274" s="42"/>
      <c r="M274" s="42"/>
      <c r="N274" s="42"/>
      <c r="O274" s="42"/>
      <c r="P274" s="42"/>
      <c r="Q274" s="42"/>
      <c r="R274" s="42"/>
      <c r="S274" s="42"/>
      <c r="T274" s="42"/>
      <c r="U274" s="42"/>
      <c r="V274" s="42"/>
      <c r="W274" s="42"/>
      <c r="X274" s="42"/>
      <c r="Y274" s="42"/>
      <c r="Z274" s="42"/>
    </row>
    <row r="275">
      <c r="A275" s="133"/>
      <c r="B275" s="134"/>
      <c r="C275" s="63"/>
      <c r="D275" s="63"/>
      <c r="E275" s="135"/>
      <c r="F275" s="42"/>
      <c r="G275" s="42"/>
      <c r="H275" s="42"/>
      <c r="I275" s="42"/>
      <c r="J275" s="42"/>
      <c r="K275" s="42"/>
      <c r="L275" s="42"/>
      <c r="M275" s="42"/>
      <c r="N275" s="42"/>
      <c r="O275" s="42"/>
      <c r="P275" s="42"/>
      <c r="Q275" s="42"/>
      <c r="R275" s="42"/>
      <c r="S275" s="42"/>
      <c r="T275" s="42"/>
      <c r="U275" s="42"/>
      <c r="V275" s="42"/>
      <c r="W275" s="42"/>
      <c r="X275" s="42"/>
      <c r="Y275" s="42"/>
      <c r="Z275" s="42"/>
    </row>
    <row r="276">
      <c r="A276" s="133"/>
      <c r="B276" s="134"/>
      <c r="C276" s="63"/>
      <c r="D276" s="63"/>
      <c r="E276" s="135"/>
      <c r="F276" s="42"/>
      <c r="G276" s="42"/>
      <c r="H276" s="42"/>
      <c r="I276" s="42"/>
      <c r="J276" s="42"/>
      <c r="K276" s="42"/>
      <c r="L276" s="42"/>
      <c r="M276" s="42"/>
      <c r="N276" s="42"/>
      <c r="O276" s="42"/>
      <c r="P276" s="42"/>
      <c r="Q276" s="42"/>
      <c r="R276" s="42"/>
      <c r="S276" s="42"/>
      <c r="T276" s="42"/>
      <c r="U276" s="42"/>
      <c r="V276" s="42"/>
      <c r="W276" s="42"/>
      <c r="X276" s="42"/>
      <c r="Y276" s="42"/>
      <c r="Z276" s="42"/>
    </row>
    <row r="277">
      <c r="A277" s="133"/>
      <c r="B277" s="134"/>
      <c r="C277" s="63"/>
      <c r="D277" s="63"/>
      <c r="E277" s="135"/>
      <c r="F277" s="42"/>
      <c r="G277" s="42"/>
      <c r="H277" s="42"/>
      <c r="I277" s="42"/>
      <c r="J277" s="42"/>
      <c r="K277" s="42"/>
      <c r="L277" s="42"/>
      <c r="M277" s="42"/>
      <c r="N277" s="42"/>
      <c r="O277" s="42"/>
      <c r="P277" s="42"/>
      <c r="Q277" s="42"/>
      <c r="R277" s="42"/>
      <c r="S277" s="42"/>
      <c r="T277" s="42"/>
      <c r="U277" s="42"/>
      <c r="V277" s="42"/>
      <c r="W277" s="42"/>
      <c r="X277" s="42"/>
      <c r="Y277" s="42"/>
      <c r="Z277" s="42"/>
    </row>
    <row r="278">
      <c r="A278" s="133"/>
      <c r="B278" s="134"/>
      <c r="C278" s="63"/>
      <c r="D278" s="63"/>
      <c r="E278" s="135"/>
      <c r="F278" s="42"/>
      <c r="G278" s="42"/>
      <c r="H278" s="42"/>
      <c r="I278" s="42"/>
      <c r="J278" s="42"/>
      <c r="K278" s="42"/>
      <c r="L278" s="42"/>
      <c r="M278" s="42"/>
      <c r="N278" s="42"/>
      <c r="O278" s="42"/>
      <c r="P278" s="42"/>
      <c r="Q278" s="42"/>
      <c r="R278" s="42"/>
      <c r="S278" s="42"/>
      <c r="T278" s="42"/>
      <c r="U278" s="42"/>
      <c r="V278" s="42"/>
      <c r="W278" s="42"/>
      <c r="X278" s="42"/>
      <c r="Y278" s="42"/>
      <c r="Z278" s="42"/>
    </row>
    <row r="279">
      <c r="A279" s="133"/>
      <c r="B279" s="134"/>
      <c r="C279" s="63"/>
      <c r="D279" s="63"/>
      <c r="E279" s="135"/>
      <c r="F279" s="42"/>
      <c r="G279" s="42"/>
      <c r="H279" s="42"/>
      <c r="I279" s="42"/>
      <c r="J279" s="42"/>
      <c r="K279" s="42"/>
      <c r="L279" s="42"/>
      <c r="M279" s="42"/>
      <c r="N279" s="42"/>
      <c r="O279" s="42"/>
      <c r="P279" s="42"/>
      <c r="Q279" s="42"/>
      <c r="R279" s="42"/>
      <c r="S279" s="42"/>
      <c r="T279" s="42"/>
      <c r="U279" s="42"/>
      <c r="V279" s="42"/>
      <c r="W279" s="42"/>
      <c r="X279" s="42"/>
      <c r="Y279" s="42"/>
      <c r="Z279" s="42"/>
    </row>
    <row r="280">
      <c r="A280" s="133"/>
      <c r="B280" s="134"/>
      <c r="C280" s="63"/>
      <c r="D280" s="63"/>
      <c r="E280" s="135"/>
      <c r="F280" s="42"/>
      <c r="G280" s="42"/>
      <c r="H280" s="42"/>
      <c r="I280" s="42"/>
      <c r="J280" s="42"/>
      <c r="K280" s="42"/>
      <c r="L280" s="42"/>
      <c r="M280" s="42"/>
      <c r="N280" s="42"/>
      <c r="O280" s="42"/>
      <c r="P280" s="42"/>
      <c r="Q280" s="42"/>
      <c r="R280" s="42"/>
      <c r="S280" s="42"/>
      <c r="T280" s="42"/>
      <c r="U280" s="42"/>
      <c r="V280" s="42"/>
      <c r="W280" s="42"/>
      <c r="X280" s="42"/>
      <c r="Y280" s="42"/>
      <c r="Z280" s="42"/>
    </row>
    <row r="281">
      <c r="A281" s="133"/>
      <c r="B281" s="134"/>
      <c r="C281" s="63"/>
      <c r="D281" s="63"/>
      <c r="E281" s="135"/>
      <c r="F281" s="42"/>
      <c r="G281" s="42"/>
      <c r="H281" s="42"/>
      <c r="I281" s="42"/>
      <c r="J281" s="42"/>
      <c r="K281" s="42"/>
      <c r="L281" s="42"/>
      <c r="M281" s="42"/>
      <c r="N281" s="42"/>
      <c r="O281" s="42"/>
      <c r="P281" s="42"/>
      <c r="Q281" s="42"/>
      <c r="R281" s="42"/>
      <c r="S281" s="42"/>
      <c r="T281" s="42"/>
      <c r="U281" s="42"/>
      <c r="V281" s="42"/>
      <c r="W281" s="42"/>
      <c r="X281" s="42"/>
      <c r="Y281" s="42"/>
      <c r="Z281" s="42"/>
    </row>
    <row r="282">
      <c r="A282" s="133"/>
      <c r="B282" s="134"/>
      <c r="C282" s="63"/>
      <c r="D282" s="63"/>
      <c r="E282" s="135"/>
      <c r="F282" s="42"/>
      <c r="G282" s="42"/>
      <c r="H282" s="42"/>
      <c r="I282" s="42"/>
      <c r="J282" s="42"/>
      <c r="K282" s="42"/>
      <c r="L282" s="42"/>
      <c r="M282" s="42"/>
      <c r="N282" s="42"/>
      <c r="O282" s="42"/>
      <c r="P282" s="42"/>
      <c r="Q282" s="42"/>
      <c r="R282" s="42"/>
      <c r="S282" s="42"/>
      <c r="T282" s="42"/>
      <c r="U282" s="42"/>
      <c r="V282" s="42"/>
      <c r="W282" s="42"/>
      <c r="X282" s="42"/>
      <c r="Y282" s="42"/>
      <c r="Z282" s="42"/>
    </row>
    <row r="283">
      <c r="A283" s="133"/>
      <c r="B283" s="134"/>
      <c r="C283" s="63"/>
      <c r="D283" s="63"/>
      <c r="E283" s="135"/>
      <c r="F283" s="42"/>
      <c r="G283" s="42"/>
      <c r="H283" s="42"/>
      <c r="I283" s="42"/>
      <c r="J283" s="42"/>
      <c r="K283" s="42"/>
      <c r="L283" s="42"/>
      <c r="M283" s="42"/>
      <c r="N283" s="42"/>
      <c r="O283" s="42"/>
      <c r="P283" s="42"/>
      <c r="Q283" s="42"/>
      <c r="R283" s="42"/>
      <c r="S283" s="42"/>
      <c r="T283" s="42"/>
      <c r="U283" s="42"/>
      <c r="V283" s="42"/>
      <c r="W283" s="42"/>
      <c r="X283" s="42"/>
      <c r="Y283" s="42"/>
      <c r="Z283" s="42"/>
    </row>
    <row r="284">
      <c r="A284" s="133"/>
      <c r="B284" s="134"/>
      <c r="C284" s="63"/>
      <c r="D284" s="63"/>
      <c r="E284" s="135"/>
      <c r="F284" s="42"/>
      <c r="G284" s="42"/>
      <c r="H284" s="42"/>
      <c r="I284" s="42"/>
      <c r="J284" s="42"/>
      <c r="K284" s="42"/>
      <c r="L284" s="42"/>
      <c r="M284" s="42"/>
      <c r="N284" s="42"/>
      <c r="O284" s="42"/>
      <c r="P284" s="42"/>
      <c r="Q284" s="42"/>
      <c r="R284" s="42"/>
      <c r="S284" s="42"/>
      <c r="T284" s="42"/>
      <c r="U284" s="42"/>
      <c r="V284" s="42"/>
      <c r="W284" s="42"/>
      <c r="X284" s="42"/>
      <c r="Y284" s="42"/>
      <c r="Z284" s="42"/>
    </row>
    <row r="285">
      <c r="A285" s="133"/>
      <c r="B285" s="134"/>
      <c r="C285" s="63"/>
      <c r="D285" s="63"/>
      <c r="E285" s="135"/>
      <c r="F285" s="42"/>
      <c r="G285" s="42"/>
      <c r="H285" s="42"/>
      <c r="I285" s="42"/>
      <c r="J285" s="42"/>
      <c r="K285" s="42"/>
      <c r="L285" s="42"/>
      <c r="M285" s="42"/>
      <c r="N285" s="42"/>
      <c r="O285" s="42"/>
      <c r="P285" s="42"/>
      <c r="Q285" s="42"/>
      <c r="R285" s="42"/>
      <c r="S285" s="42"/>
      <c r="T285" s="42"/>
      <c r="U285" s="42"/>
      <c r="V285" s="42"/>
      <c r="W285" s="42"/>
      <c r="X285" s="42"/>
      <c r="Y285" s="42"/>
      <c r="Z285" s="42"/>
    </row>
    <row r="286">
      <c r="A286" s="133"/>
      <c r="B286" s="134"/>
      <c r="C286" s="63"/>
      <c r="D286" s="63"/>
      <c r="E286" s="135"/>
      <c r="F286" s="42"/>
      <c r="G286" s="42"/>
      <c r="H286" s="42"/>
      <c r="I286" s="42"/>
      <c r="J286" s="42"/>
      <c r="K286" s="42"/>
      <c r="L286" s="42"/>
      <c r="M286" s="42"/>
      <c r="N286" s="42"/>
      <c r="O286" s="42"/>
      <c r="P286" s="42"/>
      <c r="Q286" s="42"/>
      <c r="R286" s="42"/>
      <c r="S286" s="42"/>
      <c r="T286" s="42"/>
      <c r="U286" s="42"/>
      <c r="V286" s="42"/>
      <c r="W286" s="42"/>
      <c r="X286" s="42"/>
      <c r="Y286" s="42"/>
      <c r="Z286" s="42"/>
    </row>
    <row r="287">
      <c r="A287" s="133"/>
      <c r="B287" s="134"/>
      <c r="C287" s="63"/>
      <c r="D287" s="63"/>
      <c r="E287" s="135"/>
      <c r="F287" s="42"/>
      <c r="G287" s="42"/>
      <c r="H287" s="42"/>
      <c r="I287" s="42"/>
      <c r="J287" s="42"/>
      <c r="K287" s="42"/>
      <c r="L287" s="42"/>
      <c r="M287" s="42"/>
      <c r="N287" s="42"/>
      <c r="O287" s="42"/>
      <c r="P287" s="42"/>
      <c r="Q287" s="42"/>
      <c r="R287" s="42"/>
      <c r="S287" s="42"/>
      <c r="T287" s="42"/>
      <c r="U287" s="42"/>
      <c r="V287" s="42"/>
      <c r="W287" s="42"/>
      <c r="X287" s="42"/>
      <c r="Y287" s="42"/>
      <c r="Z287" s="42"/>
    </row>
    <row r="288">
      <c r="A288" s="133"/>
      <c r="B288" s="134"/>
      <c r="C288" s="63"/>
      <c r="D288" s="63"/>
      <c r="E288" s="135"/>
      <c r="F288" s="42"/>
      <c r="G288" s="42"/>
      <c r="H288" s="42"/>
      <c r="I288" s="42"/>
      <c r="J288" s="42"/>
      <c r="K288" s="42"/>
      <c r="L288" s="42"/>
      <c r="M288" s="42"/>
      <c r="N288" s="42"/>
      <c r="O288" s="42"/>
      <c r="P288" s="42"/>
      <c r="Q288" s="42"/>
      <c r="R288" s="42"/>
      <c r="S288" s="42"/>
      <c r="T288" s="42"/>
      <c r="U288" s="42"/>
      <c r="V288" s="42"/>
      <c r="W288" s="42"/>
      <c r="X288" s="42"/>
      <c r="Y288" s="42"/>
      <c r="Z288" s="42"/>
    </row>
    <row r="289">
      <c r="A289" s="133"/>
      <c r="B289" s="134"/>
      <c r="C289" s="63"/>
      <c r="D289" s="63"/>
      <c r="E289" s="135"/>
      <c r="F289" s="42"/>
      <c r="G289" s="42"/>
      <c r="H289" s="42"/>
      <c r="I289" s="42"/>
      <c r="J289" s="42"/>
      <c r="K289" s="42"/>
      <c r="L289" s="42"/>
      <c r="M289" s="42"/>
      <c r="N289" s="42"/>
      <c r="O289" s="42"/>
      <c r="P289" s="42"/>
      <c r="Q289" s="42"/>
      <c r="R289" s="42"/>
      <c r="S289" s="42"/>
      <c r="T289" s="42"/>
      <c r="U289" s="42"/>
      <c r="V289" s="42"/>
      <c r="W289" s="42"/>
      <c r="X289" s="42"/>
      <c r="Y289" s="42"/>
      <c r="Z289" s="42"/>
    </row>
    <row r="290">
      <c r="A290" s="133"/>
      <c r="B290" s="134"/>
      <c r="C290" s="63"/>
      <c r="D290" s="63"/>
      <c r="E290" s="135"/>
      <c r="F290" s="42"/>
      <c r="G290" s="42"/>
      <c r="H290" s="42"/>
      <c r="I290" s="42"/>
      <c r="J290" s="42"/>
      <c r="K290" s="42"/>
      <c r="L290" s="42"/>
      <c r="M290" s="42"/>
      <c r="N290" s="42"/>
      <c r="O290" s="42"/>
      <c r="P290" s="42"/>
      <c r="Q290" s="42"/>
      <c r="R290" s="42"/>
      <c r="S290" s="42"/>
      <c r="T290" s="42"/>
      <c r="U290" s="42"/>
      <c r="V290" s="42"/>
      <c r="W290" s="42"/>
      <c r="X290" s="42"/>
      <c r="Y290" s="42"/>
      <c r="Z290" s="42"/>
    </row>
    <row r="291">
      <c r="A291" s="133"/>
      <c r="B291" s="134"/>
      <c r="C291" s="63"/>
      <c r="D291" s="63"/>
      <c r="E291" s="135"/>
      <c r="F291" s="42"/>
      <c r="G291" s="42"/>
      <c r="H291" s="42"/>
      <c r="I291" s="42"/>
      <c r="J291" s="42"/>
      <c r="K291" s="42"/>
      <c r="L291" s="42"/>
      <c r="M291" s="42"/>
      <c r="N291" s="42"/>
      <c r="O291" s="42"/>
      <c r="P291" s="42"/>
      <c r="Q291" s="42"/>
      <c r="R291" s="42"/>
      <c r="S291" s="42"/>
      <c r="T291" s="42"/>
      <c r="U291" s="42"/>
      <c r="V291" s="42"/>
      <c r="W291" s="42"/>
      <c r="X291" s="42"/>
      <c r="Y291" s="42"/>
      <c r="Z291" s="42"/>
    </row>
    <row r="292">
      <c r="A292" s="133"/>
      <c r="B292" s="134"/>
      <c r="C292" s="63"/>
      <c r="D292" s="63"/>
      <c r="E292" s="135"/>
      <c r="F292" s="42"/>
      <c r="G292" s="42"/>
      <c r="H292" s="42"/>
      <c r="I292" s="42"/>
      <c r="J292" s="42"/>
      <c r="K292" s="42"/>
      <c r="L292" s="42"/>
      <c r="M292" s="42"/>
      <c r="N292" s="42"/>
      <c r="O292" s="42"/>
      <c r="P292" s="42"/>
      <c r="Q292" s="42"/>
      <c r="R292" s="42"/>
      <c r="S292" s="42"/>
      <c r="T292" s="42"/>
      <c r="U292" s="42"/>
      <c r="V292" s="42"/>
      <c r="W292" s="42"/>
      <c r="X292" s="42"/>
      <c r="Y292" s="42"/>
      <c r="Z292" s="42"/>
    </row>
    <row r="293">
      <c r="A293" s="133"/>
      <c r="B293" s="134"/>
      <c r="C293" s="63"/>
      <c r="D293" s="63"/>
      <c r="E293" s="135"/>
      <c r="F293" s="42"/>
      <c r="G293" s="42"/>
      <c r="H293" s="42"/>
      <c r="I293" s="42"/>
      <c r="J293" s="42"/>
      <c r="K293" s="42"/>
      <c r="L293" s="42"/>
      <c r="M293" s="42"/>
      <c r="N293" s="42"/>
      <c r="O293" s="42"/>
      <c r="P293" s="42"/>
      <c r="Q293" s="42"/>
      <c r="R293" s="42"/>
      <c r="S293" s="42"/>
      <c r="T293" s="42"/>
      <c r="U293" s="42"/>
      <c r="V293" s="42"/>
      <c r="W293" s="42"/>
      <c r="X293" s="42"/>
      <c r="Y293" s="42"/>
      <c r="Z293" s="42"/>
    </row>
    <row r="294">
      <c r="A294" s="133"/>
      <c r="B294" s="134"/>
      <c r="C294" s="63"/>
      <c r="D294" s="63"/>
      <c r="E294" s="135"/>
      <c r="F294" s="42"/>
      <c r="G294" s="42"/>
      <c r="H294" s="42"/>
      <c r="I294" s="42"/>
      <c r="J294" s="42"/>
      <c r="K294" s="42"/>
      <c r="L294" s="42"/>
      <c r="M294" s="42"/>
      <c r="N294" s="42"/>
      <c r="O294" s="42"/>
      <c r="P294" s="42"/>
      <c r="Q294" s="42"/>
      <c r="R294" s="42"/>
      <c r="S294" s="42"/>
      <c r="T294" s="42"/>
      <c r="U294" s="42"/>
      <c r="V294" s="42"/>
      <c r="W294" s="42"/>
      <c r="X294" s="42"/>
      <c r="Y294" s="42"/>
      <c r="Z294" s="42"/>
    </row>
    <row r="295">
      <c r="A295" s="133"/>
      <c r="B295" s="134"/>
      <c r="C295" s="63"/>
      <c r="D295" s="63"/>
      <c r="E295" s="135"/>
      <c r="F295" s="42"/>
      <c r="G295" s="42"/>
      <c r="H295" s="42"/>
      <c r="I295" s="42"/>
      <c r="J295" s="42"/>
      <c r="K295" s="42"/>
      <c r="L295" s="42"/>
      <c r="M295" s="42"/>
      <c r="N295" s="42"/>
      <c r="O295" s="42"/>
      <c r="P295" s="42"/>
      <c r="Q295" s="42"/>
      <c r="R295" s="42"/>
      <c r="S295" s="42"/>
      <c r="T295" s="42"/>
      <c r="U295" s="42"/>
      <c r="V295" s="42"/>
      <c r="W295" s="42"/>
      <c r="X295" s="42"/>
      <c r="Y295" s="42"/>
      <c r="Z295" s="42"/>
    </row>
    <row r="296">
      <c r="A296" s="133"/>
      <c r="B296" s="134"/>
      <c r="C296" s="63"/>
      <c r="D296" s="63"/>
      <c r="E296" s="135"/>
      <c r="F296" s="42"/>
      <c r="G296" s="42"/>
      <c r="H296" s="42"/>
      <c r="I296" s="42"/>
      <c r="J296" s="42"/>
      <c r="K296" s="42"/>
      <c r="L296" s="42"/>
      <c r="M296" s="42"/>
      <c r="N296" s="42"/>
      <c r="O296" s="42"/>
      <c r="P296" s="42"/>
      <c r="Q296" s="42"/>
      <c r="R296" s="42"/>
      <c r="S296" s="42"/>
      <c r="T296" s="42"/>
      <c r="U296" s="42"/>
      <c r="V296" s="42"/>
      <c r="W296" s="42"/>
      <c r="X296" s="42"/>
      <c r="Y296" s="42"/>
      <c r="Z296" s="42"/>
    </row>
    <row r="297">
      <c r="A297" s="133"/>
      <c r="B297" s="134"/>
      <c r="C297" s="63"/>
      <c r="D297" s="63"/>
      <c r="E297" s="135"/>
      <c r="F297" s="42"/>
      <c r="G297" s="42"/>
      <c r="H297" s="42"/>
      <c r="I297" s="42"/>
      <c r="J297" s="42"/>
      <c r="K297" s="42"/>
      <c r="L297" s="42"/>
      <c r="M297" s="42"/>
      <c r="N297" s="42"/>
      <c r="O297" s="42"/>
      <c r="P297" s="42"/>
      <c r="Q297" s="42"/>
      <c r="R297" s="42"/>
      <c r="S297" s="42"/>
      <c r="T297" s="42"/>
      <c r="U297" s="42"/>
      <c r="V297" s="42"/>
      <c r="W297" s="42"/>
      <c r="X297" s="42"/>
      <c r="Y297" s="42"/>
      <c r="Z297" s="42"/>
    </row>
    <row r="298">
      <c r="A298" s="133"/>
      <c r="B298" s="134"/>
      <c r="C298" s="63"/>
      <c r="D298" s="63"/>
      <c r="E298" s="135"/>
      <c r="F298" s="42"/>
      <c r="G298" s="42"/>
      <c r="H298" s="42"/>
      <c r="I298" s="42"/>
      <c r="J298" s="42"/>
      <c r="K298" s="42"/>
      <c r="L298" s="42"/>
      <c r="M298" s="42"/>
      <c r="N298" s="42"/>
      <c r="O298" s="42"/>
      <c r="P298" s="42"/>
      <c r="Q298" s="42"/>
      <c r="R298" s="42"/>
      <c r="S298" s="42"/>
      <c r="T298" s="42"/>
      <c r="U298" s="42"/>
      <c r="V298" s="42"/>
      <c r="W298" s="42"/>
      <c r="X298" s="42"/>
      <c r="Y298" s="42"/>
      <c r="Z298" s="42"/>
    </row>
    <row r="299">
      <c r="A299" s="133"/>
      <c r="B299" s="134"/>
      <c r="C299" s="63"/>
      <c r="D299" s="63"/>
      <c r="E299" s="135"/>
      <c r="F299" s="42"/>
      <c r="G299" s="42"/>
      <c r="H299" s="42"/>
      <c r="I299" s="42"/>
      <c r="J299" s="42"/>
      <c r="K299" s="42"/>
      <c r="L299" s="42"/>
      <c r="M299" s="42"/>
      <c r="N299" s="42"/>
      <c r="O299" s="42"/>
      <c r="P299" s="42"/>
      <c r="Q299" s="42"/>
      <c r="R299" s="42"/>
      <c r="S299" s="42"/>
      <c r="T299" s="42"/>
      <c r="U299" s="42"/>
      <c r="V299" s="42"/>
      <c r="W299" s="42"/>
      <c r="X299" s="42"/>
      <c r="Y299" s="42"/>
      <c r="Z299" s="42"/>
    </row>
    <row r="300">
      <c r="A300" s="133"/>
      <c r="B300" s="134"/>
      <c r="C300" s="63"/>
      <c r="D300" s="63"/>
      <c r="E300" s="135"/>
      <c r="F300" s="42"/>
      <c r="G300" s="42"/>
      <c r="H300" s="42"/>
      <c r="I300" s="42"/>
      <c r="J300" s="42"/>
      <c r="K300" s="42"/>
      <c r="L300" s="42"/>
      <c r="M300" s="42"/>
      <c r="N300" s="42"/>
      <c r="O300" s="42"/>
      <c r="P300" s="42"/>
      <c r="Q300" s="42"/>
      <c r="R300" s="42"/>
      <c r="S300" s="42"/>
      <c r="T300" s="42"/>
      <c r="U300" s="42"/>
      <c r="V300" s="42"/>
      <c r="W300" s="42"/>
      <c r="X300" s="42"/>
      <c r="Y300" s="42"/>
      <c r="Z300" s="42"/>
    </row>
    <row r="301">
      <c r="A301" s="133"/>
      <c r="B301" s="134"/>
      <c r="C301" s="63"/>
      <c r="D301" s="63"/>
      <c r="E301" s="135"/>
      <c r="F301" s="42"/>
      <c r="G301" s="42"/>
      <c r="H301" s="42"/>
      <c r="I301" s="42"/>
      <c r="J301" s="42"/>
      <c r="K301" s="42"/>
      <c r="L301" s="42"/>
      <c r="M301" s="42"/>
      <c r="N301" s="42"/>
      <c r="O301" s="42"/>
      <c r="P301" s="42"/>
      <c r="Q301" s="42"/>
      <c r="R301" s="42"/>
      <c r="S301" s="42"/>
      <c r="T301" s="42"/>
      <c r="U301" s="42"/>
      <c r="V301" s="42"/>
      <c r="W301" s="42"/>
      <c r="X301" s="42"/>
      <c r="Y301" s="42"/>
      <c r="Z301" s="42"/>
    </row>
    <row r="302">
      <c r="A302" s="133"/>
      <c r="B302" s="134"/>
      <c r="C302" s="63"/>
      <c r="D302" s="63"/>
      <c r="E302" s="135"/>
      <c r="F302" s="42"/>
      <c r="G302" s="42"/>
      <c r="H302" s="42"/>
      <c r="I302" s="42"/>
      <c r="J302" s="42"/>
      <c r="K302" s="42"/>
      <c r="L302" s="42"/>
      <c r="M302" s="42"/>
      <c r="N302" s="42"/>
      <c r="O302" s="42"/>
      <c r="P302" s="42"/>
      <c r="Q302" s="42"/>
      <c r="R302" s="42"/>
      <c r="S302" s="42"/>
      <c r="T302" s="42"/>
      <c r="U302" s="42"/>
      <c r="V302" s="42"/>
      <c r="W302" s="42"/>
      <c r="X302" s="42"/>
      <c r="Y302" s="42"/>
      <c r="Z302" s="42"/>
    </row>
    <row r="303">
      <c r="A303" s="133"/>
      <c r="B303" s="134"/>
      <c r="C303" s="63"/>
      <c r="D303" s="63"/>
      <c r="E303" s="135"/>
      <c r="F303" s="42"/>
      <c r="G303" s="42"/>
      <c r="H303" s="42"/>
      <c r="I303" s="42"/>
      <c r="J303" s="42"/>
      <c r="K303" s="42"/>
      <c r="L303" s="42"/>
      <c r="M303" s="42"/>
      <c r="N303" s="42"/>
      <c r="O303" s="42"/>
      <c r="P303" s="42"/>
      <c r="Q303" s="42"/>
      <c r="R303" s="42"/>
      <c r="S303" s="42"/>
      <c r="T303" s="42"/>
      <c r="U303" s="42"/>
      <c r="V303" s="42"/>
      <c r="W303" s="42"/>
      <c r="X303" s="42"/>
      <c r="Y303" s="42"/>
      <c r="Z303" s="42"/>
    </row>
    <row r="304">
      <c r="A304" s="133"/>
      <c r="B304" s="134"/>
      <c r="C304" s="63"/>
      <c r="D304" s="63"/>
      <c r="E304" s="135"/>
      <c r="F304" s="42"/>
      <c r="G304" s="42"/>
      <c r="H304" s="42"/>
      <c r="I304" s="42"/>
      <c r="J304" s="42"/>
      <c r="K304" s="42"/>
      <c r="L304" s="42"/>
      <c r="M304" s="42"/>
      <c r="N304" s="42"/>
      <c r="O304" s="42"/>
      <c r="P304" s="42"/>
      <c r="Q304" s="42"/>
      <c r="R304" s="42"/>
      <c r="S304" s="42"/>
      <c r="T304" s="42"/>
      <c r="U304" s="42"/>
      <c r="V304" s="42"/>
      <c r="W304" s="42"/>
      <c r="X304" s="42"/>
      <c r="Y304" s="42"/>
      <c r="Z304" s="42"/>
    </row>
    <row r="305">
      <c r="A305" s="133"/>
      <c r="B305" s="134"/>
      <c r="C305" s="63"/>
      <c r="D305" s="63"/>
      <c r="E305" s="135"/>
      <c r="F305" s="42"/>
      <c r="G305" s="42"/>
      <c r="H305" s="42"/>
      <c r="I305" s="42"/>
      <c r="J305" s="42"/>
      <c r="K305" s="42"/>
      <c r="L305" s="42"/>
      <c r="M305" s="42"/>
      <c r="N305" s="42"/>
      <c r="O305" s="42"/>
      <c r="P305" s="42"/>
      <c r="Q305" s="42"/>
      <c r="R305" s="42"/>
      <c r="S305" s="42"/>
      <c r="T305" s="42"/>
      <c r="U305" s="42"/>
      <c r="V305" s="42"/>
      <c r="W305" s="42"/>
      <c r="X305" s="42"/>
      <c r="Y305" s="42"/>
      <c r="Z305" s="42"/>
    </row>
    <row r="306">
      <c r="A306" s="133"/>
      <c r="B306" s="134"/>
      <c r="C306" s="63"/>
      <c r="D306" s="63"/>
      <c r="E306" s="135"/>
      <c r="F306" s="42"/>
      <c r="G306" s="42"/>
      <c r="H306" s="42"/>
      <c r="I306" s="42"/>
      <c r="J306" s="42"/>
      <c r="K306" s="42"/>
      <c r="L306" s="42"/>
      <c r="M306" s="42"/>
      <c r="N306" s="42"/>
      <c r="O306" s="42"/>
      <c r="P306" s="42"/>
      <c r="Q306" s="42"/>
      <c r="R306" s="42"/>
      <c r="S306" s="42"/>
      <c r="T306" s="42"/>
      <c r="U306" s="42"/>
      <c r="V306" s="42"/>
      <c r="W306" s="42"/>
      <c r="X306" s="42"/>
      <c r="Y306" s="42"/>
      <c r="Z306" s="42"/>
    </row>
    <row r="307">
      <c r="A307" s="133"/>
      <c r="B307" s="134"/>
      <c r="C307" s="63"/>
      <c r="D307" s="63"/>
      <c r="E307" s="135"/>
      <c r="F307" s="42"/>
      <c r="G307" s="42"/>
      <c r="H307" s="42"/>
      <c r="I307" s="42"/>
      <c r="J307" s="42"/>
      <c r="K307" s="42"/>
      <c r="L307" s="42"/>
      <c r="M307" s="42"/>
      <c r="N307" s="42"/>
      <c r="O307" s="42"/>
      <c r="P307" s="42"/>
      <c r="Q307" s="42"/>
      <c r="R307" s="42"/>
      <c r="S307" s="42"/>
      <c r="T307" s="42"/>
      <c r="U307" s="42"/>
      <c r="V307" s="42"/>
      <c r="W307" s="42"/>
      <c r="X307" s="42"/>
      <c r="Y307" s="42"/>
      <c r="Z307" s="42"/>
    </row>
    <row r="308">
      <c r="A308" s="133"/>
      <c r="B308" s="134"/>
      <c r="C308" s="63"/>
      <c r="D308" s="63"/>
      <c r="E308" s="135"/>
      <c r="F308" s="42"/>
      <c r="G308" s="42"/>
      <c r="H308" s="42"/>
      <c r="I308" s="42"/>
      <c r="J308" s="42"/>
      <c r="K308" s="42"/>
      <c r="L308" s="42"/>
      <c r="M308" s="42"/>
      <c r="N308" s="42"/>
      <c r="O308" s="42"/>
      <c r="P308" s="42"/>
      <c r="Q308" s="42"/>
      <c r="R308" s="42"/>
      <c r="S308" s="42"/>
      <c r="T308" s="42"/>
      <c r="U308" s="42"/>
      <c r="V308" s="42"/>
      <c r="W308" s="42"/>
      <c r="X308" s="42"/>
      <c r="Y308" s="42"/>
      <c r="Z308" s="42"/>
    </row>
    <row r="309">
      <c r="A309" s="133"/>
      <c r="B309" s="134"/>
      <c r="C309" s="63"/>
      <c r="D309" s="63"/>
      <c r="E309" s="135"/>
      <c r="F309" s="42"/>
      <c r="G309" s="42"/>
      <c r="H309" s="42"/>
      <c r="I309" s="42"/>
      <c r="J309" s="42"/>
      <c r="K309" s="42"/>
      <c r="L309" s="42"/>
      <c r="M309" s="42"/>
      <c r="N309" s="42"/>
      <c r="O309" s="42"/>
      <c r="P309" s="42"/>
      <c r="Q309" s="42"/>
      <c r="R309" s="42"/>
      <c r="S309" s="42"/>
      <c r="T309" s="42"/>
      <c r="U309" s="42"/>
      <c r="V309" s="42"/>
      <c r="W309" s="42"/>
      <c r="X309" s="42"/>
      <c r="Y309" s="42"/>
      <c r="Z309" s="42"/>
    </row>
    <row r="310">
      <c r="A310" s="133"/>
      <c r="B310" s="134"/>
      <c r="C310" s="63"/>
      <c r="D310" s="63"/>
      <c r="E310" s="135"/>
      <c r="F310" s="42"/>
      <c r="G310" s="42"/>
      <c r="H310" s="42"/>
      <c r="I310" s="42"/>
      <c r="J310" s="42"/>
      <c r="K310" s="42"/>
      <c r="L310" s="42"/>
      <c r="M310" s="42"/>
      <c r="N310" s="42"/>
      <c r="O310" s="42"/>
      <c r="P310" s="42"/>
      <c r="Q310" s="42"/>
      <c r="R310" s="42"/>
      <c r="S310" s="42"/>
      <c r="T310" s="42"/>
      <c r="U310" s="42"/>
      <c r="V310" s="42"/>
      <c r="W310" s="42"/>
      <c r="X310" s="42"/>
      <c r="Y310" s="42"/>
      <c r="Z310" s="42"/>
    </row>
    <row r="311">
      <c r="A311" s="133"/>
      <c r="B311" s="134"/>
      <c r="C311" s="63"/>
      <c r="D311" s="63"/>
      <c r="E311" s="135"/>
      <c r="F311" s="42"/>
      <c r="G311" s="42"/>
      <c r="H311" s="42"/>
      <c r="I311" s="42"/>
      <c r="J311" s="42"/>
      <c r="K311" s="42"/>
      <c r="L311" s="42"/>
      <c r="M311" s="42"/>
      <c r="N311" s="42"/>
      <c r="O311" s="42"/>
      <c r="P311" s="42"/>
      <c r="Q311" s="42"/>
      <c r="R311" s="42"/>
      <c r="S311" s="42"/>
      <c r="T311" s="42"/>
      <c r="U311" s="42"/>
      <c r="V311" s="42"/>
      <c r="W311" s="42"/>
      <c r="X311" s="42"/>
      <c r="Y311" s="42"/>
      <c r="Z311" s="42"/>
    </row>
    <row r="312">
      <c r="A312" s="133"/>
      <c r="B312" s="134"/>
      <c r="C312" s="63"/>
      <c r="D312" s="63"/>
      <c r="E312" s="135"/>
      <c r="F312" s="42"/>
      <c r="G312" s="42"/>
      <c r="H312" s="42"/>
      <c r="I312" s="42"/>
      <c r="J312" s="42"/>
      <c r="K312" s="42"/>
      <c r="L312" s="42"/>
      <c r="M312" s="42"/>
      <c r="N312" s="42"/>
      <c r="O312" s="42"/>
      <c r="P312" s="42"/>
      <c r="Q312" s="42"/>
      <c r="R312" s="42"/>
      <c r="S312" s="42"/>
      <c r="T312" s="42"/>
      <c r="U312" s="42"/>
      <c r="V312" s="42"/>
      <c r="W312" s="42"/>
      <c r="X312" s="42"/>
      <c r="Y312" s="42"/>
      <c r="Z312" s="42"/>
    </row>
    <row r="313">
      <c r="A313" s="133"/>
      <c r="B313" s="134"/>
      <c r="C313" s="63"/>
      <c r="D313" s="63"/>
      <c r="E313" s="135"/>
      <c r="F313" s="42"/>
      <c r="G313" s="42"/>
      <c r="H313" s="42"/>
      <c r="I313" s="42"/>
      <c r="J313" s="42"/>
      <c r="K313" s="42"/>
      <c r="L313" s="42"/>
      <c r="M313" s="42"/>
      <c r="N313" s="42"/>
      <c r="O313" s="42"/>
      <c r="P313" s="42"/>
      <c r="Q313" s="42"/>
      <c r="R313" s="42"/>
      <c r="S313" s="42"/>
      <c r="T313" s="42"/>
      <c r="U313" s="42"/>
      <c r="V313" s="42"/>
      <c r="W313" s="42"/>
      <c r="X313" s="42"/>
      <c r="Y313" s="42"/>
      <c r="Z313" s="42"/>
    </row>
    <row r="314">
      <c r="A314" s="133"/>
      <c r="B314" s="134"/>
      <c r="C314" s="63"/>
      <c r="D314" s="63"/>
      <c r="E314" s="135"/>
      <c r="F314" s="42"/>
      <c r="G314" s="42"/>
      <c r="H314" s="42"/>
      <c r="I314" s="42"/>
      <c r="J314" s="42"/>
      <c r="K314" s="42"/>
      <c r="L314" s="42"/>
      <c r="M314" s="42"/>
      <c r="N314" s="42"/>
      <c r="O314" s="42"/>
      <c r="P314" s="42"/>
      <c r="Q314" s="42"/>
      <c r="R314" s="42"/>
      <c r="S314" s="42"/>
      <c r="T314" s="42"/>
      <c r="U314" s="42"/>
      <c r="V314" s="42"/>
      <c r="W314" s="42"/>
      <c r="X314" s="42"/>
      <c r="Y314" s="42"/>
      <c r="Z314" s="42"/>
    </row>
    <row r="315">
      <c r="A315" s="133"/>
      <c r="B315" s="134"/>
      <c r="C315" s="63"/>
      <c r="D315" s="63"/>
      <c r="E315" s="135"/>
      <c r="F315" s="42"/>
      <c r="G315" s="42"/>
      <c r="H315" s="42"/>
      <c r="I315" s="42"/>
      <c r="J315" s="42"/>
      <c r="K315" s="42"/>
      <c r="L315" s="42"/>
      <c r="M315" s="42"/>
      <c r="N315" s="42"/>
      <c r="O315" s="42"/>
      <c r="P315" s="42"/>
      <c r="Q315" s="42"/>
      <c r="R315" s="42"/>
      <c r="S315" s="42"/>
      <c r="T315" s="42"/>
      <c r="U315" s="42"/>
      <c r="V315" s="42"/>
      <c r="W315" s="42"/>
      <c r="X315" s="42"/>
      <c r="Y315" s="42"/>
      <c r="Z315" s="42"/>
    </row>
    <row r="316">
      <c r="A316" s="133"/>
      <c r="B316" s="134"/>
      <c r="C316" s="63"/>
      <c r="D316" s="63"/>
      <c r="E316" s="135"/>
      <c r="F316" s="42"/>
      <c r="G316" s="42"/>
      <c r="H316" s="42"/>
      <c r="I316" s="42"/>
      <c r="J316" s="42"/>
      <c r="K316" s="42"/>
      <c r="L316" s="42"/>
      <c r="M316" s="42"/>
      <c r="N316" s="42"/>
      <c r="O316" s="42"/>
      <c r="P316" s="42"/>
      <c r="Q316" s="42"/>
      <c r="R316" s="42"/>
      <c r="S316" s="42"/>
      <c r="T316" s="42"/>
      <c r="U316" s="42"/>
      <c r="V316" s="42"/>
      <c r="W316" s="42"/>
      <c r="X316" s="42"/>
      <c r="Y316" s="42"/>
      <c r="Z316" s="42"/>
    </row>
    <row r="317">
      <c r="A317" s="133"/>
      <c r="B317" s="134"/>
      <c r="C317" s="63"/>
      <c r="D317" s="63"/>
      <c r="E317" s="135"/>
      <c r="F317" s="42"/>
      <c r="G317" s="42"/>
      <c r="H317" s="42"/>
      <c r="I317" s="42"/>
      <c r="J317" s="42"/>
      <c r="K317" s="42"/>
      <c r="L317" s="42"/>
      <c r="M317" s="42"/>
      <c r="N317" s="42"/>
      <c r="O317" s="42"/>
      <c r="P317" s="42"/>
      <c r="Q317" s="42"/>
      <c r="R317" s="42"/>
      <c r="S317" s="42"/>
      <c r="T317" s="42"/>
      <c r="U317" s="42"/>
      <c r="V317" s="42"/>
      <c r="W317" s="42"/>
      <c r="X317" s="42"/>
      <c r="Y317" s="42"/>
      <c r="Z317" s="42"/>
    </row>
    <row r="318">
      <c r="A318" s="133"/>
      <c r="B318" s="134"/>
      <c r="C318" s="63"/>
      <c r="D318" s="63"/>
      <c r="E318" s="135"/>
      <c r="F318" s="42"/>
      <c r="G318" s="42"/>
      <c r="H318" s="42"/>
      <c r="I318" s="42"/>
      <c r="J318" s="42"/>
      <c r="K318" s="42"/>
      <c r="L318" s="42"/>
      <c r="M318" s="42"/>
      <c r="N318" s="42"/>
      <c r="O318" s="42"/>
      <c r="P318" s="42"/>
      <c r="Q318" s="42"/>
      <c r="R318" s="42"/>
      <c r="S318" s="42"/>
      <c r="T318" s="42"/>
      <c r="U318" s="42"/>
      <c r="V318" s="42"/>
      <c r="W318" s="42"/>
      <c r="X318" s="42"/>
      <c r="Y318" s="42"/>
      <c r="Z318" s="42"/>
    </row>
    <row r="319">
      <c r="A319" s="133"/>
      <c r="B319" s="134"/>
      <c r="C319" s="63"/>
      <c r="D319" s="63"/>
      <c r="E319" s="135"/>
      <c r="F319" s="42"/>
      <c r="G319" s="42"/>
      <c r="H319" s="42"/>
      <c r="I319" s="42"/>
      <c r="J319" s="42"/>
      <c r="K319" s="42"/>
      <c r="L319" s="42"/>
      <c r="M319" s="42"/>
      <c r="N319" s="42"/>
      <c r="O319" s="42"/>
      <c r="P319" s="42"/>
      <c r="Q319" s="42"/>
      <c r="R319" s="42"/>
      <c r="S319" s="42"/>
      <c r="T319" s="42"/>
      <c r="U319" s="42"/>
      <c r="V319" s="42"/>
      <c r="W319" s="42"/>
      <c r="X319" s="42"/>
      <c r="Y319" s="42"/>
      <c r="Z319" s="42"/>
    </row>
    <row r="320">
      <c r="A320" s="133"/>
      <c r="B320" s="134"/>
      <c r="C320" s="63"/>
      <c r="D320" s="63"/>
      <c r="E320" s="135"/>
      <c r="F320" s="42"/>
      <c r="G320" s="42"/>
      <c r="H320" s="42"/>
      <c r="I320" s="42"/>
      <c r="J320" s="42"/>
      <c r="K320" s="42"/>
      <c r="L320" s="42"/>
      <c r="M320" s="42"/>
      <c r="N320" s="42"/>
      <c r="O320" s="42"/>
      <c r="P320" s="42"/>
      <c r="Q320" s="42"/>
      <c r="R320" s="42"/>
      <c r="S320" s="42"/>
      <c r="T320" s="42"/>
      <c r="U320" s="42"/>
      <c r="V320" s="42"/>
      <c r="W320" s="42"/>
      <c r="X320" s="42"/>
      <c r="Y320" s="42"/>
      <c r="Z320" s="42"/>
    </row>
    <row r="321">
      <c r="A321" s="133"/>
      <c r="B321" s="134"/>
      <c r="C321" s="63"/>
      <c r="D321" s="63"/>
      <c r="E321" s="135"/>
      <c r="F321" s="42"/>
      <c r="G321" s="42"/>
      <c r="H321" s="42"/>
      <c r="I321" s="42"/>
      <c r="J321" s="42"/>
      <c r="K321" s="42"/>
      <c r="L321" s="42"/>
      <c r="M321" s="42"/>
      <c r="N321" s="42"/>
      <c r="O321" s="42"/>
      <c r="P321" s="42"/>
      <c r="Q321" s="42"/>
      <c r="R321" s="42"/>
      <c r="S321" s="42"/>
      <c r="T321" s="42"/>
      <c r="U321" s="42"/>
      <c r="V321" s="42"/>
      <c r="W321" s="42"/>
      <c r="X321" s="42"/>
      <c r="Y321" s="42"/>
      <c r="Z321" s="42"/>
    </row>
    <row r="322">
      <c r="A322" s="133"/>
      <c r="B322" s="134"/>
      <c r="C322" s="63"/>
      <c r="D322" s="63"/>
      <c r="E322" s="135"/>
      <c r="F322" s="42"/>
      <c r="G322" s="42"/>
      <c r="H322" s="42"/>
      <c r="I322" s="42"/>
      <c r="J322" s="42"/>
      <c r="K322" s="42"/>
      <c r="L322" s="42"/>
      <c r="M322" s="42"/>
      <c r="N322" s="42"/>
      <c r="O322" s="42"/>
      <c r="P322" s="42"/>
      <c r="Q322" s="42"/>
      <c r="R322" s="42"/>
      <c r="S322" s="42"/>
      <c r="T322" s="42"/>
      <c r="U322" s="42"/>
      <c r="V322" s="42"/>
      <c r="W322" s="42"/>
      <c r="X322" s="42"/>
      <c r="Y322" s="42"/>
      <c r="Z322" s="42"/>
    </row>
    <row r="323">
      <c r="A323" s="133"/>
      <c r="B323" s="134"/>
      <c r="C323" s="63"/>
      <c r="D323" s="63"/>
      <c r="E323" s="135"/>
      <c r="F323" s="42"/>
      <c r="G323" s="42"/>
      <c r="H323" s="42"/>
      <c r="I323" s="42"/>
      <c r="J323" s="42"/>
      <c r="K323" s="42"/>
      <c r="L323" s="42"/>
      <c r="M323" s="42"/>
      <c r="N323" s="42"/>
      <c r="O323" s="42"/>
      <c r="P323" s="42"/>
      <c r="Q323" s="42"/>
      <c r="R323" s="42"/>
      <c r="S323" s="42"/>
      <c r="T323" s="42"/>
      <c r="U323" s="42"/>
      <c r="V323" s="42"/>
      <c r="W323" s="42"/>
      <c r="X323" s="42"/>
      <c r="Y323" s="42"/>
      <c r="Z323" s="42"/>
    </row>
    <row r="324">
      <c r="A324" s="133"/>
      <c r="B324" s="134"/>
      <c r="C324" s="63"/>
      <c r="D324" s="63"/>
      <c r="E324" s="135"/>
      <c r="F324" s="42"/>
      <c r="G324" s="42"/>
      <c r="H324" s="42"/>
      <c r="I324" s="42"/>
      <c r="J324" s="42"/>
      <c r="K324" s="42"/>
      <c r="L324" s="42"/>
      <c r="M324" s="42"/>
      <c r="N324" s="42"/>
      <c r="O324" s="42"/>
      <c r="P324" s="42"/>
      <c r="Q324" s="42"/>
      <c r="R324" s="42"/>
      <c r="S324" s="42"/>
      <c r="T324" s="42"/>
      <c r="U324" s="42"/>
      <c r="V324" s="42"/>
      <c r="W324" s="42"/>
      <c r="X324" s="42"/>
      <c r="Y324" s="42"/>
      <c r="Z324" s="42"/>
    </row>
    <row r="325">
      <c r="A325" s="133"/>
      <c r="B325" s="134"/>
      <c r="C325" s="63"/>
      <c r="D325" s="63"/>
      <c r="E325" s="135"/>
      <c r="F325" s="42"/>
      <c r="G325" s="42"/>
      <c r="H325" s="42"/>
      <c r="I325" s="42"/>
      <c r="J325" s="42"/>
      <c r="K325" s="42"/>
      <c r="L325" s="42"/>
      <c r="M325" s="42"/>
      <c r="N325" s="42"/>
      <c r="O325" s="42"/>
      <c r="P325" s="42"/>
      <c r="Q325" s="42"/>
      <c r="R325" s="42"/>
      <c r="S325" s="42"/>
      <c r="T325" s="42"/>
      <c r="U325" s="42"/>
      <c r="V325" s="42"/>
      <c r="W325" s="42"/>
      <c r="X325" s="42"/>
      <c r="Y325" s="42"/>
      <c r="Z325" s="42"/>
    </row>
    <row r="326">
      <c r="A326" s="133"/>
      <c r="B326" s="134"/>
      <c r="C326" s="63"/>
      <c r="D326" s="63"/>
      <c r="E326" s="135"/>
      <c r="F326" s="42"/>
      <c r="G326" s="42"/>
      <c r="H326" s="42"/>
      <c r="I326" s="42"/>
      <c r="J326" s="42"/>
      <c r="K326" s="42"/>
      <c r="L326" s="42"/>
      <c r="M326" s="42"/>
      <c r="N326" s="42"/>
      <c r="O326" s="42"/>
      <c r="P326" s="42"/>
      <c r="Q326" s="42"/>
      <c r="R326" s="42"/>
      <c r="S326" s="42"/>
      <c r="T326" s="42"/>
      <c r="U326" s="42"/>
      <c r="V326" s="42"/>
      <c r="W326" s="42"/>
      <c r="X326" s="42"/>
      <c r="Y326" s="42"/>
      <c r="Z326" s="42"/>
    </row>
    <row r="327">
      <c r="A327" s="133"/>
      <c r="B327" s="134"/>
      <c r="C327" s="63"/>
      <c r="D327" s="63"/>
      <c r="E327" s="135"/>
      <c r="F327" s="42"/>
      <c r="G327" s="42"/>
      <c r="H327" s="42"/>
      <c r="I327" s="42"/>
      <c r="J327" s="42"/>
      <c r="K327" s="42"/>
      <c r="L327" s="42"/>
      <c r="M327" s="42"/>
      <c r="N327" s="42"/>
      <c r="O327" s="42"/>
      <c r="P327" s="42"/>
      <c r="Q327" s="42"/>
      <c r="R327" s="42"/>
      <c r="S327" s="42"/>
      <c r="T327" s="42"/>
      <c r="U327" s="42"/>
      <c r="V327" s="42"/>
      <c r="W327" s="42"/>
      <c r="X327" s="42"/>
      <c r="Y327" s="42"/>
      <c r="Z327" s="42"/>
    </row>
    <row r="328">
      <c r="A328" s="133"/>
      <c r="B328" s="134"/>
      <c r="C328" s="63"/>
      <c r="D328" s="63"/>
      <c r="E328" s="135"/>
      <c r="F328" s="42"/>
      <c r="G328" s="42"/>
      <c r="H328" s="42"/>
      <c r="I328" s="42"/>
      <c r="J328" s="42"/>
      <c r="K328" s="42"/>
      <c r="L328" s="42"/>
      <c r="M328" s="42"/>
      <c r="N328" s="42"/>
      <c r="O328" s="42"/>
      <c r="P328" s="42"/>
      <c r="Q328" s="42"/>
      <c r="R328" s="42"/>
      <c r="S328" s="42"/>
      <c r="T328" s="42"/>
      <c r="U328" s="42"/>
      <c r="V328" s="42"/>
      <c r="W328" s="42"/>
      <c r="X328" s="42"/>
      <c r="Y328" s="42"/>
      <c r="Z328" s="42"/>
    </row>
    <row r="329">
      <c r="A329" s="133"/>
      <c r="B329" s="134"/>
      <c r="C329" s="63"/>
      <c r="D329" s="63"/>
      <c r="E329" s="135"/>
      <c r="F329" s="42"/>
      <c r="G329" s="42"/>
      <c r="H329" s="42"/>
      <c r="I329" s="42"/>
      <c r="J329" s="42"/>
      <c r="K329" s="42"/>
      <c r="L329" s="42"/>
      <c r="M329" s="42"/>
      <c r="N329" s="42"/>
      <c r="O329" s="42"/>
      <c r="P329" s="42"/>
      <c r="Q329" s="42"/>
      <c r="R329" s="42"/>
      <c r="S329" s="42"/>
      <c r="T329" s="42"/>
      <c r="U329" s="42"/>
      <c r="V329" s="42"/>
      <c r="W329" s="42"/>
      <c r="X329" s="42"/>
      <c r="Y329" s="42"/>
      <c r="Z329" s="42"/>
    </row>
    <row r="330">
      <c r="A330" s="133"/>
      <c r="B330" s="134"/>
      <c r="C330" s="63"/>
      <c r="D330" s="63"/>
      <c r="E330" s="135"/>
      <c r="F330" s="42"/>
      <c r="G330" s="42"/>
      <c r="H330" s="42"/>
      <c r="I330" s="42"/>
      <c r="J330" s="42"/>
      <c r="K330" s="42"/>
      <c r="L330" s="42"/>
      <c r="M330" s="42"/>
      <c r="N330" s="42"/>
      <c r="O330" s="42"/>
      <c r="P330" s="42"/>
      <c r="Q330" s="42"/>
      <c r="R330" s="42"/>
      <c r="S330" s="42"/>
      <c r="T330" s="42"/>
      <c r="U330" s="42"/>
      <c r="V330" s="42"/>
      <c r="W330" s="42"/>
      <c r="X330" s="42"/>
      <c r="Y330" s="42"/>
      <c r="Z330" s="42"/>
    </row>
    <row r="331">
      <c r="A331" s="133"/>
      <c r="B331" s="134"/>
      <c r="C331" s="63"/>
      <c r="D331" s="63"/>
      <c r="E331" s="135"/>
      <c r="F331" s="42"/>
      <c r="G331" s="42"/>
      <c r="H331" s="42"/>
      <c r="I331" s="42"/>
      <c r="J331" s="42"/>
      <c r="K331" s="42"/>
      <c r="L331" s="42"/>
      <c r="M331" s="42"/>
      <c r="N331" s="42"/>
      <c r="O331" s="42"/>
      <c r="P331" s="42"/>
      <c r="Q331" s="42"/>
      <c r="R331" s="42"/>
      <c r="S331" s="42"/>
      <c r="T331" s="42"/>
      <c r="U331" s="42"/>
      <c r="V331" s="42"/>
      <c r="W331" s="42"/>
      <c r="X331" s="42"/>
      <c r="Y331" s="42"/>
      <c r="Z331" s="42"/>
    </row>
    <row r="332">
      <c r="A332" s="133"/>
      <c r="B332" s="134"/>
      <c r="C332" s="63"/>
      <c r="D332" s="63"/>
      <c r="E332" s="135"/>
      <c r="F332" s="42"/>
      <c r="G332" s="42"/>
      <c r="H332" s="42"/>
      <c r="I332" s="42"/>
      <c r="J332" s="42"/>
      <c r="K332" s="42"/>
      <c r="L332" s="42"/>
      <c r="M332" s="42"/>
      <c r="N332" s="42"/>
      <c r="O332" s="42"/>
      <c r="P332" s="42"/>
      <c r="Q332" s="42"/>
      <c r="R332" s="42"/>
      <c r="S332" s="42"/>
      <c r="T332" s="42"/>
      <c r="U332" s="42"/>
      <c r="V332" s="42"/>
      <c r="W332" s="42"/>
      <c r="X332" s="42"/>
      <c r="Y332" s="42"/>
      <c r="Z332" s="42"/>
    </row>
    <row r="333">
      <c r="A333" s="133"/>
      <c r="B333" s="134"/>
      <c r="C333" s="63"/>
      <c r="D333" s="63"/>
      <c r="E333" s="135"/>
      <c r="F333" s="42"/>
      <c r="G333" s="42"/>
      <c r="H333" s="42"/>
      <c r="I333" s="42"/>
      <c r="J333" s="42"/>
      <c r="K333" s="42"/>
      <c r="L333" s="42"/>
      <c r="M333" s="42"/>
      <c r="N333" s="42"/>
      <c r="O333" s="42"/>
      <c r="P333" s="42"/>
      <c r="Q333" s="42"/>
      <c r="R333" s="42"/>
      <c r="S333" s="42"/>
      <c r="T333" s="42"/>
      <c r="U333" s="42"/>
      <c r="V333" s="42"/>
      <c r="W333" s="42"/>
      <c r="X333" s="42"/>
      <c r="Y333" s="42"/>
      <c r="Z333" s="42"/>
    </row>
    <row r="334">
      <c r="A334" s="133"/>
      <c r="B334" s="134"/>
      <c r="C334" s="63"/>
      <c r="D334" s="63"/>
      <c r="E334" s="135"/>
      <c r="F334" s="42"/>
      <c r="G334" s="42"/>
      <c r="H334" s="42"/>
      <c r="I334" s="42"/>
      <c r="J334" s="42"/>
      <c r="K334" s="42"/>
      <c r="L334" s="42"/>
      <c r="M334" s="42"/>
      <c r="N334" s="42"/>
      <c r="O334" s="42"/>
      <c r="P334" s="42"/>
      <c r="Q334" s="42"/>
      <c r="R334" s="42"/>
      <c r="S334" s="42"/>
      <c r="T334" s="42"/>
      <c r="U334" s="42"/>
      <c r="V334" s="42"/>
      <c r="W334" s="42"/>
      <c r="X334" s="42"/>
      <c r="Y334" s="42"/>
      <c r="Z334" s="42"/>
    </row>
    <row r="335">
      <c r="A335" s="133"/>
      <c r="B335" s="134"/>
      <c r="C335" s="63"/>
      <c r="D335" s="63"/>
      <c r="E335" s="135"/>
      <c r="F335" s="42"/>
      <c r="G335" s="42"/>
      <c r="H335" s="42"/>
      <c r="I335" s="42"/>
      <c r="J335" s="42"/>
      <c r="K335" s="42"/>
      <c r="L335" s="42"/>
      <c r="M335" s="42"/>
      <c r="N335" s="42"/>
      <c r="O335" s="42"/>
      <c r="P335" s="42"/>
      <c r="Q335" s="42"/>
      <c r="R335" s="42"/>
      <c r="S335" s="42"/>
      <c r="T335" s="42"/>
      <c r="U335" s="42"/>
      <c r="V335" s="42"/>
      <c r="W335" s="42"/>
      <c r="X335" s="42"/>
      <c r="Y335" s="42"/>
      <c r="Z335" s="42"/>
    </row>
    <row r="336">
      <c r="A336" s="133"/>
      <c r="B336" s="134"/>
      <c r="C336" s="63"/>
      <c r="D336" s="63"/>
      <c r="E336" s="135"/>
      <c r="F336" s="42"/>
      <c r="G336" s="42"/>
      <c r="H336" s="42"/>
      <c r="I336" s="42"/>
      <c r="J336" s="42"/>
      <c r="K336" s="42"/>
      <c r="L336" s="42"/>
      <c r="M336" s="42"/>
      <c r="N336" s="42"/>
      <c r="O336" s="42"/>
      <c r="P336" s="42"/>
      <c r="Q336" s="42"/>
      <c r="R336" s="42"/>
      <c r="S336" s="42"/>
      <c r="T336" s="42"/>
      <c r="U336" s="42"/>
      <c r="V336" s="42"/>
      <c r="W336" s="42"/>
      <c r="X336" s="42"/>
      <c r="Y336" s="42"/>
      <c r="Z336" s="42"/>
    </row>
    <row r="337">
      <c r="A337" s="133"/>
      <c r="B337" s="134"/>
      <c r="C337" s="63"/>
      <c r="D337" s="63"/>
      <c r="E337" s="135"/>
      <c r="F337" s="42"/>
      <c r="G337" s="42"/>
      <c r="H337" s="42"/>
      <c r="I337" s="42"/>
      <c r="J337" s="42"/>
      <c r="K337" s="42"/>
      <c r="L337" s="42"/>
      <c r="M337" s="42"/>
      <c r="N337" s="42"/>
      <c r="O337" s="42"/>
      <c r="P337" s="42"/>
      <c r="Q337" s="42"/>
      <c r="R337" s="42"/>
      <c r="S337" s="42"/>
      <c r="T337" s="42"/>
      <c r="U337" s="42"/>
      <c r="V337" s="42"/>
      <c r="W337" s="42"/>
      <c r="X337" s="42"/>
      <c r="Y337" s="42"/>
      <c r="Z337" s="42"/>
    </row>
    <row r="338">
      <c r="A338" s="133"/>
      <c r="B338" s="134"/>
      <c r="C338" s="63"/>
      <c r="D338" s="63"/>
      <c r="E338" s="135"/>
      <c r="F338" s="42"/>
      <c r="G338" s="42"/>
      <c r="H338" s="42"/>
      <c r="I338" s="42"/>
      <c r="J338" s="42"/>
      <c r="K338" s="42"/>
      <c r="L338" s="42"/>
      <c r="M338" s="42"/>
      <c r="N338" s="42"/>
      <c r="O338" s="42"/>
      <c r="P338" s="42"/>
      <c r="Q338" s="42"/>
      <c r="R338" s="42"/>
      <c r="S338" s="42"/>
      <c r="T338" s="42"/>
      <c r="U338" s="42"/>
      <c r="V338" s="42"/>
      <c r="W338" s="42"/>
      <c r="X338" s="42"/>
      <c r="Y338" s="42"/>
      <c r="Z338" s="42"/>
    </row>
    <row r="339">
      <c r="A339" s="133"/>
      <c r="B339" s="134"/>
      <c r="C339" s="63"/>
      <c r="D339" s="63"/>
      <c r="E339" s="135"/>
      <c r="F339" s="42"/>
      <c r="G339" s="42"/>
      <c r="H339" s="42"/>
      <c r="I339" s="42"/>
      <c r="J339" s="42"/>
      <c r="K339" s="42"/>
      <c r="L339" s="42"/>
      <c r="M339" s="42"/>
      <c r="N339" s="42"/>
      <c r="O339" s="42"/>
      <c r="P339" s="42"/>
      <c r="Q339" s="42"/>
      <c r="R339" s="42"/>
      <c r="S339" s="42"/>
      <c r="T339" s="42"/>
      <c r="U339" s="42"/>
      <c r="V339" s="42"/>
      <c r="W339" s="42"/>
      <c r="X339" s="42"/>
      <c r="Y339" s="42"/>
      <c r="Z339" s="42"/>
    </row>
    <row r="340">
      <c r="A340" s="133"/>
      <c r="B340" s="134"/>
      <c r="C340" s="63"/>
      <c r="D340" s="63"/>
      <c r="E340" s="135"/>
      <c r="F340" s="42"/>
      <c r="G340" s="42"/>
      <c r="H340" s="42"/>
      <c r="I340" s="42"/>
      <c r="J340" s="42"/>
      <c r="K340" s="42"/>
      <c r="L340" s="42"/>
      <c r="M340" s="42"/>
      <c r="N340" s="42"/>
      <c r="O340" s="42"/>
      <c r="P340" s="42"/>
      <c r="Q340" s="42"/>
      <c r="R340" s="42"/>
      <c r="S340" s="42"/>
      <c r="T340" s="42"/>
      <c r="U340" s="42"/>
      <c r="V340" s="42"/>
      <c r="W340" s="42"/>
      <c r="X340" s="42"/>
      <c r="Y340" s="42"/>
      <c r="Z340" s="42"/>
    </row>
    <row r="341">
      <c r="A341" s="133"/>
      <c r="B341" s="134"/>
      <c r="C341" s="63"/>
      <c r="D341" s="63"/>
      <c r="E341" s="135"/>
      <c r="F341" s="42"/>
      <c r="G341" s="42"/>
      <c r="H341" s="42"/>
      <c r="I341" s="42"/>
      <c r="J341" s="42"/>
      <c r="K341" s="42"/>
      <c r="L341" s="42"/>
      <c r="M341" s="42"/>
      <c r="N341" s="42"/>
      <c r="O341" s="42"/>
      <c r="P341" s="42"/>
      <c r="Q341" s="42"/>
      <c r="R341" s="42"/>
      <c r="S341" s="42"/>
      <c r="T341" s="42"/>
      <c r="U341" s="42"/>
      <c r="V341" s="42"/>
      <c r="W341" s="42"/>
      <c r="X341" s="42"/>
      <c r="Y341" s="42"/>
      <c r="Z341" s="42"/>
    </row>
    <row r="342">
      <c r="A342" s="133"/>
      <c r="B342" s="134"/>
      <c r="C342" s="63"/>
      <c r="D342" s="63"/>
      <c r="E342" s="135"/>
      <c r="F342" s="42"/>
      <c r="G342" s="42"/>
      <c r="H342" s="42"/>
      <c r="I342" s="42"/>
      <c r="J342" s="42"/>
      <c r="K342" s="42"/>
      <c r="L342" s="42"/>
      <c r="M342" s="42"/>
      <c r="N342" s="42"/>
      <c r="O342" s="42"/>
      <c r="P342" s="42"/>
      <c r="Q342" s="42"/>
      <c r="R342" s="42"/>
      <c r="S342" s="42"/>
      <c r="T342" s="42"/>
      <c r="U342" s="42"/>
      <c r="V342" s="42"/>
      <c r="W342" s="42"/>
      <c r="X342" s="42"/>
      <c r="Y342" s="42"/>
      <c r="Z342" s="42"/>
    </row>
    <row r="343">
      <c r="A343" s="133"/>
      <c r="B343" s="134"/>
      <c r="C343" s="63"/>
      <c r="D343" s="63"/>
      <c r="E343" s="135"/>
      <c r="F343" s="42"/>
      <c r="G343" s="42"/>
      <c r="H343" s="42"/>
      <c r="I343" s="42"/>
      <c r="J343" s="42"/>
      <c r="K343" s="42"/>
      <c r="L343" s="42"/>
      <c r="M343" s="42"/>
      <c r="N343" s="42"/>
      <c r="O343" s="42"/>
      <c r="P343" s="42"/>
      <c r="Q343" s="42"/>
      <c r="R343" s="42"/>
      <c r="S343" s="42"/>
      <c r="T343" s="42"/>
      <c r="U343" s="42"/>
      <c r="V343" s="42"/>
      <c r="W343" s="42"/>
      <c r="X343" s="42"/>
      <c r="Y343" s="42"/>
      <c r="Z343" s="42"/>
    </row>
    <row r="344">
      <c r="A344" s="133"/>
      <c r="B344" s="134"/>
      <c r="C344" s="63"/>
      <c r="D344" s="63"/>
      <c r="E344" s="135"/>
      <c r="F344" s="42"/>
      <c r="G344" s="42"/>
      <c r="H344" s="42"/>
      <c r="I344" s="42"/>
      <c r="J344" s="42"/>
      <c r="K344" s="42"/>
      <c r="L344" s="42"/>
      <c r="M344" s="42"/>
      <c r="N344" s="42"/>
      <c r="O344" s="42"/>
      <c r="P344" s="42"/>
      <c r="Q344" s="42"/>
      <c r="R344" s="42"/>
      <c r="S344" s="42"/>
      <c r="T344" s="42"/>
      <c r="U344" s="42"/>
      <c r="V344" s="42"/>
      <c r="W344" s="42"/>
      <c r="X344" s="42"/>
      <c r="Y344" s="42"/>
      <c r="Z344" s="42"/>
    </row>
    <row r="345">
      <c r="A345" s="133"/>
      <c r="B345" s="134"/>
      <c r="C345" s="63"/>
      <c r="D345" s="63"/>
      <c r="E345" s="135"/>
      <c r="F345" s="42"/>
      <c r="G345" s="42"/>
      <c r="H345" s="42"/>
      <c r="I345" s="42"/>
      <c r="J345" s="42"/>
      <c r="K345" s="42"/>
      <c r="L345" s="42"/>
      <c r="M345" s="42"/>
      <c r="N345" s="42"/>
      <c r="O345" s="42"/>
      <c r="P345" s="42"/>
      <c r="Q345" s="42"/>
      <c r="R345" s="42"/>
      <c r="S345" s="42"/>
      <c r="T345" s="42"/>
      <c r="U345" s="42"/>
      <c r="V345" s="42"/>
      <c r="W345" s="42"/>
      <c r="X345" s="42"/>
      <c r="Y345" s="42"/>
      <c r="Z345" s="42"/>
    </row>
    <row r="346">
      <c r="A346" s="133"/>
      <c r="B346" s="134"/>
      <c r="C346" s="63"/>
      <c r="D346" s="63"/>
      <c r="E346" s="135"/>
      <c r="F346" s="42"/>
      <c r="G346" s="42"/>
      <c r="H346" s="42"/>
      <c r="I346" s="42"/>
      <c r="J346" s="42"/>
      <c r="K346" s="42"/>
      <c r="L346" s="42"/>
      <c r="M346" s="42"/>
      <c r="N346" s="42"/>
      <c r="O346" s="42"/>
      <c r="P346" s="42"/>
      <c r="Q346" s="42"/>
      <c r="R346" s="42"/>
      <c r="S346" s="42"/>
      <c r="T346" s="42"/>
      <c r="U346" s="42"/>
      <c r="V346" s="42"/>
      <c r="W346" s="42"/>
      <c r="X346" s="42"/>
      <c r="Y346" s="42"/>
      <c r="Z346" s="42"/>
    </row>
    <row r="347">
      <c r="A347" s="133"/>
      <c r="B347" s="134"/>
      <c r="C347" s="63"/>
      <c r="D347" s="63"/>
      <c r="E347" s="135"/>
      <c r="F347" s="42"/>
      <c r="G347" s="42"/>
      <c r="H347" s="42"/>
      <c r="I347" s="42"/>
      <c r="J347" s="42"/>
      <c r="K347" s="42"/>
      <c r="L347" s="42"/>
      <c r="M347" s="42"/>
      <c r="N347" s="42"/>
      <c r="O347" s="42"/>
      <c r="P347" s="42"/>
      <c r="Q347" s="42"/>
      <c r="R347" s="42"/>
      <c r="S347" s="42"/>
      <c r="T347" s="42"/>
      <c r="U347" s="42"/>
      <c r="V347" s="42"/>
      <c r="W347" s="42"/>
      <c r="X347" s="42"/>
      <c r="Y347" s="42"/>
      <c r="Z347" s="42"/>
    </row>
    <row r="348">
      <c r="A348" s="133"/>
      <c r="B348" s="134"/>
      <c r="C348" s="63"/>
      <c r="D348" s="63"/>
      <c r="E348" s="135"/>
      <c r="F348" s="42"/>
      <c r="G348" s="42"/>
      <c r="H348" s="42"/>
      <c r="I348" s="42"/>
      <c r="J348" s="42"/>
      <c r="K348" s="42"/>
      <c r="L348" s="42"/>
      <c r="M348" s="42"/>
      <c r="N348" s="42"/>
      <c r="O348" s="42"/>
      <c r="P348" s="42"/>
      <c r="Q348" s="42"/>
      <c r="R348" s="42"/>
      <c r="S348" s="42"/>
      <c r="T348" s="42"/>
      <c r="U348" s="42"/>
      <c r="V348" s="42"/>
      <c r="W348" s="42"/>
      <c r="X348" s="42"/>
      <c r="Y348" s="42"/>
      <c r="Z348" s="42"/>
    </row>
    <row r="349">
      <c r="A349" s="133"/>
      <c r="B349" s="134"/>
      <c r="C349" s="63"/>
      <c r="D349" s="63"/>
      <c r="E349" s="135"/>
      <c r="F349" s="42"/>
      <c r="G349" s="42"/>
      <c r="H349" s="42"/>
      <c r="I349" s="42"/>
      <c r="J349" s="42"/>
      <c r="K349" s="42"/>
      <c r="L349" s="42"/>
      <c r="M349" s="42"/>
      <c r="N349" s="42"/>
      <c r="O349" s="42"/>
      <c r="P349" s="42"/>
      <c r="Q349" s="42"/>
      <c r="R349" s="42"/>
      <c r="S349" s="42"/>
      <c r="T349" s="42"/>
      <c r="U349" s="42"/>
      <c r="V349" s="42"/>
      <c r="W349" s="42"/>
      <c r="X349" s="42"/>
      <c r="Y349" s="42"/>
      <c r="Z349" s="42"/>
    </row>
    <row r="350">
      <c r="A350" s="133"/>
      <c r="B350" s="134"/>
      <c r="C350" s="63"/>
      <c r="D350" s="63"/>
      <c r="E350" s="135"/>
      <c r="F350" s="42"/>
      <c r="G350" s="42"/>
      <c r="H350" s="42"/>
      <c r="I350" s="42"/>
      <c r="J350" s="42"/>
      <c r="K350" s="42"/>
      <c r="L350" s="42"/>
      <c r="M350" s="42"/>
      <c r="N350" s="42"/>
      <c r="O350" s="42"/>
      <c r="P350" s="42"/>
      <c r="Q350" s="42"/>
      <c r="R350" s="42"/>
      <c r="S350" s="42"/>
      <c r="T350" s="42"/>
      <c r="U350" s="42"/>
      <c r="V350" s="42"/>
      <c r="W350" s="42"/>
      <c r="X350" s="42"/>
      <c r="Y350" s="42"/>
      <c r="Z350" s="42"/>
    </row>
    <row r="351">
      <c r="A351" s="133"/>
      <c r="B351" s="134"/>
      <c r="C351" s="63"/>
      <c r="D351" s="63"/>
      <c r="E351" s="135"/>
      <c r="F351" s="42"/>
      <c r="G351" s="42"/>
      <c r="H351" s="42"/>
      <c r="I351" s="42"/>
      <c r="J351" s="42"/>
      <c r="K351" s="42"/>
      <c r="L351" s="42"/>
      <c r="M351" s="42"/>
      <c r="N351" s="42"/>
      <c r="O351" s="42"/>
      <c r="P351" s="42"/>
      <c r="Q351" s="42"/>
      <c r="R351" s="42"/>
      <c r="S351" s="42"/>
      <c r="T351" s="42"/>
      <c r="U351" s="42"/>
      <c r="V351" s="42"/>
      <c r="W351" s="42"/>
      <c r="X351" s="42"/>
      <c r="Y351" s="42"/>
      <c r="Z351" s="42"/>
    </row>
    <row r="352">
      <c r="A352" s="133"/>
      <c r="B352" s="134"/>
      <c r="C352" s="63"/>
      <c r="D352" s="63"/>
      <c r="E352" s="135"/>
      <c r="F352" s="42"/>
      <c r="G352" s="42"/>
      <c r="H352" s="42"/>
      <c r="I352" s="42"/>
      <c r="J352" s="42"/>
      <c r="K352" s="42"/>
      <c r="L352" s="42"/>
      <c r="M352" s="42"/>
      <c r="N352" s="42"/>
      <c r="O352" s="42"/>
      <c r="P352" s="42"/>
      <c r="Q352" s="42"/>
      <c r="R352" s="42"/>
      <c r="S352" s="42"/>
      <c r="T352" s="42"/>
      <c r="U352" s="42"/>
      <c r="V352" s="42"/>
      <c r="W352" s="42"/>
      <c r="X352" s="42"/>
      <c r="Y352" s="42"/>
      <c r="Z352" s="42"/>
    </row>
    <row r="353">
      <c r="A353" s="133"/>
      <c r="B353" s="134"/>
      <c r="C353" s="63"/>
      <c r="D353" s="63"/>
      <c r="E353" s="135"/>
      <c r="F353" s="42"/>
      <c r="G353" s="42"/>
      <c r="H353" s="42"/>
      <c r="I353" s="42"/>
      <c r="J353" s="42"/>
      <c r="K353" s="42"/>
      <c r="L353" s="42"/>
      <c r="M353" s="42"/>
      <c r="N353" s="42"/>
      <c r="O353" s="42"/>
      <c r="P353" s="42"/>
      <c r="Q353" s="42"/>
      <c r="R353" s="42"/>
      <c r="S353" s="42"/>
      <c r="T353" s="42"/>
      <c r="U353" s="42"/>
      <c r="V353" s="42"/>
      <c r="W353" s="42"/>
      <c r="X353" s="42"/>
      <c r="Y353" s="42"/>
      <c r="Z353" s="42"/>
    </row>
    <row r="354">
      <c r="A354" s="133"/>
      <c r="B354" s="134"/>
      <c r="C354" s="63"/>
      <c r="D354" s="63"/>
      <c r="E354" s="135"/>
      <c r="F354" s="42"/>
      <c r="G354" s="42"/>
      <c r="H354" s="42"/>
      <c r="I354" s="42"/>
      <c r="J354" s="42"/>
      <c r="K354" s="42"/>
      <c r="L354" s="42"/>
      <c r="M354" s="42"/>
      <c r="N354" s="42"/>
      <c r="O354" s="42"/>
      <c r="P354" s="42"/>
      <c r="Q354" s="42"/>
      <c r="R354" s="42"/>
      <c r="S354" s="42"/>
      <c r="T354" s="42"/>
      <c r="U354" s="42"/>
      <c r="V354" s="42"/>
      <c r="W354" s="42"/>
      <c r="X354" s="42"/>
      <c r="Y354" s="42"/>
      <c r="Z354" s="42"/>
    </row>
    <row r="355">
      <c r="A355" s="133"/>
      <c r="B355" s="134"/>
      <c r="C355" s="63"/>
      <c r="D355" s="63"/>
      <c r="E355" s="135"/>
      <c r="F355" s="42"/>
      <c r="G355" s="42"/>
      <c r="H355" s="42"/>
      <c r="I355" s="42"/>
      <c r="J355" s="42"/>
      <c r="K355" s="42"/>
      <c r="L355" s="42"/>
      <c r="M355" s="42"/>
      <c r="N355" s="42"/>
      <c r="O355" s="42"/>
      <c r="P355" s="42"/>
      <c r="Q355" s="42"/>
      <c r="R355" s="42"/>
      <c r="S355" s="42"/>
      <c r="T355" s="42"/>
      <c r="U355" s="42"/>
      <c r="V355" s="42"/>
      <c r="W355" s="42"/>
      <c r="X355" s="42"/>
      <c r="Y355" s="42"/>
      <c r="Z355" s="42"/>
    </row>
    <row r="356">
      <c r="A356" s="133"/>
      <c r="B356" s="134"/>
      <c r="C356" s="63"/>
      <c r="D356" s="63"/>
      <c r="E356" s="135"/>
      <c r="F356" s="42"/>
      <c r="G356" s="42"/>
      <c r="H356" s="42"/>
      <c r="I356" s="42"/>
      <c r="J356" s="42"/>
      <c r="K356" s="42"/>
      <c r="L356" s="42"/>
      <c r="M356" s="42"/>
      <c r="N356" s="42"/>
      <c r="O356" s="42"/>
      <c r="P356" s="42"/>
      <c r="Q356" s="42"/>
      <c r="R356" s="42"/>
      <c r="S356" s="42"/>
      <c r="T356" s="42"/>
      <c r="U356" s="42"/>
      <c r="V356" s="42"/>
      <c r="W356" s="42"/>
      <c r="X356" s="42"/>
      <c r="Y356" s="42"/>
      <c r="Z356" s="42"/>
    </row>
    <row r="357">
      <c r="A357" s="133"/>
      <c r="B357" s="134"/>
      <c r="C357" s="63"/>
      <c r="D357" s="63"/>
      <c r="E357" s="135"/>
      <c r="F357" s="42"/>
      <c r="G357" s="42"/>
      <c r="H357" s="42"/>
      <c r="I357" s="42"/>
      <c r="J357" s="42"/>
      <c r="K357" s="42"/>
      <c r="L357" s="42"/>
      <c r="M357" s="42"/>
      <c r="N357" s="42"/>
      <c r="O357" s="42"/>
      <c r="P357" s="42"/>
      <c r="Q357" s="42"/>
      <c r="R357" s="42"/>
      <c r="S357" s="42"/>
      <c r="T357" s="42"/>
      <c r="U357" s="42"/>
      <c r="V357" s="42"/>
      <c r="W357" s="42"/>
      <c r="X357" s="42"/>
      <c r="Y357" s="42"/>
      <c r="Z357" s="42"/>
    </row>
    <row r="358">
      <c r="A358" s="133"/>
      <c r="B358" s="134"/>
      <c r="C358" s="63"/>
      <c r="D358" s="63"/>
      <c r="E358" s="135"/>
      <c r="F358" s="42"/>
      <c r="G358" s="42"/>
      <c r="H358" s="42"/>
      <c r="I358" s="42"/>
      <c r="J358" s="42"/>
      <c r="K358" s="42"/>
      <c r="L358" s="42"/>
      <c r="M358" s="42"/>
      <c r="N358" s="42"/>
      <c r="O358" s="42"/>
      <c r="P358" s="42"/>
      <c r="Q358" s="42"/>
      <c r="R358" s="42"/>
      <c r="S358" s="42"/>
      <c r="T358" s="42"/>
      <c r="U358" s="42"/>
      <c r="V358" s="42"/>
      <c r="W358" s="42"/>
      <c r="X358" s="42"/>
      <c r="Y358" s="42"/>
      <c r="Z358" s="42"/>
    </row>
    <row r="359">
      <c r="A359" s="133"/>
      <c r="B359" s="134"/>
      <c r="C359" s="63"/>
      <c r="D359" s="63"/>
      <c r="E359" s="135"/>
      <c r="F359" s="42"/>
      <c r="G359" s="42"/>
      <c r="H359" s="42"/>
      <c r="I359" s="42"/>
      <c r="J359" s="42"/>
      <c r="K359" s="42"/>
      <c r="L359" s="42"/>
      <c r="M359" s="42"/>
      <c r="N359" s="42"/>
      <c r="O359" s="42"/>
      <c r="P359" s="42"/>
      <c r="Q359" s="42"/>
      <c r="R359" s="42"/>
      <c r="S359" s="42"/>
      <c r="T359" s="42"/>
      <c r="U359" s="42"/>
      <c r="V359" s="42"/>
      <c r="W359" s="42"/>
      <c r="X359" s="42"/>
      <c r="Y359" s="42"/>
      <c r="Z359" s="42"/>
    </row>
    <row r="360">
      <c r="A360" s="133"/>
      <c r="B360" s="134"/>
      <c r="C360" s="63"/>
      <c r="D360" s="63"/>
      <c r="E360" s="135"/>
      <c r="F360" s="42"/>
      <c r="G360" s="42"/>
      <c r="H360" s="42"/>
      <c r="I360" s="42"/>
      <c r="J360" s="42"/>
      <c r="K360" s="42"/>
      <c r="L360" s="42"/>
      <c r="M360" s="42"/>
      <c r="N360" s="42"/>
      <c r="O360" s="42"/>
      <c r="P360" s="42"/>
      <c r="Q360" s="42"/>
      <c r="R360" s="42"/>
      <c r="S360" s="42"/>
      <c r="T360" s="42"/>
      <c r="U360" s="42"/>
      <c r="V360" s="42"/>
      <c r="W360" s="42"/>
      <c r="X360" s="42"/>
      <c r="Y360" s="42"/>
      <c r="Z360" s="42"/>
    </row>
    <row r="361">
      <c r="A361" s="133"/>
      <c r="B361" s="134"/>
      <c r="C361" s="63"/>
      <c r="D361" s="63"/>
      <c r="E361" s="135"/>
      <c r="F361" s="42"/>
      <c r="G361" s="42"/>
      <c r="H361" s="42"/>
      <c r="I361" s="42"/>
      <c r="J361" s="42"/>
      <c r="K361" s="42"/>
      <c r="L361" s="42"/>
      <c r="M361" s="42"/>
      <c r="N361" s="42"/>
      <c r="O361" s="42"/>
      <c r="P361" s="42"/>
      <c r="Q361" s="42"/>
      <c r="R361" s="42"/>
      <c r="S361" s="42"/>
      <c r="T361" s="42"/>
      <c r="U361" s="42"/>
      <c r="V361" s="42"/>
      <c r="W361" s="42"/>
      <c r="X361" s="42"/>
      <c r="Y361" s="42"/>
      <c r="Z361" s="42"/>
    </row>
    <row r="362">
      <c r="A362" s="133"/>
      <c r="B362" s="134"/>
      <c r="C362" s="63"/>
      <c r="D362" s="63"/>
      <c r="E362" s="135"/>
      <c r="F362" s="42"/>
      <c r="G362" s="42"/>
      <c r="H362" s="42"/>
      <c r="I362" s="42"/>
      <c r="J362" s="42"/>
      <c r="K362" s="42"/>
      <c r="L362" s="42"/>
      <c r="M362" s="42"/>
      <c r="N362" s="42"/>
      <c r="O362" s="42"/>
      <c r="P362" s="42"/>
      <c r="Q362" s="42"/>
      <c r="R362" s="42"/>
      <c r="S362" s="42"/>
      <c r="T362" s="42"/>
      <c r="U362" s="42"/>
      <c r="V362" s="42"/>
      <c r="W362" s="42"/>
      <c r="X362" s="42"/>
      <c r="Y362" s="42"/>
      <c r="Z362" s="42"/>
    </row>
    <row r="363">
      <c r="A363" s="133"/>
      <c r="B363" s="134"/>
      <c r="C363" s="63"/>
      <c r="D363" s="63"/>
      <c r="E363" s="135"/>
      <c r="F363" s="42"/>
      <c r="G363" s="42"/>
      <c r="H363" s="42"/>
      <c r="I363" s="42"/>
      <c r="J363" s="42"/>
      <c r="K363" s="42"/>
      <c r="L363" s="42"/>
      <c r="M363" s="42"/>
      <c r="N363" s="42"/>
      <c r="O363" s="42"/>
      <c r="P363" s="42"/>
      <c r="Q363" s="42"/>
      <c r="R363" s="42"/>
      <c r="S363" s="42"/>
      <c r="T363" s="42"/>
      <c r="U363" s="42"/>
      <c r="V363" s="42"/>
      <c r="W363" s="42"/>
      <c r="X363" s="42"/>
      <c r="Y363" s="42"/>
      <c r="Z363" s="42"/>
    </row>
    <row r="364">
      <c r="A364" s="133"/>
      <c r="B364" s="134"/>
      <c r="C364" s="63"/>
      <c r="D364" s="63"/>
      <c r="E364" s="135"/>
      <c r="F364" s="42"/>
      <c r="G364" s="42"/>
      <c r="H364" s="42"/>
      <c r="I364" s="42"/>
      <c r="J364" s="42"/>
      <c r="K364" s="42"/>
      <c r="L364" s="42"/>
      <c r="M364" s="42"/>
      <c r="N364" s="42"/>
      <c r="O364" s="42"/>
      <c r="P364" s="42"/>
      <c r="Q364" s="42"/>
      <c r="R364" s="42"/>
      <c r="S364" s="42"/>
      <c r="T364" s="42"/>
      <c r="U364" s="42"/>
      <c r="V364" s="42"/>
      <c r="W364" s="42"/>
      <c r="X364" s="42"/>
      <c r="Y364" s="42"/>
      <c r="Z364" s="42"/>
    </row>
    <row r="365">
      <c r="A365" s="133"/>
      <c r="B365" s="134"/>
      <c r="C365" s="63"/>
      <c r="D365" s="63"/>
      <c r="E365" s="135"/>
      <c r="F365" s="42"/>
      <c r="G365" s="42"/>
      <c r="H365" s="42"/>
      <c r="I365" s="42"/>
      <c r="J365" s="42"/>
      <c r="K365" s="42"/>
      <c r="L365" s="42"/>
      <c r="M365" s="42"/>
      <c r="N365" s="42"/>
      <c r="O365" s="42"/>
      <c r="P365" s="42"/>
      <c r="Q365" s="42"/>
      <c r="R365" s="42"/>
      <c r="S365" s="42"/>
      <c r="T365" s="42"/>
      <c r="U365" s="42"/>
      <c r="V365" s="42"/>
      <c r="W365" s="42"/>
      <c r="X365" s="42"/>
      <c r="Y365" s="42"/>
      <c r="Z365" s="42"/>
    </row>
    <row r="366">
      <c r="A366" s="133"/>
      <c r="B366" s="134"/>
      <c r="C366" s="63"/>
      <c r="D366" s="63"/>
      <c r="E366" s="135"/>
      <c r="F366" s="42"/>
      <c r="G366" s="42"/>
      <c r="H366" s="42"/>
      <c r="I366" s="42"/>
      <c r="J366" s="42"/>
      <c r="K366" s="42"/>
      <c r="L366" s="42"/>
      <c r="M366" s="42"/>
      <c r="N366" s="42"/>
      <c r="O366" s="42"/>
      <c r="P366" s="42"/>
      <c r="Q366" s="42"/>
      <c r="R366" s="42"/>
      <c r="S366" s="42"/>
      <c r="T366" s="42"/>
      <c r="U366" s="42"/>
      <c r="V366" s="42"/>
      <c r="W366" s="42"/>
      <c r="X366" s="42"/>
      <c r="Y366" s="42"/>
      <c r="Z366" s="42"/>
    </row>
    <row r="367">
      <c r="A367" s="133"/>
      <c r="B367" s="134"/>
      <c r="C367" s="63"/>
      <c r="D367" s="63"/>
      <c r="E367" s="135"/>
      <c r="F367" s="42"/>
      <c r="G367" s="42"/>
      <c r="H367" s="42"/>
      <c r="I367" s="42"/>
      <c r="J367" s="42"/>
      <c r="K367" s="42"/>
      <c r="L367" s="42"/>
      <c r="M367" s="42"/>
      <c r="N367" s="42"/>
      <c r="O367" s="42"/>
      <c r="P367" s="42"/>
      <c r="Q367" s="42"/>
      <c r="R367" s="42"/>
      <c r="S367" s="42"/>
      <c r="T367" s="42"/>
      <c r="U367" s="42"/>
      <c r="V367" s="42"/>
      <c r="W367" s="42"/>
      <c r="X367" s="42"/>
      <c r="Y367" s="42"/>
      <c r="Z367" s="42"/>
    </row>
    <row r="368">
      <c r="A368" s="133"/>
      <c r="B368" s="134"/>
      <c r="C368" s="63"/>
      <c r="D368" s="63"/>
      <c r="E368" s="135"/>
      <c r="F368" s="42"/>
      <c r="G368" s="42"/>
      <c r="H368" s="42"/>
      <c r="I368" s="42"/>
      <c r="J368" s="42"/>
      <c r="K368" s="42"/>
      <c r="L368" s="42"/>
      <c r="M368" s="42"/>
      <c r="N368" s="42"/>
      <c r="O368" s="42"/>
      <c r="P368" s="42"/>
      <c r="Q368" s="42"/>
      <c r="R368" s="42"/>
      <c r="S368" s="42"/>
      <c r="T368" s="42"/>
      <c r="U368" s="42"/>
      <c r="V368" s="42"/>
      <c r="W368" s="42"/>
      <c r="X368" s="42"/>
      <c r="Y368" s="42"/>
      <c r="Z368" s="42"/>
    </row>
    <row r="369">
      <c r="A369" s="133"/>
      <c r="B369" s="134"/>
      <c r="C369" s="63"/>
      <c r="D369" s="63"/>
      <c r="E369" s="135"/>
      <c r="F369" s="42"/>
      <c r="G369" s="42"/>
      <c r="H369" s="42"/>
      <c r="I369" s="42"/>
      <c r="J369" s="42"/>
      <c r="K369" s="42"/>
      <c r="L369" s="42"/>
      <c r="M369" s="42"/>
      <c r="N369" s="42"/>
      <c r="O369" s="42"/>
      <c r="P369" s="42"/>
      <c r="Q369" s="42"/>
      <c r="R369" s="42"/>
      <c r="S369" s="42"/>
      <c r="T369" s="42"/>
      <c r="U369" s="42"/>
      <c r="V369" s="42"/>
      <c r="W369" s="42"/>
      <c r="X369" s="42"/>
      <c r="Y369" s="42"/>
      <c r="Z369" s="42"/>
    </row>
    <row r="370">
      <c r="A370" s="133"/>
      <c r="B370" s="134"/>
      <c r="C370" s="63"/>
      <c r="D370" s="63"/>
      <c r="E370" s="135"/>
      <c r="F370" s="42"/>
      <c r="G370" s="42"/>
      <c r="H370" s="42"/>
      <c r="I370" s="42"/>
      <c r="J370" s="42"/>
      <c r="K370" s="42"/>
      <c r="L370" s="42"/>
      <c r="M370" s="42"/>
      <c r="N370" s="42"/>
      <c r="O370" s="42"/>
      <c r="P370" s="42"/>
      <c r="Q370" s="42"/>
      <c r="R370" s="42"/>
      <c r="S370" s="42"/>
      <c r="T370" s="42"/>
      <c r="U370" s="42"/>
      <c r="V370" s="42"/>
      <c r="W370" s="42"/>
      <c r="X370" s="42"/>
      <c r="Y370" s="42"/>
      <c r="Z370" s="42"/>
    </row>
    <row r="371">
      <c r="A371" s="133"/>
      <c r="B371" s="134"/>
      <c r="C371" s="63"/>
      <c r="D371" s="63"/>
      <c r="E371" s="135"/>
      <c r="F371" s="42"/>
      <c r="G371" s="42"/>
      <c r="H371" s="42"/>
      <c r="I371" s="42"/>
      <c r="J371" s="42"/>
      <c r="K371" s="42"/>
      <c r="L371" s="42"/>
      <c r="M371" s="42"/>
      <c r="N371" s="42"/>
      <c r="O371" s="42"/>
      <c r="P371" s="42"/>
      <c r="Q371" s="42"/>
      <c r="R371" s="42"/>
      <c r="S371" s="42"/>
      <c r="T371" s="42"/>
      <c r="U371" s="42"/>
      <c r="V371" s="42"/>
      <c r="W371" s="42"/>
      <c r="X371" s="42"/>
      <c r="Y371" s="42"/>
      <c r="Z371" s="42"/>
    </row>
    <row r="372">
      <c r="A372" s="133"/>
      <c r="B372" s="134"/>
      <c r="C372" s="63"/>
      <c r="D372" s="63"/>
      <c r="E372" s="135"/>
      <c r="F372" s="42"/>
      <c r="G372" s="42"/>
      <c r="H372" s="42"/>
      <c r="I372" s="42"/>
      <c r="J372" s="42"/>
      <c r="K372" s="42"/>
      <c r="L372" s="42"/>
      <c r="M372" s="42"/>
      <c r="N372" s="42"/>
      <c r="O372" s="42"/>
      <c r="P372" s="42"/>
      <c r="Q372" s="42"/>
      <c r="R372" s="42"/>
      <c r="S372" s="42"/>
      <c r="T372" s="42"/>
      <c r="U372" s="42"/>
      <c r="V372" s="42"/>
      <c r="W372" s="42"/>
      <c r="X372" s="42"/>
      <c r="Y372" s="42"/>
      <c r="Z372" s="42"/>
    </row>
    <row r="373">
      <c r="A373" s="133"/>
      <c r="B373" s="134"/>
      <c r="C373" s="63"/>
      <c r="D373" s="63"/>
      <c r="E373" s="135"/>
      <c r="F373" s="42"/>
      <c r="G373" s="42"/>
      <c r="H373" s="42"/>
      <c r="I373" s="42"/>
      <c r="J373" s="42"/>
      <c r="K373" s="42"/>
      <c r="L373" s="42"/>
      <c r="M373" s="42"/>
      <c r="N373" s="42"/>
      <c r="O373" s="42"/>
      <c r="P373" s="42"/>
      <c r="Q373" s="42"/>
      <c r="R373" s="42"/>
      <c r="S373" s="42"/>
      <c r="T373" s="42"/>
      <c r="U373" s="42"/>
      <c r="V373" s="42"/>
      <c r="W373" s="42"/>
      <c r="X373" s="42"/>
      <c r="Y373" s="42"/>
      <c r="Z373" s="42"/>
    </row>
    <row r="374">
      <c r="A374" s="133"/>
      <c r="B374" s="134"/>
      <c r="C374" s="63"/>
      <c r="D374" s="63"/>
      <c r="E374" s="135"/>
      <c r="F374" s="42"/>
      <c r="G374" s="42"/>
      <c r="H374" s="42"/>
      <c r="I374" s="42"/>
      <c r="J374" s="42"/>
      <c r="K374" s="42"/>
      <c r="L374" s="42"/>
      <c r="M374" s="42"/>
      <c r="N374" s="42"/>
      <c r="O374" s="42"/>
      <c r="P374" s="42"/>
      <c r="Q374" s="42"/>
      <c r="R374" s="42"/>
      <c r="S374" s="42"/>
      <c r="T374" s="42"/>
      <c r="U374" s="42"/>
      <c r="V374" s="42"/>
      <c r="W374" s="42"/>
      <c r="X374" s="42"/>
      <c r="Y374" s="42"/>
      <c r="Z374" s="42"/>
    </row>
    <row r="375">
      <c r="A375" s="133"/>
      <c r="B375" s="134"/>
      <c r="C375" s="63"/>
      <c r="D375" s="63"/>
      <c r="E375" s="135"/>
      <c r="F375" s="42"/>
      <c r="G375" s="42"/>
      <c r="H375" s="42"/>
      <c r="I375" s="42"/>
      <c r="J375" s="42"/>
      <c r="K375" s="42"/>
      <c r="L375" s="42"/>
      <c r="M375" s="42"/>
      <c r="N375" s="42"/>
      <c r="O375" s="42"/>
      <c r="P375" s="42"/>
      <c r="Q375" s="42"/>
      <c r="R375" s="42"/>
      <c r="S375" s="42"/>
      <c r="T375" s="42"/>
      <c r="U375" s="42"/>
      <c r="V375" s="42"/>
      <c r="W375" s="42"/>
      <c r="X375" s="42"/>
      <c r="Y375" s="42"/>
      <c r="Z375" s="42"/>
    </row>
    <row r="376">
      <c r="A376" s="133"/>
      <c r="B376" s="134"/>
      <c r="C376" s="63"/>
      <c r="D376" s="63"/>
      <c r="E376" s="135"/>
      <c r="F376" s="42"/>
      <c r="G376" s="42"/>
      <c r="H376" s="42"/>
      <c r="I376" s="42"/>
      <c r="J376" s="42"/>
      <c r="K376" s="42"/>
      <c r="L376" s="42"/>
      <c r="M376" s="42"/>
      <c r="N376" s="42"/>
      <c r="O376" s="42"/>
      <c r="P376" s="42"/>
      <c r="Q376" s="42"/>
      <c r="R376" s="42"/>
      <c r="S376" s="42"/>
      <c r="T376" s="42"/>
      <c r="U376" s="42"/>
      <c r="V376" s="42"/>
      <c r="W376" s="42"/>
      <c r="X376" s="42"/>
      <c r="Y376" s="42"/>
      <c r="Z376" s="42"/>
    </row>
    <row r="377">
      <c r="A377" s="133"/>
      <c r="B377" s="134"/>
      <c r="C377" s="63"/>
      <c r="D377" s="63"/>
      <c r="E377" s="135"/>
      <c r="F377" s="42"/>
      <c r="G377" s="42"/>
      <c r="H377" s="42"/>
      <c r="I377" s="42"/>
      <c r="J377" s="42"/>
      <c r="K377" s="42"/>
      <c r="L377" s="42"/>
      <c r="M377" s="42"/>
      <c r="N377" s="42"/>
      <c r="O377" s="42"/>
      <c r="P377" s="42"/>
      <c r="Q377" s="42"/>
      <c r="R377" s="42"/>
      <c r="S377" s="42"/>
      <c r="T377" s="42"/>
      <c r="U377" s="42"/>
      <c r="V377" s="42"/>
      <c r="W377" s="42"/>
      <c r="X377" s="42"/>
      <c r="Y377" s="42"/>
      <c r="Z377" s="42"/>
    </row>
    <row r="378">
      <c r="A378" s="133"/>
      <c r="B378" s="134"/>
      <c r="C378" s="63"/>
      <c r="D378" s="63"/>
      <c r="E378" s="135"/>
      <c r="F378" s="42"/>
      <c r="G378" s="42"/>
      <c r="H378" s="42"/>
      <c r="I378" s="42"/>
      <c r="J378" s="42"/>
      <c r="K378" s="42"/>
      <c r="L378" s="42"/>
      <c r="M378" s="42"/>
      <c r="N378" s="42"/>
      <c r="O378" s="42"/>
      <c r="P378" s="42"/>
      <c r="Q378" s="42"/>
      <c r="R378" s="42"/>
      <c r="S378" s="42"/>
      <c r="T378" s="42"/>
      <c r="U378" s="42"/>
      <c r="V378" s="42"/>
      <c r="W378" s="42"/>
      <c r="X378" s="42"/>
      <c r="Y378" s="42"/>
      <c r="Z378" s="42"/>
    </row>
    <row r="379">
      <c r="A379" s="133"/>
      <c r="B379" s="134"/>
      <c r="C379" s="63"/>
      <c r="D379" s="63"/>
      <c r="E379" s="135"/>
      <c r="F379" s="42"/>
      <c r="G379" s="42"/>
      <c r="H379" s="42"/>
      <c r="I379" s="42"/>
      <c r="J379" s="42"/>
      <c r="K379" s="42"/>
      <c r="L379" s="42"/>
      <c r="M379" s="42"/>
      <c r="N379" s="42"/>
      <c r="O379" s="42"/>
      <c r="P379" s="42"/>
      <c r="Q379" s="42"/>
      <c r="R379" s="42"/>
      <c r="S379" s="42"/>
      <c r="T379" s="42"/>
      <c r="U379" s="42"/>
      <c r="V379" s="42"/>
      <c r="W379" s="42"/>
      <c r="X379" s="42"/>
      <c r="Y379" s="42"/>
      <c r="Z379" s="42"/>
    </row>
    <row r="380">
      <c r="A380" s="133"/>
      <c r="B380" s="134"/>
      <c r="C380" s="63"/>
      <c r="D380" s="63"/>
      <c r="E380" s="135"/>
      <c r="F380" s="42"/>
      <c r="G380" s="42"/>
      <c r="H380" s="42"/>
      <c r="I380" s="42"/>
      <c r="J380" s="42"/>
      <c r="K380" s="42"/>
      <c r="L380" s="42"/>
      <c r="M380" s="42"/>
      <c r="N380" s="42"/>
      <c r="O380" s="42"/>
      <c r="P380" s="42"/>
      <c r="Q380" s="42"/>
      <c r="R380" s="42"/>
      <c r="S380" s="42"/>
      <c r="T380" s="42"/>
      <c r="U380" s="42"/>
      <c r="V380" s="42"/>
      <c r="W380" s="42"/>
      <c r="X380" s="42"/>
      <c r="Y380" s="42"/>
      <c r="Z380" s="42"/>
    </row>
    <row r="381">
      <c r="A381" s="133"/>
      <c r="B381" s="134"/>
      <c r="C381" s="63"/>
      <c r="D381" s="63"/>
      <c r="E381" s="135"/>
      <c r="F381" s="42"/>
      <c r="G381" s="42"/>
      <c r="H381" s="42"/>
      <c r="I381" s="42"/>
      <c r="J381" s="42"/>
      <c r="K381" s="42"/>
      <c r="L381" s="42"/>
      <c r="M381" s="42"/>
      <c r="N381" s="42"/>
      <c r="O381" s="42"/>
      <c r="P381" s="42"/>
      <c r="Q381" s="42"/>
      <c r="R381" s="42"/>
      <c r="S381" s="42"/>
      <c r="T381" s="42"/>
      <c r="U381" s="42"/>
      <c r="V381" s="42"/>
      <c r="W381" s="42"/>
      <c r="X381" s="42"/>
      <c r="Y381" s="42"/>
      <c r="Z381" s="42"/>
    </row>
    <row r="382">
      <c r="A382" s="133"/>
      <c r="B382" s="134"/>
      <c r="C382" s="63"/>
      <c r="D382" s="63"/>
      <c r="E382" s="135"/>
      <c r="F382" s="42"/>
      <c r="G382" s="42"/>
      <c r="H382" s="42"/>
      <c r="I382" s="42"/>
      <c r="J382" s="42"/>
      <c r="K382" s="42"/>
      <c r="L382" s="42"/>
      <c r="M382" s="42"/>
      <c r="N382" s="42"/>
      <c r="O382" s="42"/>
      <c r="P382" s="42"/>
      <c r="Q382" s="42"/>
      <c r="R382" s="42"/>
      <c r="S382" s="42"/>
      <c r="T382" s="42"/>
      <c r="U382" s="42"/>
      <c r="V382" s="42"/>
      <c r="W382" s="42"/>
      <c r="X382" s="42"/>
      <c r="Y382" s="42"/>
      <c r="Z382" s="42"/>
    </row>
    <row r="383">
      <c r="A383" s="133"/>
      <c r="B383" s="134"/>
      <c r="C383" s="63"/>
      <c r="D383" s="63"/>
      <c r="E383" s="135"/>
      <c r="F383" s="42"/>
      <c r="G383" s="42"/>
      <c r="H383" s="42"/>
      <c r="I383" s="42"/>
      <c r="J383" s="42"/>
      <c r="K383" s="42"/>
      <c r="L383" s="42"/>
      <c r="M383" s="42"/>
      <c r="N383" s="42"/>
      <c r="O383" s="42"/>
      <c r="P383" s="42"/>
      <c r="Q383" s="42"/>
      <c r="R383" s="42"/>
      <c r="S383" s="42"/>
      <c r="T383" s="42"/>
      <c r="U383" s="42"/>
      <c r="V383" s="42"/>
      <c r="W383" s="42"/>
      <c r="X383" s="42"/>
      <c r="Y383" s="42"/>
      <c r="Z383" s="42"/>
    </row>
    <row r="384">
      <c r="A384" s="133"/>
      <c r="B384" s="134"/>
      <c r="C384" s="63"/>
      <c r="D384" s="63"/>
      <c r="E384" s="135"/>
      <c r="F384" s="42"/>
      <c r="G384" s="42"/>
      <c r="H384" s="42"/>
      <c r="I384" s="42"/>
      <c r="J384" s="42"/>
      <c r="K384" s="42"/>
      <c r="L384" s="42"/>
      <c r="M384" s="42"/>
      <c r="N384" s="42"/>
      <c r="O384" s="42"/>
      <c r="P384" s="42"/>
      <c r="Q384" s="42"/>
      <c r="R384" s="42"/>
      <c r="S384" s="42"/>
      <c r="T384" s="42"/>
      <c r="U384" s="42"/>
      <c r="V384" s="42"/>
      <c r="W384" s="42"/>
      <c r="X384" s="42"/>
      <c r="Y384" s="42"/>
      <c r="Z384" s="42"/>
    </row>
    <row r="385">
      <c r="A385" s="133"/>
      <c r="B385" s="134"/>
      <c r="C385" s="63"/>
      <c r="D385" s="63"/>
      <c r="E385" s="135"/>
      <c r="F385" s="42"/>
      <c r="G385" s="42"/>
      <c r="H385" s="42"/>
      <c r="I385" s="42"/>
      <c r="J385" s="42"/>
      <c r="K385" s="42"/>
      <c r="L385" s="42"/>
      <c r="M385" s="42"/>
      <c r="N385" s="42"/>
      <c r="O385" s="42"/>
      <c r="P385" s="42"/>
      <c r="Q385" s="42"/>
      <c r="R385" s="42"/>
      <c r="S385" s="42"/>
      <c r="T385" s="42"/>
      <c r="U385" s="42"/>
      <c r="V385" s="42"/>
      <c r="W385" s="42"/>
      <c r="X385" s="42"/>
      <c r="Y385" s="42"/>
      <c r="Z385" s="42"/>
    </row>
    <row r="386">
      <c r="A386" s="133"/>
      <c r="B386" s="134"/>
      <c r="C386" s="63"/>
      <c r="D386" s="63"/>
      <c r="E386" s="135"/>
      <c r="F386" s="42"/>
      <c r="G386" s="42"/>
      <c r="H386" s="42"/>
      <c r="I386" s="42"/>
      <c r="J386" s="42"/>
      <c r="K386" s="42"/>
      <c r="L386" s="42"/>
      <c r="M386" s="42"/>
      <c r="N386" s="42"/>
      <c r="O386" s="42"/>
      <c r="P386" s="42"/>
      <c r="Q386" s="42"/>
      <c r="R386" s="42"/>
      <c r="S386" s="42"/>
      <c r="T386" s="42"/>
      <c r="U386" s="42"/>
      <c r="V386" s="42"/>
      <c r="W386" s="42"/>
      <c r="X386" s="42"/>
      <c r="Y386" s="42"/>
      <c r="Z386" s="42"/>
    </row>
    <row r="387">
      <c r="A387" s="133"/>
      <c r="B387" s="134"/>
      <c r="C387" s="63"/>
      <c r="D387" s="63"/>
      <c r="E387" s="135"/>
      <c r="F387" s="42"/>
      <c r="G387" s="42"/>
      <c r="H387" s="42"/>
      <c r="I387" s="42"/>
      <c r="J387" s="42"/>
      <c r="K387" s="42"/>
      <c r="L387" s="42"/>
      <c r="M387" s="42"/>
      <c r="N387" s="42"/>
      <c r="O387" s="42"/>
      <c r="P387" s="42"/>
      <c r="Q387" s="42"/>
      <c r="R387" s="42"/>
      <c r="S387" s="42"/>
      <c r="T387" s="42"/>
      <c r="U387" s="42"/>
      <c r="V387" s="42"/>
      <c r="W387" s="42"/>
      <c r="X387" s="42"/>
      <c r="Y387" s="42"/>
      <c r="Z387" s="42"/>
    </row>
    <row r="388">
      <c r="A388" s="133"/>
      <c r="B388" s="134"/>
      <c r="C388" s="63"/>
      <c r="D388" s="63"/>
      <c r="E388" s="135"/>
      <c r="F388" s="42"/>
      <c r="G388" s="42"/>
      <c r="H388" s="42"/>
      <c r="I388" s="42"/>
      <c r="J388" s="42"/>
      <c r="K388" s="42"/>
      <c r="L388" s="42"/>
      <c r="M388" s="42"/>
      <c r="N388" s="42"/>
      <c r="O388" s="42"/>
      <c r="P388" s="42"/>
      <c r="Q388" s="42"/>
      <c r="R388" s="42"/>
      <c r="S388" s="42"/>
      <c r="T388" s="42"/>
      <c r="U388" s="42"/>
      <c r="V388" s="42"/>
      <c r="W388" s="42"/>
      <c r="X388" s="42"/>
      <c r="Y388" s="42"/>
      <c r="Z388" s="42"/>
    </row>
    <row r="389">
      <c r="A389" s="133"/>
      <c r="B389" s="134"/>
      <c r="C389" s="63"/>
      <c r="D389" s="63"/>
      <c r="E389" s="135"/>
      <c r="F389" s="42"/>
      <c r="G389" s="42"/>
      <c r="H389" s="42"/>
      <c r="I389" s="42"/>
      <c r="J389" s="42"/>
      <c r="K389" s="42"/>
      <c r="L389" s="42"/>
      <c r="M389" s="42"/>
      <c r="N389" s="42"/>
      <c r="O389" s="42"/>
      <c r="P389" s="42"/>
      <c r="Q389" s="42"/>
      <c r="R389" s="42"/>
      <c r="S389" s="42"/>
      <c r="T389" s="42"/>
      <c r="U389" s="42"/>
      <c r="V389" s="42"/>
      <c r="W389" s="42"/>
      <c r="X389" s="42"/>
      <c r="Y389" s="42"/>
      <c r="Z389" s="42"/>
    </row>
    <row r="390">
      <c r="A390" s="133"/>
      <c r="B390" s="134"/>
      <c r="C390" s="63"/>
      <c r="D390" s="63"/>
      <c r="E390" s="135"/>
      <c r="F390" s="42"/>
      <c r="G390" s="42"/>
      <c r="H390" s="42"/>
      <c r="I390" s="42"/>
      <c r="J390" s="42"/>
      <c r="K390" s="42"/>
      <c r="L390" s="42"/>
      <c r="M390" s="42"/>
      <c r="N390" s="42"/>
      <c r="O390" s="42"/>
      <c r="P390" s="42"/>
      <c r="Q390" s="42"/>
      <c r="R390" s="42"/>
      <c r="S390" s="42"/>
      <c r="T390" s="42"/>
      <c r="U390" s="42"/>
      <c r="V390" s="42"/>
      <c r="W390" s="42"/>
      <c r="X390" s="42"/>
      <c r="Y390" s="42"/>
      <c r="Z390" s="42"/>
    </row>
    <row r="391">
      <c r="A391" s="133"/>
      <c r="B391" s="134"/>
      <c r="C391" s="63"/>
      <c r="D391" s="63"/>
      <c r="E391" s="135"/>
      <c r="F391" s="42"/>
      <c r="G391" s="42"/>
      <c r="H391" s="42"/>
      <c r="I391" s="42"/>
      <c r="J391" s="42"/>
      <c r="K391" s="42"/>
      <c r="L391" s="42"/>
      <c r="M391" s="42"/>
      <c r="N391" s="42"/>
      <c r="O391" s="42"/>
      <c r="P391" s="42"/>
      <c r="Q391" s="42"/>
      <c r="R391" s="42"/>
      <c r="S391" s="42"/>
      <c r="T391" s="42"/>
      <c r="U391" s="42"/>
      <c r="V391" s="42"/>
      <c r="W391" s="42"/>
      <c r="X391" s="42"/>
      <c r="Y391" s="42"/>
      <c r="Z391" s="42"/>
    </row>
    <row r="392">
      <c r="A392" s="133"/>
      <c r="B392" s="134"/>
      <c r="C392" s="63"/>
      <c r="D392" s="63"/>
      <c r="E392" s="135"/>
      <c r="F392" s="42"/>
      <c r="G392" s="42"/>
      <c r="H392" s="42"/>
      <c r="I392" s="42"/>
      <c r="J392" s="42"/>
      <c r="K392" s="42"/>
      <c r="L392" s="42"/>
      <c r="M392" s="42"/>
      <c r="N392" s="42"/>
      <c r="O392" s="42"/>
      <c r="P392" s="42"/>
      <c r="Q392" s="42"/>
      <c r="R392" s="42"/>
      <c r="S392" s="42"/>
      <c r="T392" s="42"/>
      <c r="U392" s="42"/>
      <c r="V392" s="42"/>
      <c r="W392" s="42"/>
      <c r="X392" s="42"/>
      <c r="Y392" s="42"/>
      <c r="Z392" s="42"/>
    </row>
    <row r="393">
      <c r="A393" s="133"/>
      <c r="B393" s="134"/>
      <c r="C393" s="63"/>
      <c r="D393" s="63"/>
      <c r="E393" s="135"/>
      <c r="F393" s="42"/>
      <c r="G393" s="42"/>
      <c r="H393" s="42"/>
      <c r="I393" s="42"/>
      <c r="J393" s="42"/>
      <c r="K393" s="42"/>
      <c r="L393" s="42"/>
      <c r="M393" s="42"/>
      <c r="N393" s="42"/>
      <c r="O393" s="42"/>
      <c r="P393" s="42"/>
      <c r="Q393" s="42"/>
      <c r="R393" s="42"/>
      <c r="S393" s="42"/>
      <c r="T393" s="42"/>
      <c r="U393" s="42"/>
      <c r="V393" s="42"/>
      <c r="W393" s="42"/>
      <c r="X393" s="42"/>
      <c r="Y393" s="42"/>
      <c r="Z393" s="42"/>
    </row>
    <row r="394">
      <c r="A394" s="133"/>
      <c r="B394" s="134"/>
      <c r="C394" s="63"/>
      <c r="D394" s="63"/>
      <c r="E394" s="135"/>
      <c r="F394" s="42"/>
      <c r="G394" s="42"/>
      <c r="H394" s="42"/>
      <c r="I394" s="42"/>
      <c r="J394" s="42"/>
      <c r="K394" s="42"/>
      <c r="L394" s="42"/>
      <c r="M394" s="42"/>
      <c r="N394" s="42"/>
      <c r="O394" s="42"/>
      <c r="P394" s="42"/>
      <c r="Q394" s="42"/>
      <c r="R394" s="42"/>
      <c r="S394" s="42"/>
      <c r="T394" s="42"/>
      <c r="U394" s="42"/>
      <c r="V394" s="42"/>
      <c r="W394" s="42"/>
      <c r="X394" s="42"/>
      <c r="Y394" s="42"/>
      <c r="Z394" s="42"/>
    </row>
    <row r="395">
      <c r="A395" s="133"/>
      <c r="B395" s="134"/>
      <c r="C395" s="63"/>
      <c r="D395" s="63"/>
      <c r="E395" s="135"/>
      <c r="F395" s="42"/>
      <c r="G395" s="42"/>
      <c r="H395" s="42"/>
      <c r="I395" s="42"/>
      <c r="J395" s="42"/>
      <c r="K395" s="42"/>
      <c r="L395" s="42"/>
      <c r="M395" s="42"/>
      <c r="N395" s="42"/>
      <c r="O395" s="42"/>
      <c r="P395" s="42"/>
      <c r="Q395" s="42"/>
      <c r="R395" s="42"/>
      <c r="S395" s="42"/>
      <c r="T395" s="42"/>
      <c r="U395" s="42"/>
      <c r="V395" s="42"/>
      <c r="W395" s="42"/>
      <c r="X395" s="42"/>
      <c r="Y395" s="42"/>
      <c r="Z395" s="42"/>
    </row>
    <row r="396">
      <c r="A396" s="133"/>
      <c r="B396" s="134"/>
      <c r="C396" s="63"/>
      <c r="D396" s="63"/>
      <c r="E396" s="135"/>
      <c r="F396" s="42"/>
      <c r="G396" s="42"/>
      <c r="H396" s="42"/>
      <c r="I396" s="42"/>
      <c r="J396" s="42"/>
      <c r="K396" s="42"/>
      <c r="L396" s="42"/>
      <c r="M396" s="42"/>
      <c r="N396" s="42"/>
      <c r="O396" s="42"/>
      <c r="P396" s="42"/>
      <c r="Q396" s="42"/>
      <c r="R396" s="42"/>
      <c r="S396" s="42"/>
      <c r="T396" s="42"/>
      <c r="U396" s="42"/>
      <c r="V396" s="42"/>
      <c r="W396" s="42"/>
      <c r="X396" s="42"/>
      <c r="Y396" s="42"/>
      <c r="Z396" s="42"/>
    </row>
    <row r="397">
      <c r="A397" s="133"/>
      <c r="B397" s="134"/>
      <c r="C397" s="63"/>
      <c r="D397" s="63"/>
      <c r="E397" s="135"/>
      <c r="F397" s="42"/>
      <c r="G397" s="42"/>
      <c r="H397" s="42"/>
      <c r="I397" s="42"/>
      <c r="J397" s="42"/>
      <c r="K397" s="42"/>
      <c r="L397" s="42"/>
      <c r="M397" s="42"/>
      <c r="N397" s="42"/>
      <c r="O397" s="42"/>
      <c r="P397" s="42"/>
      <c r="Q397" s="42"/>
      <c r="R397" s="42"/>
      <c r="S397" s="42"/>
      <c r="T397" s="42"/>
      <c r="U397" s="42"/>
      <c r="V397" s="42"/>
      <c r="W397" s="42"/>
      <c r="X397" s="42"/>
      <c r="Y397" s="42"/>
      <c r="Z397" s="42"/>
    </row>
    <row r="398">
      <c r="A398" s="133"/>
      <c r="B398" s="134"/>
      <c r="C398" s="63"/>
      <c r="D398" s="63"/>
      <c r="E398" s="135"/>
      <c r="F398" s="42"/>
      <c r="G398" s="42"/>
      <c r="H398" s="42"/>
      <c r="I398" s="42"/>
      <c r="J398" s="42"/>
      <c r="K398" s="42"/>
      <c r="L398" s="42"/>
      <c r="M398" s="42"/>
      <c r="N398" s="42"/>
      <c r="O398" s="42"/>
      <c r="P398" s="42"/>
      <c r="Q398" s="42"/>
      <c r="R398" s="42"/>
      <c r="S398" s="42"/>
      <c r="T398" s="42"/>
      <c r="U398" s="42"/>
      <c r="V398" s="42"/>
      <c r="W398" s="42"/>
      <c r="X398" s="42"/>
      <c r="Y398" s="42"/>
      <c r="Z398" s="42"/>
    </row>
    <row r="399">
      <c r="A399" s="133"/>
      <c r="B399" s="134"/>
      <c r="C399" s="63"/>
      <c r="D399" s="63"/>
      <c r="E399" s="135"/>
      <c r="F399" s="42"/>
      <c r="G399" s="42"/>
      <c r="H399" s="42"/>
      <c r="I399" s="42"/>
      <c r="J399" s="42"/>
      <c r="K399" s="42"/>
      <c r="L399" s="42"/>
      <c r="M399" s="42"/>
      <c r="N399" s="42"/>
      <c r="O399" s="42"/>
      <c r="P399" s="42"/>
      <c r="Q399" s="42"/>
      <c r="R399" s="42"/>
      <c r="S399" s="42"/>
      <c r="T399" s="42"/>
      <c r="U399" s="42"/>
      <c r="V399" s="42"/>
      <c r="W399" s="42"/>
      <c r="X399" s="42"/>
      <c r="Y399" s="42"/>
      <c r="Z399" s="42"/>
    </row>
    <row r="400">
      <c r="A400" s="133"/>
      <c r="B400" s="134"/>
      <c r="C400" s="63"/>
      <c r="D400" s="63"/>
      <c r="E400" s="135"/>
      <c r="F400" s="42"/>
      <c r="G400" s="42"/>
      <c r="H400" s="42"/>
      <c r="I400" s="42"/>
      <c r="J400" s="42"/>
      <c r="K400" s="42"/>
      <c r="L400" s="42"/>
      <c r="M400" s="42"/>
      <c r="N400" s="42"/>
      <c r="O400" s="42"/>
      <c r="P400" s="42"/>
      <c r="Q400" s="42"/>
      <c r="R400" s="42"/>
      <c r="S400" s="42"/>
      <c r="T400" s="42"/>
      <c r="U400" s="42"/>
      <c r="V400" s="42"/>
      <c r="W400" s="42"/>
      <c r="X400" s="42"/>
      <c r="Y400" s="42"/>
      <c r="Z400" s="42"/>
    </row>
    <row r="401">
      <c r="A401" s="133"/>
      <c r="B401" s="134"/>
      <c r="C401" s="63"/>
      <c r="D401" s="63"/>
      <c r="E401" s="135"/>
      <c r="F401" s="42"/>
      <c r="G401" s="42"/>
      <c r="H401" s="42"/>
      <c r="I401" s="42"/>
      <c r="J401" s="42"/>
      <c r="K401" s="42"/>
      <c r="L401" s="42"/>
      <c r="M401" s="42"/>
      <c r="N401" s="42"/>
      <c r="O401" s="42"/>
      <c r="P401" s="42"/>
      <c r="Q401" s="42"/>
      <c r="R401" s="42"/>
      <c r="S401" s="42"/>
      <c r="T401" s="42"/>
      <c r="U401" s="42"/>
      <c r="V401" s="42"/>
      <c r="W401" s="42"/>
      <c r="X401" s="42"/>
      <c r="Y401" s="42"/>
      <c r="Z401" s="42"/>
    </row>
    <row r="402">
      <c r="A402" s="133"/>
      <c r="B402" s="134"/>
      <c r="C402" s="63"/>
      <c r="D402" s="63"/>
      <c r="E402" s="135"/>
      <c r="F402" s="42"/>
      <c r="G402" s="42"/>
      <c r="H402" s="42"/>
      <c r="I402" s="42"/>
      <c r="J402" s="42"/>
      <c r="K402" s="42"/>
      <c r="L402" s="42"/>
      <c r="M402" s="42"/>
      <c r="N402" s="42"/>
      <c r="O402" s="42"/>
      <c r="P402" s="42"/>
      <c r="Q402" s="42"/>
      <c r="R402" s="42"/>
      <c r="S402" s="42"/>
      <c r="T402" s="42"/>
      <c r="U402" s="42"/>
      <c r="V402" s="42"/>
      <c r="W402" s="42"/>
      <c r="X402" s="42"/>
      <c r="Y402" s="42"/>
      <c r="Z402" s="42"/>
    </row>
    <row r="403">
      <c r="A403" s="133"/>
      <c r="B403" s="134"/>
      <c r="C403" s="63"/>
      <c r="D403" s="63"/>
      <c r="E403" s="135"/>
      <c r="F403" s="42"/>
      <c r="G403" s="42"/>
      <c r="H403" s="42"/>
      <c r="I403" s="42"/>
      <c r="J403" s="42"/>
      <c r="K403" s="42"/>
      <c r="L403" s="42"/>
      <c r="M403" s="42"/>
      <c r="N403" s="42"/>
      <c r="O403" s="42"/>
      <c r="P403" s="42"/>
      <c r="Q403" s="42"/>
      <c r="R403" s="42"/>
      <c r="S403" s="42"/>
      <c r="T403" s="42"/>
      <c r="U403" s="42"/>
      <c r="V403" s="42"/>
      <c r="W403" s="42"/>
      <c r="X403" s="42"/>
      <c r="Y403" s="42"/>
      <c r="Z403" s="42"/>
    </row>
    <row r="404">
      <c r="A404" s="133"/>
      <c r="B404" s="134"/>
      <c r="C404" s="63"/>
      <c r="D404" s="63"/>
      <c r="E404" s="135"/>
      <c r="F404" s="42"/>
      <c r="G404" s="42"/>
      <c r="H404" s="42"/>
      <c r="I404" s="42"/>
      <c r="J404" s="42"/>
      <c r="K404" s="42"/>
      <c r="L404" s="42"/>
      <c r="M404" s="42"/>
      <c r="N404" s="42"/>
      <c r="O404" s="42"/>
      <c r="P404" s="42"/>
      <c r="Q404" s="42"/>
      <c r="R404" s="42"/>
      <c r="S404" s="42"/>
      <c r="T404" s="42"/>
      <c r="U404" s="42"/>
      <c r="V404" s="42"/>
      <c r="W404" s="42"/>
      <c r="X404" s="42"/>
      <c r="Y404" s="42"/>
      <c r="Z404" s="42"/>
    </row>
    <row r="405">
      <c r="A405" s="133"/>
      <c r="B405" s="134"/>
      <c r="C405" s="63"/>
      <c r="D405" s="63"/>
      <c r="E405" s="135"/>
      <c r="F405" s="42"/>
      <c r="G405" s="42"/>
      <c r="H405" s="42"/>
      <c r="I405" s="42"/>
      <c r="J405" s="42"/>
      <c r="K405" s="42"/>
      <c r="L405" s="42"/>
      <c r="M405" s="42"/>
      <c r="N405" s="42"/>
      <c r="O405" s="42"/>
      <c r="P405" s="42"/>
      <c r="Q405" s="42"/>
      <c r="R405" s="42"/>
      <c r="S405" s="42"/>
      <c r="T405" s="42"/>
      <c r="U405" s="42"/>
      <c r="V405" s="42"/>
      <c r="W405" s="42"/>
      <c r="X405" s="42"/>
      <c r="Y405" s="42"/>
      <c r="Z405" s="42"/>
    </row>
    <row r="406">
      <c r="A406" s="133"/>
      <c r="B406" s="134"/>
      <c r="C406" s="63"/>
      <c r="D406" s="63"/>
      <c r="E406" s="135"/>
      <c r="F406" s="42"/>
      <c r="G406" s="42"/>
      <c r="H406" s="42"/>
      <c r="I406" s="42"/>
      <c r="J406" s="42"/>
      <c r="K406" s="42"/>
      <c r="L406" s="42"/>
      <c r="M406" s="42"/>
      <c r="N406" s="42"/>
      <c r="O406" s="42"/>
      <c r="P406" s="42"/>
      <c r="Q406" s="42"/>
      <c r="R406" s="42"/>
      <c r="S406" s="42"/>
      <c r="T406" s="42"/>
      <c r="U406" s="42"/>
      <c r="V406" s="42"/>
      <c r="W406" s="42"/>
      <c r="X406" s="42"/>
      <c r="Y406" s="42"/>
      <c r="Z406" s="42"/>
    </row>
    <row r="407">
      <c r="A407" s="133"/>
      <c r="B407" s="134"/>
      <c r="C407" s="63"/>
      <c r="D407" s="63"/>
      <c r="E407" s="135"/>
      <c r="F407" s="42"/>
      <c r="G407" s="42"/>
      <c r="H407" s="42"/>
      <c r="I407" s="42"/>
      <c r="J407" s="42"/>
      <c r="K407" s="42"/>
      <c r="L407" s="42"/>
      <c r="M407" s="42"/>
      <c r="N407" s="42"/>
      <c r="O407" s="42"/>
      <c r="P407" s="42"/>
      <c r="Q407" s="42"/>
      <c r="R407" s="42"/>
      <c r="S407" s="42"/>
      <c r="T407" s="42"/>
      <c r="U407" s="42"/>
      <c r="V407" s="42"/>
      <c r="W407" s="42"/>
      <c r="X407" s="42"/>
      <c r="Y407" s="42"/>
      <c r="Z407" s="42"/>
    </row>
    <row r="408">
      <c r="A408" s="133"/>
      <c r="B408" s="134"/>
      <c r="C408" s="63"/>
      <c r="D408" s="63"/>
      <c r="E408" s="135"/>
      <c r="F408" s="42"/>
      <c r="G408" s="42"/>
      <c r="H408" s="42"/>
      <c r="I408" s="42"/>
      <c r="J408" s="42"/>
      <c r="K408" s="42"/>
      <c r="L408" s="42"/>
      <c r="M408" s="42"/>
      <c r="N408" s="42"/>
      <c r="O408" s="42"/>
      <c r="P408" s="42"/>
      <c r="Q408" s="42"/>
      <c r="R408" s="42"/>
      <c r="S408" s="42"/>
      <c r="T408" s="42"/>
      <c r="U408" s="42"/>
      <c r="V408" s="42"/>
      <c r="W408" s="42"/>
      <c r="X408" s="42"/>
      <c r="Y408" s="42"/>
      <c r="Z408" s="42"/>
    </row>
    <row r="409">
      <c r="A409" s="133"/>
      <c r="B409" s="134"/>
      <c r="C409" s="63"/>
      <c r="D409" s="63"/>
      <c r="E409" s="135"/>
      <c r="F409" s="42"/>
      <c r="G409" s="42"/>
      <c r="H409" s="42"/>
      <c r="I409" s="42"/>
      <c r="J409" s="42"/>
      <c r="K409" s="42"/>
      <c r="L409" s="42"/>
      <c r="M409" s="42"/>
      <c r="N409" s="42"/>
      <c r="O409" s="42"/>
      <c r="P409" s="42"/>
      <c r="Q409" s="42"/>
      <c r="R409" s="42"/>
      <c r="S409" s="42"/>
      <c r="T409" s="42"/>
      <c r="U409" s="42"/>
      <c r="V409" s="42"/>
      <c r="W409" s="42"/>
      <c r="X409" s="42"/>
      <c r="Y409" s="42"/>
      <c r="Z409" s="42"/>
    </row>
    <row r="410">
      <c r="A410" s="133"/>
      <c r="B410" s="134"/>
      <c r="C410" s="63"/>
      <c r="D410" s="63"/>
      <c r="E410" s="135"/>
      <c r="F410" s="42"/>
      <c r="G410" s="42"/>
      <c r="H410" s="42"/>
      <c r="I410" s="42"/>
      <c r="J410" s="42"/>
      <c r="K410" s="42"/>
      <c r="L410" s="42"/>
      <c r="M410" s="42"/>
      <c r="N410" s="42"/>
      <c r="O410" s="42"/>
      <c r="P410" s="42"/>
      <c r="Q410" s="42"/>
      <c r="R410" s="42"/>
      <c r="S410" s="42"/>
      <c r="T410" s="42"/>
      <c r="U410" s="42"/>
      <c r="V410" s="42"/>
      <c r="W410" s="42"/>
      <c r="X410" s="42"/>
      <c r="Y410" s="42"/>
      <c r="Z410" s="42"/>
    </row>
    <row r="411">
      <c r="A411" s="133"/>
      <c r="B411" s="134"/>
      <c r="C411" s="63"/>
      <c r="D411" s="63"/>
      <c r="E411" s="135"/>
      <c r="F411" s="42"/>
      <c r="G411" s="42"/>
      <c r="H411" s="42"/>
      <c r="I411" s="42"/>
      <c r="J411" s="42"/>
      <c r="K411" s="42"/>
      <c r="L411" s="42"/>
      <c r="M411" s="42"/>
      <c r="N411" s="42"/>
      <c r="O411" s="42"/>
      <c r="P411" s="42"/>
      <c r="Q411" s="42"/>
      <c r="R411" s="42"/>
      <c r="S411" s="42"/>
      <c r="T411" s="42"/>
      <c r="U411" s="42"/>
      <c r="V411" s="42"/>
      <c r="W411" s="42"/>
      <c r="X411" s="42"/>
      <c r="Y411" s="42"/>
      <c r="Z411" s="42"/>
    </row>
    <row r="412">
      <c r="A412" s="133"/>
      <c r="B412" s="134"/>
      <c r="C412" s="63"/>
      <c r="D412" s="63"/>
      <c r="E412" s="135"/>
      <c r="F412" s="42"/>
      <c r="G412" s="42"/>
      <c r="H412" s="42"/>
      <c r="I412" s="42"/>
      <c r="J412" s="42"/>
      <c r="K412" s="42"/>
      <c r="L412" s="42"/>
      <c r="M412" s="42"/>
      <c r="N412" s="42"/>
      <c r="O412" s="42"/>
      <c r="P412" s="42"/>
      <c r="Q412" s="42"/>
      <c r="R412" s="42"/>
      <c r="S412" s="42"/>
      <c r="T412" s="42"/>
      <c r="U412" s="42"/>
      <c r="V412" s="42"/>
      <c r="W412" s="42"/>
      <c r="X412" s="42"/>
      <c r="Y412" s="42"/>
      <c r="Z412" s="42"/>
    </row>
    <row r="413">
      <c r="A413" s="133"/>
      <c r="B413" s="134"/>
      <c r="C413" s="63"/>
      <c r="D413" s="63"/>
      <c r="E413" s="135"/>
      <c r="F413" s="42"/>
      <c r="G413" s="42"/>
      <c r="H413" s="42"/>
      <c r="I413" s="42"/>
      <c r="J413" s="42"/>
      <c r="K413" s="42"/>
      <c r="L413" s="42"/>
      <c r="M413" s="42"/>
      <c r="N413" s="42"/>
      <c r="O413" s="42"/>
      <c r="P413" s="42"/>
      <c r="Q413" s="42"/>
      <c r="R413" s="42"/>
      <c r="S413" s="42"/>
      <c r="T413" s="42"/>
      <c r="U413" s="42"/>
      <c r="V413" s="42"/>
      <c r="W413" s="42"/>
      <c r="X413" s="42"/>
      <c r="Y413" s="42"/>
      <c r="Z413" s="42"/>
    </row>
    <row r="414">
      <c r="A414" s="133"/>
      <c r="B414" s="134"/>
      <c r="C414" s="63"/>
      <c r="D414" s="63"/>
      <c r="E414" s="135"/>
      <c r="F414" s="42"/>
      <c r="G414" s="42"/>
      <c r="H414" s="42"/>
      <c r="I414" s="42"/>
      <c r="J414" s="42"/>
      <c r="K414" s="42"/>
      <c r="L414" s="42"/>
      <c r="M414" s="42"/>
      <c r="N414" s="42"/>
      <c r="O414" s="42"/>
      <c r="P414" s="42"/>
      <c r="Q414" s="42"/>
      <c r="R414" s="42"/>
      <c r="S414" s="42"/>
      <c r="T414" s="42"/>
      <c r="U414" s="42"/>
      <c r="V414" s="42"/>
      <c r="W414" s="42"/>
      <c r="X414" s="42"/>
      <c r="Y414" s="42"/>
      <c r="Z414" s="42"/>
    </row>
    <row r="415">
      <c r="A415" s="133"/>
      <c r="B415" s="134"/>
      <c r="C415" s="63"/>
      <c r="D415" s="63"/>
      <c r="E415" s="135"/>
      <c r="F415" s="42"/>
      <c r="G415" s="42"/>
      <c r="H415" s="42"/>
      <c r="I415" s="42"/>
      <c r="J415" s="42"/>
      <c r="K415" s="42"/>
      <c r="L415" s="42"/>
      <c r="M415" s="42"/>
      <c r="N415" s="42"/>
      <c r="O415" s="42"/>
      <c r="P415" s="42"/>
      <c r="Q415" s="42"/>
      <c r="R415" s="42"/>
      <c r="S415" s="42"/>
      <c r="T415" s="42"/>
      <c r="U415" s="42"/>
      <c r="V415" s="42"/>
      <c r="W415" s="42"/>
      <c r="X415" s="42"/>
      <c r="Y415" s="42"/>
      <c r="Z415" s="42"/>
    </row>
    <row r="416">
      <c r="A416" s="133"/>
      <c r="B416" s="134"/>
      <c r="C416" s="63"/>
      <c r="D416" s="63"/>
      <c r="E416" s="135"/>
      <c r="F416" s="42"/>
      <c r="G416" s="42"/>
      <c r="H416" s="42"/>
      <c r="I416" s="42"/>
      <c r="J416" s="42"/>
      <c r="K416" s="42"/>
      <c r="L416" s="42"/>
      <c r="M416" s="42"/>
      <c r="N416" s="42"/>
      <c r="O416" s="42"/>
      <c r="P416" s="42"/>
      <c r="Q416" s="42"/>
      <c r="R416" s="42"/>
      <c r="S416" s="42"/>
      <c r="T416" s="42"/>
      <c r="U416" s="42"/>
      <c r="V416" s="42"/>
      <c r="W416" s="42"/>
      <c r="X416" s="42"/>
      <c r="Y416" s="42"/>
      <c r="Z416" s="42"/>
    </row>
    <row r="417">
      <c r="A417" s="133"/>
      <c r="B417" s="134"/>
      <c r="C417" s="63"/>
      <c r="D417" s="63"/>
      <c r="E417" s="135"/>
      <c r="F417" s="42"/>
      <c r="G417" s="42"/>
      <c r="H417" s="42"/>
      <c r="I417" s="42"/>
      <c r="J417" s="42"/>
      <c r="K417" s="42"/>
      <c r="L417" s="42"/>
      <c r="M417" s="42"/>
      <c r="N417" s="42"/>
      <c r="O417" s="42"/>
      <c r="P417" s="42"/>
      <c r="Q417" s="42"/>
      <c r="R417" s="42"/>
      <c r="S417" s="42"/>
      <c r="T417" s="42"/>
      <c r="U417" s="42"/>
      <c r="V417" s="42"/>
      <c r="W417" s="42"/>
      <c r="X417" s="42"/>
      <c r="Y417" s="42"/>
      <c r="Z417" s="42"/>
    </row>
    <row r="418">
      <c r="A418" s="133"/>
      <c r="B418" s="134"/>
      <c r="C418" s="63"/>
      <c r="D418" s="63"/>
      <c r="E418" s="135"/>
      <c r="F418" s="42"/>
      <c r="G418" s="42"/>
      <c r="H418" s="42"/>
      <c r="I418" s="42"/>
      <c r="J418" s="42"/>
      <c r="K418" s="42"/>
      <c r="L418" s="42"/>
      <c r="M418" s="42"/>
      <c r="N418" s="42"/>
      <c r="O418" s="42"/>
      <c r="P418" s="42"/>
      <c r="Q418" s="42"/>
      <c r="R418" s="42"/>
      <c r="S418" s="42"/>
      <c r="T418" s="42"/>
      <c r="U418" s="42"/>
      <c r="V418" s="42"/>
      <c r="W418" s="42"/>
      <c r="X418" s="42"/>
      <c r="Y418" s="42"/>
      <c r="Z418" s="42"/>
    </row>
    <row r="419">
      <c r="A419" s="133"/>
      <c r="B419" s="134"/>
      <c r="C419" s="63"/>
      <c r="D419" s="63"/>
      <c r="E419" s="135"/>
      <c r="F419" s="42"/>
      <c r="G419" s="42"/>
      <c r="H419" s="42"/>
      <c r="I419" s="42"/>
      <c r="J419" s="42"/>
      <c r="K419" s="42"/>
      <c r="L419" s="42"/>
      <c r="M419" s="42"/>
      <c r="N419" s="42"/>
      <c r="O419" s="42"/>
      <c r="P419" s="42"/>
      <c r="Q419" s="42"/>
      <c r="R419" s="42"/>
      <c r="S419" s="42"/>
      <c r="T419" s="42"/>
      <c r="U419" s="42"/>
      <c r="V419" s="42"/>
      <c r="W419" s="42"/>
      <c r="X419" s="42"/>
      <c r="Y419" s="42"/>
      <c r="Z419" s="42"/>
    </row>
    <row r="420">
      <c r="A420" s="133"/>
      <c r="B420" s="134"/>
      <c r="C420" s="63"/>
      <c r="D420" s="63"/>
      <c r="E420" s="135"/>
      <c r="F420" s="42"/>
      <c r="G420" s="42"/>
      <c r="H420" s="42"/>
      <c r="I420" s="42"/>
      <c r="J420" s="42"/>
      <c r="K420" s="42"/>
      <c r="L420" s="42"/>
      <c r="M420" s="42"/>
      <c r="N420" s="42"/>
      <c r="O420" s="42"/>
      <c r="P420" s="42"/>
      <c r="Q420" s="42"/>
      <c r="R420" s="42"/>
      <c r="S420" s="42"/>
      <c r="T420" s="42"/>
      <c r="U420" s="42"/>
      <c r="V420" s="42"/>
      <c r="W420" s="42"/>
      <c r="X420" s="42"/>
      <c r="Y420" s="42"/>
      <c r="Z420" s="42"/>
    </row>
    <row r="421">
      <c r="A421" s="133"/>
      <c r="B421" s="134"/>
      <c r="C421" s="63"/>
      <c r="D421" s="63"/>
      <c r="E421" s="135"/>
      <c r="F421" s="42"/>
      <c r="G421" s="42"/>
      <c r="H421" s="42"/>
      <c r="I421" s="42"/>
      <c r="J421" s="42"/>
      <c r="K421" s="42"/>
      <c r="L421" s="42"/>
      <c r="M421" s="42"/>
      <c r="N421" s="42"/>
      <c r="O421" s="42"/>
      <c r="P421" s="42"/>
      <c r="Q421" s="42"/>
      <c r="R421" s="42"/>
      <c r="S421" s="42"/>
      <c r="T421" s="42"/>
      <c r="U421" s="42"/>
      <c r="V421" s="42"/>
      <c r="W421" s="42"/>
      <c r="X421" s="42"/>
      <c r="Y421" s="42"/>
      <c r="Z421" s="42"/>
    </row>
    <row r="422">
      <c r="A422" s="133"/>
      <c r="B422" s="134"/>
      <c r="C422" s="63"/>
      <c r="D422" s="63"/>
      <c r="E422" s="135"/>
      <c r="F422" s="42"/>
      <c r="G422" s="42"/>
      <c r="H422" s="42"/>
      <c r="I422" s="42"/>
      <c r="J422" s="42"/>
      <c r="K422" s="42"/>
      <c r="L422" s="42"/>
      <c r="M422" s="42"/>
      <c r="N422" s="42"/>
      <c r="O422" s="42"/>
      <c r="P422" s="42"/>
      <c r="Q422" s="42"/>
      <c r="R422" s="42"/>
      <c r="S422" s="42"/>
      <c r="T422" s="42"/>
      <c r="U422" s="42"/>
      <c r="V422" s="42"/>
      <c r="W422" s="42"/>
      <c r="X422" s="42"/>
      <c r="Y422" s="42"/>
      <c r="Z422" s="42"/>
    </row>
    <row r="423">
      <c r="A423" s="133"/>
      <c r="B423" s="134"/>
      <c r="C423" s="63"/>
      <c r="D423" s="63"/>
      <c r="E423" s="135"/>
      <c r="F423" s="42"/>
      <c r="G423" s="42"/>
      <c r="H423" s="42"/>
      <c r="I423" s="42"/>
      <c r="J423" s="42"/>
      <c r="K423" s="42"/>
      <c r="L423" s="42"/>
      <c r="M423" s="42"/>
      <c r="N423" s="42"/>
      <c r="O423" s="42"/>
      <c r="P423" s="42"/>
      <c r="Q423" s="42"/>
      <c r="R423" s="42"/>
      <c r="S423" s="42"/>
      <c r="T423" s="42"/>
      <c r="U423" s="42"/>
      <c r="V423" s="42"/>
      <c r="W423" s="42"/>
      <c r="X423" s="42"/>
      <c r="Y423" s="42"/>
      <c r="Z423" s="42"/>
    </row>
    <row r="424">
      <c r="A424" s="133"/>
      <c r="B424" s="134"/>
      <c r="C424" s="63"/>
      <c r="D424" s="63"/>
      <c r="E424" s="135"/>
      <c r="F424" s="42"/>
      <c r="G424" s="42"/>
      <c r="H424" s="42"/>
      <c r="I424" s="42"/>
      <c r="J424" s="42"/>
      <c r="K424" s="42"/>
      <c r="L424" s="42"/>
      <c r="M424" s="42"/>
      <c r="N424" s="42"/>
      <c r="O424" s="42"/>
      <c r="P424" s="42"/>
      <c r="Q424" s="42"/>
      <c r="R424" s="42"/>
      <c r="S424" s="42"/>
      <c r="T424" s="42"/>
      <c r="U424" s="42"/>
      <c r="V424" s="42"/>
      <c r="W424" s="42"/>
      <c r="X424" s="42"/>
      <c r="Y424" s="42"/>
      <c r="Z424" s="42"/>
    </row>
    <row r="425">
      <c r="A425" s="133"/>
      <c r="B425" s="134"/>
      <c r="C425" s="63"/>
      <c r="D425" s="63"/>
      <c r="E425" s="135"/>
      <c r="F425" s="42"/>
      <c r="G425" s="42"/>
      <c r="H425" s="42"/>
      <c r="I425" s="42"/>
      <c r="J425" s="42"/>
      <c r="K425" s="42"/>
      <c r="L425" s="42"/>
      <c r="M425" s="42"/>
      <c r="N425" s="42"/>
      <c r="O425" s="42"/>
      <c r="P425" s="42"/>
      <c r="Q425" s="42"/>
      <c r="R425" s="42"/>
      <c r="S425" s="42"/>
      <c r="T425" s="42"/>
      <c r="U425" s="42"/>
      <c r="V425" s="42"/>
      <c r="W425" s="42"/>
      <c r="X425" s="42"/>
      <c r="Y425" s="42"/>
      <c r="Z425" s="42"/>
    </row>
    <row r="426">
      <c r="A426" s="133"/>
      <c r="B426" s="134"/>
      <c r="C426" s="63"/>
      <c r="D426" s="63"/>
      <c r="E426" s="135"/>
      <c r="F426" s="42"/>
      <c r="G426" s="42"/>
      <c r="H426" s="42"/>
      <c r="I426" s="42"/>
      <c r="J426" s="42"/>
      <c r="K426" s="42"/>
      <c r="L426" s="42"/>
      <c r="M426" s="42"/>
      <c r="N426" s="42"/>
      <c r="O426" s="42"/>
      <c r="P426" s="42"/>
      <c r="Q426" s="42"/>
      <c r="R426" s="42"/>
      <c r="S426" s="42"/>
      <c r="T426" s="42"/>
      <c r="U426" s="42"/>
      <c r="V426" s="42"/>
      <c r="W426" s="42"/>
      <c r="X426" s="42"/>
      <c r="Y426" s="42"/>
      <c r="Z426" s="42"/>
    </row>
    <row r="427">
      <c r="A427" s="133"/>
      <c r="B427" s="134"/>
      <c r="C427" s="63"/>
      <c r="D427" s="63"/>
      <c r="E427" s="135"/>
      <c r="F427" s="42"/>
      <c r="G427" s="42"/>
      <c r="H427" s="42"/>
      <c r="I427" s="42"/>
      <c r="J427" s="42"/>
      <c r="K427" s="42"/>
      <c r="L427" s="42"/>
      <c r="M427" s="42"/>
      <c r="N427" s="42"/>
      <c r="O427" s="42"/>
      <c r="P427" s="42"/>
      <c r="Q427" s="42"/>
      <c r="R427" s="42"/>
      <c r="S427" s="42"/>
      <c r="T427" s="42"/>
      <c r="U427" s="42"/>
      <c r="V427" s="42"/>
      <c r="W427" s="42"/>
      <c r="X427" s="42"/>
      <c r="Y427" s="42"/>
      <c r="Z427" s="42"/>
    </row>
    <row r="428">
      <c r="A428" s="133"/>
      <c r="B428" s="134"/>
      <c r="C428" s="63"/>
      <c r="D428" s="63"/>
      <c r="E428" s="135"/>
      <c r="F428" s="42"/>
      <c r="G428" s="42"/>
      <c r="H428" s="42"/>
      <c r="I428" s="42"/>
      <c r="J428" s="42"/>
      <c r="K428" s="42"/>
      <c r="L428" s="42"/>
      <c r="M428" s="42"/>
      <c r="N428" s="42"/>
      <c r="O428" s="42"/>
      <c r="P428" s="42"/>
      <c r="Q428" s="42"/>
      <c r="R428" s="42"/>
      <c r="S428" s="42"/>
      <c r="T428" s="42"/>
      <c r="U428" s="42"/>
      <c r="V428" s="42"/>
      <c r="W428" s="42"/>
      <c r="X428" s="42"/>
      <c r="Y428" s="42"/>
      <c r="Z428" s="42"/>
    </row>
    <row r="429">
      <c r="A429" s="133"/>
      <c r="B429" s="134"/>
      <c r="C429" s="63"/>
      <c r="D429" s="63"/>
      <c r="E429" s="135"/>
      <c r="F429" s="42"/>
      <c r="G429" s="42"/>
      <c r="H429" s="42"/>
      <c r="I429" s="42"/>
      <c r="J429" s="42"/>
      <c r="K429" s="42"/>
      <c r="L429" s="42"/>
      <c r="M429" s="42"/>
      <c r="N429" s="42"/>
      <c r="O429" s="42"/>
      <c r="P429" s="42"/>
      <c r="Q429" s="42"/>
      <c r="R429" s="42"/>
      <c r="S429" s="42"/>
      <c r="T429" s="42"/>
      <c r="U429" s="42"/>
      <c r="V429" s="42"/>
      <c r="W429" s="42"/>
      <c r="X429" s="42"/>
      <c r="Y429" s="42"/>
      <c r="Z429" s="42"/>
    </row>
    <row r="430">
      <c r="A430" s="133"/>
      <c r="B430" s="134"/>
      <c r="C430" s="63"/>
      <c r="D430" s="63"/>
      <c r="E430" s="135"/>
      <c r="F430" s="42"/>
      <c r="G430" s="42"/>
      <c r="H430" s="42"/>
      <c r="I430" s="42"/>
      <c r="J430" s="42"/>
      <c r="K430" s="42"/>
      <c r="L430" s="42"/>
      <c r="M430" s="42"/>
      <c r="N430" s="42"/>
      <c r="O430" s="42"/>
      <c r="P430" s="42"/>
      <c r="Q430" s="42"/>
      <c r="R430" s="42"/>
      <c r="S430" s="42"/>
      <c r="T430" s="42"/>
      <c r="U430" s="42"/>
      <c r="V430" s="42"/>
      <c r="W430" s="42"/>
      <c r="X430" s="42"/>
      <c r="Y430" s="42"/>
      <c r="Z430" s="42"/>
    </row>
    <row r="431">
      <c r="A431" s="133"/>
      <c r="B431" s="134"/>
      <c r="C431" s="63"/>
      <c r="D431" s="63"/>
      <c r="E431" s="135"/>
      <c r="F431" s="42"/>
      <c r="G431" s="42"/>
      <c r="H431" s="42"/>
      <c r="I431" s="42"/>
      <c r="J431" s="42"/>
      <c r="K431" s="42"/>
      <c r="L431" s="42"/>
      <c r="M431" s="42"/>
      <c r="N431" s="42"/>
      <c r="O431" s="42"/>
      <c r="P431" s="42"/>
      <c r="Q431" s="42"/>
      <c r="R431" s="42"/>
      <c r="S431" s="42"/>
      <c r="T431" s="42"/>
      <c r="U431" s="42"/>
      <c r="V431" s="42"/>
      <c r="W431" s="42"/>
      <c r="X431" s="42"/>
      <c r="Y431" s="42"/>
      <c r="Z431" s="42"/>
    </row>
    <row r="432">
      <c r="A432" s="133"/>
      <c r="B432" s="134"/>
      <c r="C432" s="63"/>
      <c r="D432" s="63"/>
      <c r="E432" s="135"/>
      <c r="F432" s="42"/>
      <c r="G432" s="42"/>
      <c r="H432" s="42"/>
      <c r="I432" s="42"/>
      <c r="J432" s="42"/>
      <c r="K432" s="42"/>
      <c r="L432" s="42"/>
      <c r="M432" s="42"/>
      <c r="N432" s="42"/>
      <c r="O432" s="42"/>
      <c r="P432" s="42"/>
      <c r="Q432" s="42"/>
      <c r="R432" s="42"/>
      <c r="S432" s="42"/>
      <c r="T432" s="42"/>
      <c r="U432" s="42"/>
      <c r="V432" s="42"/>
      <c r="W432" s="42"/>
      <c r="X432" s="42"/>
      <c r="Y432" s="42"/>
      <c r="Z432" s="42"/>
    </row>
    <row r="433">
      <c r="A433" s="133"/>
      <c r="B433" s="134"/>
      <c r="C433" s="63"/>
      <c r="D433" s="63"/>
      <c r="E433" s="135"/>
      <c r="F433" s="42"/>
      <c r="G433" s="42"/>
      <c r="H433" s="42"/>
      <c r="I433" s="42"/>
      <c r="J433" s="42"/>
      <c r="K433" s="42"/>
      <c r="L433" s="42"/>
      <c r="M433" s="42"/>
      <c r="N433" s="42"/>
      <c r="O433" s="42"/>
      <c r="P433" s="42"/>
      <c r="Q433" s="42"/>
      <c r="R433" s="42"/>
      <c r="S433" s="42"/>
      <c r="T433" s="42"/>
      <c r="U433" s="42"/>
      <c r="V433" s="42"/>
      <c r="W433" s="42"/>
      <c r="X433" s="42"/>
      <c r="Y433" s="42"/>
      <c r="Z433" s="42"/>
    </row>
    <row r="434">
      <c r="A434" s="133"/>
      <c r="B434" s="134"/>
      <c r="C434" s="63"/>
      <c r="D434" s="63"/>
      <c r="E434" s="135"/>
      <c r="F434" s="42"/>
      <c r="G434" s="42"/>
      <c r="H434" s="42"/>
      <c r="I434" s="42"/>
      <c r="J434" s="42"/>
      <c r="K434" s="42"/>
      <c r="L434" s="42"/>
      <c r="M434" s="42"/>
      <c r="N434" s="42"/>
      <c r="O434" s="42"/>
      <c r="P434" s="42"/>
      <c r="Q434" s="42"/>
      <c r="R434" s="42"/>
      <c r="S434" s="42"/>
      <c r="T434" s="42"/>
      <c r="U434" s="42"/>
      <c r="V434" s="42"/>
      <c r="W434" s="42"/>
      <c r="X434" s="42"/>
      <c r="Y434" s="42"/>
      <c r="Z434" s="42"/>
    </row>
    <row r="435">
      <c r="A435" s="133"/>
      <c r="B435" s="134"/>
      <c r="C435" s="63"/>
      <c r="D435" s="63"/>
      <c r="E435" s="135"/>
      <c r="F435" s="42"/>
      <c r="G435" s="42"/>
      <c r="H435" s="42"/>
      <c r="I435" s="42"/>
      <c r="J435" s="42"/>
      <c r="K435" s="42"/>
      <c r="L435" s="42"/>
      <c r="M435" s="42"/>
      <c r="N435" s="42"/>
      <c r="O435" s="42"/>
      <c r="P435" s="42"/>
      <c r="Q435" s="42"/>
      <c r="R435" s="42"/>
      <c r="S435" s="42"/>
      <c r="T435" s="42"/>
      <c r="U435" s="42"/>
      <c r="V435" s="42"/>
      <c r="W435" s="42"/>
      <c r="X435" s="42"/>
      <c r="Y435" s="42"/>
      <c r="Z435" s="42"/>
    </row>
    <row r="436">
      <c r="A436" s="133"/>
      <c r="B436" s="134"/>
      <c r="C436" s="63"/>
      <c r="D436" s="63"/>
      <c r="E436" s="135"/>
      <c r="F436" s="42"/>
      <c r="G436" s="42"/>
      <c r="H436" s="42"/>
      <c r="I436" s="42"/>
      <c r="J436" s="42"/>
      <c r="K436" s="42"/>
      <c r="L436" s="42"/>
      <c r="M436" s="42"/>
      <c r="N436" s="42"/>
      <c r="O436" s="42"/>
      <c r="P436" s="42"/>
      <c r="Q436" s="42"/>
      <c r="R436" s="42"/>
      <c r="S436" s="42"/>
      <c r="T436" s="42"/>
      <c r="U436" s="42"/>
      <c r="V436" s="42"/>
      <c r="W436" s="42"/>
      <c r="X436" s="42"/>
      <c r="Y436" s="42"/>
      <c r="Z436" s="42"/>
    </row>
    <row r="437">
      <c r="A437" s="133"/>
      <c r="B437" s="134"/>
      <c r="C437" s="63"/>
      <c r="D437" s="63"/>
      <c r="E437" s="135"/>
      <c r="F437" s="42"/>
      <c r="G437" s="42"/>
      <c r="H437" s="42"/>
      <c r="I437" s="42"/>
      <c r="J437" s="42"/>
      <c r="K437" s="42"/>
      <c r="L437" s="42"/>
      <c r="M437" s="42"/>
      <c r="N437" s="42"/>
      <c r="O437" s="42"/>
      <c r="P437" s="42"/>
      <c r="Q437" s="42"/>
      <c r="R437" s="42"/>
      <c r="S437" s="42"/>
      <c r="T437" s="42"/>
      <c r="U437" s="42"/>
      <c r="V437" s="42"/>
      <c r="W437" s="42"/>
      <c r="X437" s="42"/>
      <c r="Y437" s="42"/>
      <c r="Z437" s="42"/>
    </row>
    <row r="438">
      <c r="A438" s="133"/>
      <c r="B438" s="134"/>
      <c r="C438" s="63"/>
      <c r="D438" s="63"/>
      <c r="E438" s="135"/>
      <c r="F438" s="42"/>
      <c r="G438" s="42"/>
      <c r="H438" s="42"/>
      <c r="I438" s="42"/>
      <c r="J438" s="42"/>
      <c r="K438" s="42"/>
      <c r="L438" s="42"/>
      <c r="M438" s="42"/>
      <c r="N438" s="42"/>
      <c r="O438" s="42"/>
      <c r="P438" s="42"/>
      <c r="Q438" s="42"/>
      <c r="R438" s="42"/>
      <c r="S438" s="42"/>
      <c r="T438" s="42"/>
      <c r="U438" s="42"/>
      <c r="V438" s="42"/>
      <c r="W438" s="42"/>
      <c r="X438" s="42"/>
      <c r="Y438" s="42"/>
      <c r="Z438" s="42"/>
    </row>
    <row r="439">
      <c r="A439" s="133"/>
      <c r="B439" s="134"/>
      <c r="C439" s="63"/>
      <c r="D439" s="63"/>
      <c r="E439" s="135"/>
      <c r="F439" s="42"/>
      <c r="G439" s="42"/>
      <c r="H439" s="42"/>
      <c r="I439" s="42"/>
      <c r="J439" s="42"/>
      <c r="K439" s="42"/>
      <c r="L439" s="42"/>
      <c r="M439" s="42"/>
      <c r="N439" s="42"/>
      <c r="O439" s="42"/>
      <c r="P439" s="42"/>
      <c r="Q439" s="42"/>
      <c r="R439" s="42"/>
      <c r="S439" s="42"/>
      <c r="T439" s="42"/>
      <c r="U439" s="42"/>
      <c r="V439" s="42"/>
      <c r="W439" s="42"/>
      <c r="X439" s="42"/>
      <c r="Y439" s="42"/>
      <c r="Z439" s="42"/>
    </row>
    <row r="440">
      <c r="A440" s="133"/>
      <c r="B440" s="134"/>
      <c r="C440" s="63"/>
      <c r="D440" s="63"/>
      <c r="E440" s="135"/>
      <c r="F440" s="42"/>
      <c r="G440" s="42"/>
      <c r="H440" s="42"/>
      <c r="I440" s="42"/>
      <c r="J440" s="42"/>
      <c r="K440" s="42"/>
      <c r="L440" s="42"/>
      <c r="M440" s="42"/>
      <c r="N440" s="42"/>
      <c r="O440" s="42"/>
      <c r="P440" s="42"/>
      <c r="Q440" s="42"/>
      <c r="R440" s="42"/>
      <c r="S440" s="42"/>
      <c r="T440" s="42"/>
      <c r="U440" s="42"/>
      <c r="V440" s="42"/>
      <c r="W440" s="42"/>
      <c r="X440" s="42"/>
      <c r="Y440" s="42"/>
      <c r="Z440" s="42"/>
    </row>
    <row r="441">
      <c r="A441" s="133"/>
      <c r="B441" s="134"/>
      <c r="C441" s="63"/>
      <c r="D441" s="63"/>
      <c r="E441" s="135"/>
      <c r="F441" s="42"/>
      <c r="G441" s="42"/>
      <c r="H441" s="42"/>
      <c r="I441" s="42"/>
      <c r="J441" s="42"/>
      <c r="K441" s="42"/>
      <c r="L441" s="42"/>
      <c r="M441" s="42"/>
      <c r="N441" s="42"/>
      <c r="O441" s="42"/>
      <c r="P441" s="42"/>
      <c r="Q441" s="42"/>
      <c r="R441" s="42"/>
      <c r="S441" s="42"/>
      <c r="T441" s="42"/>
      <c r="U441" s="42"/>
      <c r="V441" s="42"/>
      <c r="W441" s="42"/>
      <c r="X441" s="42"/>
      <c r="Y441" s="42"/>
      <c r="Z441" s="42"/>
    </row>
    <row r="442">
      <c r="A442" s="133"/>
      <c r="B442" s="134"/>
      <c r="C442" s="63"/>
      <c r="D442" s="63"/>
      <c r="E442" s="135"/>
      <c r="F442" s="42"/>
      <c r="G442" s="42"/>
      <c r="H442" s="42"/>
      <c r="I442" s="42"/>
      <c r="J442" s="42"/>
      <c r="K442" s="42"/>
      <c r="L442" s="42"/>
      <c r="M442" s="42"/>
      <c r="N442" s="42"/>
      <c r="O442" s="42"/>
      <c r="P442" s="42"/>
      <c r="Q442" s="42"/>
      <c r="R442" s="42"/>
      <c r="S442" s="42"/>
      <c r="T442" s="42"/>
      <c r="U442" s="42"/>
      <c r="V442" s="42"/>
      <c r="W442" s="42"/>
      <c r="X442" s="42"/>
      <c r="Y442" s="42"/>
      <c r="Z442" s="42"/>
    </row>
    <row r="443">
      <c r="A443" s="133"/>
      <c r="B443" s="134"/>
      <c r="C443" s="63"/>
      <c r="D443" s="63"/>
      <c r="E443" s="135"/>
      <c r="F443" s="42"/>
      <c r="G443" s="42"/>
      <c r="H443" s="42"/>
      <c r="I443" s="42"/>
      <c r="J443" s="42"/>
      <c r="K443" s="42"/>
      <c r="L443" s="42"/>
      <c r="M443" s="42"/>
      <c r="N443" s="42"/>
      <c r="O443" s="42"/>
      <c r="P443" s="42"/>
      <c r="Q443" s="42"/>
      <c r="R443" s="42"/>
      <c r="S443" s="42"/>
      <c r="T443" s="42"/>
      <c r="U443" s="42"/>
      <c r="V443" s="42"/>
      <c r="W443" s="42"/>
      <c r="X443" s="42"/>
      <c r="Y443" s="42"/>
      <c r="Z443" s="42"/>
    </row>
    <row r="444">
      <c r="A444" s="133"/>
      <c r="B444" s="134"/>
      <c r="C444" s="63"/>
      <c r="D444" s="63"/>
      <c r="E444" s="135"/>
      <c r="F444" s="42"/>
      <c r="G444" s="42"/>
      <c r="H444" s="42"/>
      <c r="I444" s="42"/>
      <c r="J444" s="42"/>
      <c r="K444" s="42"/>
      <c r="L444" s="42"/>
      <c r="M444" s="42"/>
      <c r="N444" s="42"/>
      <c r="O444" s="42"/>
      <c r="P444" s="42"/>
      <c r="Q444" s="42"/>
      <c r="R444" s="42"/>
      <c r="S444" s="42"/>
      <c r="T444" s="42"/>
      <c r="U444" s="42"/>
      <c r="V444" s="42"/>
      <c r="W444" s="42"/>
      <c r="X444" s="42"/>
      <c r="Y444" s="42"/>
      <c r="Z444" s="42"/>
    </row>
    <row r="445">
      <c r="A445" s="133"/>
      <c r="B445" s="134"/>
      <c r="C445" s="63"/>
      <c r="D445" s="63"/>
      <c r="E445" s="135"/>
      <c r="F445" s="42"/>
      <c r="G445" s="42"/>
      <c r="H445" s="42"/>
      <c r="I445" s="42"/>
      <c r="J445" s="42"/>
      <c r="K445" s="42"/>
      <c r="L445" s="42"/>
      <c r="M445" s="42"/>
      <c r="N445" s="42"/>
      <c r="O445" s="42"/>
      <c r="P445" s="42"/>
      <c r="Q445" s="42"/>
      <c r="R445" s="42"/>
      <c r="S445" s="42"/>
      <c r="T445" s="42"/>
      <c r="U445" s="42"/>
      <c r="V445" s="42"/>
      <c r="W445" s="42"/>
      <c r="X445" s="42"/>
      <c r="Y445" s="42"/>
      <c r="Z445" s="42"/>
    </row>
    <row r="446">
      <c r="A446" s="133"/>
      <c r="B446" s="134"/>
      <c r="C446" s="63"/>
      <c r="D446" s="63"/>
      <c r="E446" s="135"/>
      <c r="F446" s="42"/>
      <c r="G446" s="42"/>
      <c r="H446" s="42"/>
      <c r="I446" s="42"/>
      <c r="J446" s="42"/>
      <c r="K446" s="42"/>
      <c r="L446" s="42"/>
      <c r="M446" s="42"/>
      <c r="N446" s="42"/>
      <c r="O446" s="42"/>
      <c r="P446" s="42"/>
      <c r="Q446" s="42"/>
      <c r="R446" s="42"/>
      <c r="S446" s="42"/>
      <c r="T446" s="42"/>
      <c r="U446" s="42"/>
      <c r="V446" s="42"/>
      <c r="W446" s="42"/>
      <c r="X446" s="42"/>
      <c r="Y446" s="42"/>
      <c r="Z446" s="42"/>
    </row>
    <row r="447">
      <c r="A447" s="133"/>
      <c r="B447" s="134"/>
      <c r="C447" s="63"/>
      <c r="D447" s="63"/>
      <c r="E447" s="135"/>
      <c r="F447" s="42"/>
      <c r="G447" s="42"/>
      <c r="H447" s="42"/>
      <c r="I447" s="42"/>
      <c r="J447" s="42"/>
      <c r="K447" s="42"/>
      <c r="L447" s="42"/>
      <c r="M447" s="42"/>
      <c r="N447" s="42"/>
      <c r="O447" s="42"/>
      <c r="P447" s="42"/>
      <c r="Q447" s="42"/>
      <c r="R447" s="42"/>
      <c r="S447" s="42"/>
      <c r="T447" s="42"/>
      <c r="U447" s="42"/>
      <c r="V447" s="42"/>
      <c r="W447" s="42"/>
      <c r="X447" s="42"/>
      <c r="Y447" s="42"/>
      <c r="Z447" s="42"/>
    </row>
    <row r="448">
      <c r="A448" s="133"/>
      <c r="B448" s="134"/>
      <c r="C448" s="63"/>
      <c r="D448" s="63"/>
      <c r="E448" s="135"/>
      <c r="F448" s="42"/>
      <c r="G448" s="42"/>
      <c r="H448" s="42"/>
      <c r="I448" s="42"/>
      <c r="J448" s="42"/>
      <c r="K448" s="42"/>
      <c r="L448" s="42"/>
      <c r="M448" s="42"/>
      <c r="N448" s="42"/>
      <c r="O448" s="42"/>
      <c r="P448" s="42"/>
      <c r="Q448" s="42"/>
      <c r="R448" s="42"/>
      <c r="S448" s="42"/>
      <c r="T448" s="42"/>
      <c r="U448" s="42"/>
      <c r="V448" s="42"/>
      <c r="W448" s="42"/>
      <c r="X448" s="42"/>
      <c r="Y448" s="42"/>
      <c r="Z448" s="42"/>
    </row>
    <row r="449">
      <c r="A449" s="133"/>
      <c r="B449" s="134"/>
      <c r="C449" s="63"/>
      <c r="D449" s="63"/>
      <c r="E449" s="135"/>
      <c r="F449" s="42"/>
      <c r="G449" s="42"/>
      <c r="H449" s="42"/>
      <c r="I449" s="42"/>
      <c r="J449" s="42"/>
      <c r="K449" s="42"/>
      <c r="L449" s="42"/>
      <c r="M449" s="42"/>
      <c r="N449" s="42"/>
      <c r="O449" s="42"/>
      <c r="P449" s="42"/>
      <c r="Q449" s="42"/>
      <c r="R449" s="42"/>
      <c r="S449" s="42"/>
      <c r="T449" s="42"/>
      <c r="U449" s="42"/>
      <c r="V449" s="42"/>
      <c r="W449" s="42"/>
      <c r="X449" s="42"/>
      <c r="Y449" s="42"/>
      <c r="Z449" s="42"/>
    </row>
    <row r="450">
      <c r="A450" s="133"/>
      <c r="B450" s="134"/>
      <c r="C450" s="63"/>
      <c r="D450" s="63"/>
      <c r="E450" s="135"/>
      <c r="F450" s="42"/>
      <c r="G450" s="42"/>
      <c r="H450" s="42"/>
      <c r="I450" s="42"/>
      <c r="J450" s="42"/>
      <c r="K450" s="42"/>
      <c r="L450" s="42"/>
      <c r="M450" s="42"/>
      <c r="N450" s="42"/>
      <c r="O450" s="42"/>
      <c r="P450" s="42"/>
      <c r="Q450" s="42"/>
      <c r="R450" s="42"/>
      <c r="S450" s="42"/>
      <c r="T450" s="42"/>
      <c r="U450" s="42"/>
      <c r="V450" s="42"/>
      <c r="W450" s="42"/>
      <c r="X450" s="42"/>
      <c r="Y450" s="42"/>
      <c r="Z450" s="42"/>
    </row>
    <row r="451">
      <c r="A451" s="133"/>
      <c r="B451" s="134"/>
      <c r="C451" s="63"/>
      <c r="D451" s="63"/>
      <c r="E451" s="135"/>
      <c r="F451" s="42"/>
      <c r="G451" s="42"/>
      <c r="H451" s="42"/>
      <c r="I451" s="42"/>
      <c r="J451" s="42"/>
      <c r="K451" s="42"/>
      <c r="L451" s="42"/>
      <c r="M451" s="42"/>
      <c r="N451" s="42"/>
      <c r="O451" s="42"/>
      <c r="P451" s="42"/>
      <c r="Q451" s="42"/>
      <c r="R451" s="42"/>
      <c r="S451" s="42"/>
      <c r="T451" s="42"/>
      <c r="U451" s="42"/>
      <c r="V451" s="42"/>
      <c r="W451" s="42"/>
      <c r="X451" s="42"/>
      <c r="Y451" s="42"/>
      <c r="Z451" s="42"/>
    </row>
    <row r="452">
      <c r="A452" s="133"/>
      <c r="B452" s="134"/>
      <c r="C452" s="63"/>
      <c r="D452" s="63"/>
      <c r="E452" s="135"/>
      <c r="F452" s="42"/>
      <c r="G452" s="42"/>
      <c r="H452" s="42"/>
      <c r="I452" s="42"/>
      <c r="J452" s="42"/>
      <c r="K452" s="42"/>
      <c r="L452" s="42"/>
      <c r="M452" s="42"/>
      <c r="N452" s="42"/>
      <c r="O452" s="42"/>
      <c r="P452" s="42"/>
      <c r="Q452" s="42"/>
      <c r="R452" s="42"/>
      <c r="S452" s="42"/>
      <c r="T452" s="42"/>
      <c r="U452" s="42"/>
      <c r="V452" s="42"/>
      <c r="W452" s="42"/>
      <c r="X452" s="42"/>
      <c r="Y452" s="42"/>
      <c r="Z452" s="42"/>
    </row>
    <row r="453">
      <c r="A453" s="133"/>
      <c r="B453" s="134"/>
      <c r="C453" s="63"/>
      <c r="D453" s="63"/>
      <c r="E453" s="135"/>
      <c r="F453" s="42"/>
      <c r="G453" s="42"/>
      <c r="H453" s="42"/>
      <c r="I453" s="42"/>
      <c r="J453" s="42"/>
      <c r="K453" s="42"/>
      <c r="L453" s="42"/>
      <c r="M453" s="42"/>
      <c r="N453" s="42"/>
      <c r="O453" s="42"/>
      <c r="P453" s="42"/>
      <c r="Q453" s="42"/>
      <c r="R453" s="42"/>
      <c r="S453" s="42"/>
      <c r="T453" s="42"/>
      <c r="U453" s="42"/>
      <c r="V453" s="42"/>
      <c r="W453" s="42"/>
      <c r="X453" s="42"/>
      <c r="Y453" s="42"/>
      <c r="Z453" s="42"/>
    </row>
    <row r="454">
      <c r="A454" s="133"/>
      <c r="B454" s="134"/>
      <c r="C454" s="63"/>
      <c r="D454" s="63"/>
      <c r="E454" s="135"/>
      <c r="F454" s="42"/>
      <c r="G454" s="42"/>
      <c r="H454" s="42"/>
      <c r="I454" s="42"/>
      <c r="J454" s="42"/>
      <c r="K454" s="42"/>
      <c r="L454" s="42"/>
      <c r="M454" s="42"/>
      <c r="N454" s="42"/>
      <c r="O454" s="42"/>
      <c r="P454" s="42"/>
      <c r="Q454" s="42"/>
      <c r="R454" s="42"/>
      <c r="S454" s="42"/>
      <c r="T454" s="42"/>
      <c r="U454" s="42"/>
      <c r="V454" s="42"/>
      <c r="W454" s="42"/>
      <c r="X454" s="42"/>
      <c r="Y454" s="42"/>
      <c r="Z454" s="42"/>
    </row>
    <row r="455">
      <c r="A455" s="133"/>
      <c r="B455" s="134"/>
      <c r="C455" s="63"/>
      <c r="D455" s="63"/>
      <c r="E455" s="135"/>
      <c r="F455" s="42"/>
      <c r="G455" s="42"/>
      <c r="H455" s="42"/>
      <c r="I455" s="42"/>
      <c r="J455" s="42"/>
      <c r="K455" s="42"/>
      <c r="L455" s="42"/>
      <c r="M455" s="42"/>
      <c r="N455" s="42"/>
      <c r="O455" s="42"/>
      <c r="P455" s="42"/>
      <c r="Q455" s="42"/>
      <c r="R455" s="42"/>
      <c r="S455" s="42"/>
      <c r="T455" s="42"/>
      <c r="U455" s="42"/>
      <c r="V455" s="42"/>
      <c r="W455" s="42"/>
      <c r="X455" s="42"/>
      <c r="Y455" s="42"/>
      <c r="Z455" s="42"/>
    </row>
    <row r="456">
      <c r="A456" s="133"/>
      <c r="B456" s="134"/>
      <c r="C456" s="63"/>
      <c r="D456" s="63"/>
      <c r="E456" s="135"/>
      <c r="F456" s="42"/>
      <c r="G456" s="42"/>
      <c r="H456" s="42"/>
      <c r="I456" s="42"/>
      <c r="J456" s="42"/>
      <c r="K456" s="42"/>
      <c r="L456" s="42"/>
      <c r="M456" s="42"/>
      <c r="N456" s="42"/>
      <c r="O456" s="42"/>
      <c r="P456" s="42"/>
      <c r="Q456" s="42"/>
      <c r="R456" s="42"/>
      <c r="S456" s="42"/>
      <c r="T456" s="42"/>
      <c r="U456" s="42"/>
      <c r="V456" s="42"/>
      <c r="W456" s="42"/>
      <c r="X456" s="42"/>
      <c r="Y456" s="42"/>
      <c r="Z456" s="42"/>
    </row>
    <row r="457">
      <c r="A457" s="133"/>
      <c r="B457" s="134"/>
      <c r="C457" s="63"/>
      <c r="D457" s="63"/>
      <c r="E457" s="135"/>
      <c r="F457" s="42"/>
      <c r="G457" s="42"/>
      <c r="H457" s="42"/>
      <c r="I457" s="42"/>
      <c r="J457" s="42"/>
      <c r="K457" s="42"/>
      <c r="L457" s="42"/>
      <c r="M457" s="42"/>
      <c r="N457" s="42"/>
      <c r="O457" s="42"/>
      <c r="P457" s="42"/>
      <c r="Q457" s="42"/>
      <c r="R457" s="42"/>
      <c r="S457" s="42"/>
      <c r="T457" s="42"/>
      <c r="U457" s="42"/>
      <c r="V457" s="42"/>
      <c r="W457" s="42"/>
      <c r="X457" s="42"/>
      <c r="Y457" s="42"/>
      <c r="Z457" s="42"/>
    </row>
    <row r="458">
      <c r="A458" s="133"/>
      <c r="B458" s="134"/>
      <c r="C458" s="63"/>
      <c r="D458" s="63"/>
      <c r="E458" s="135"/>
      <c r="F458" s="42"/>
      <c r="G458" s="42"/>
      <c r="H458" s="42"/>
      <c r="I458" s="42"/>
      <c r="J458" s="42"/>
      <c r="K458" s="42"/>
      <c r="L458" s="42"/>
      <c r="M458" s="42"/>
      <c r="N458" s="42"/>
      <c r="O458" s="42"/>
      <c r="P458" s="42"/>
      <c r="Q458" s="42"/>
      <c r="R458" s="42"/>
      <c r="S458" s="42"/>
      <c r="T458" s="42"/>
      <c r="U458" s="42"/>
      <c r="V458" s="42"/>
      <c r="W458" s="42"/>
      <c r="X458" s="42"/>
      <c r="Y458" s="42"/>
      <c r="Z458" s="42"/>
    </row>
    <row r="459">
      <c r="A459" s="133"/>
      <c r="B459" s="134"/>
      <c r="C459" s="63"/>
      <c r="D459" s="63"/>
      <c r="E459" s="135"/>
      <c r="F459" s="42"/>
      <c r="G459" s="42"/>
      <c r="H459" s="42"/>
      <c r="I459" s="42"/>
      <c r="J459" s="42"/>
      <c r="K459" s="42"/>
      <c r="L459" s="42"/>
      <c r="M459" s="42"/>
      <c r="N459" s="42"/>
      <c r="O459" s="42"/>
      <c r="P459" s="42"/>
      <c r="Q459" s="42"/>
      <c r="R459" s="42"/>
      <c r="S459" s="42"/>
      <c r="T459" s="42"/>
      <c r="U459" s="42"/>
      <c r="V459" s="42"/>
      <c r="W459" s="42"/>
      <c r="X459" s="42"/>
      <c r="Y459" s="42"/>
      <c r="Z459" s="42"/>
    </row>
    <row r="460">
      <c r="A460" s="133"/>
      <c r="B460" s="134"/>
      <c r="C460" s="63"/>
      <c r="D460" s="63"/>
      <c r="E460" s="135"/>
      <c r="F460" s="42"/>
      <c r="G460" s="42"/>
      <c r="H460" s="42"/>
      <c r="I460" s="42"/>
      <c r="J460" s="42"/>
      <c r="K460" s="42"/>
      <c r="L460" s="42"/>
      <c r="M460" s="42"/>
      <c r="N460" s="42"/>
      <c r="O460" s="42"/>
      <c r="P460" s="42"/>
      <c r="Q460" s="42"/>
      <c r="R460" s="42"/>
      <c r="S460" s="42"/>
      <c r="T460" s="42"/>
      <c r="U460" s="42"/>
      <c r="V460" s="42"/>
      <c r="W460" s="42"/>
      <c r="X460" s="42"/>
      <c r="Y460" s="42"/>
      <c r="Z460" s="42"/>
    </row>
    <row r="461">
      <c r="A461" s="133"/>
      <c r="B461" s="134"/>
      <c r="C461" s="63"/>
      <c r="D461" s="63"/>
      <c r="E461" s="135"/>
      <c r="F461" s="42"/>
      <c r="G461" s="42"/>
      <c r="H461" s="42"/>
      <c r="I461" s="42"/>
      <c r="J461" s="42"/>
      <c r="K461" s="42"/>
      <c r="L461" s="42"/>
      <c r="M461" s="42"/>
      <c r="N461" s="42"/>
      <c r="O461" s="42"/>
      <c r="P461" s="42"/>
      <c r="Q461" s="42"/>
      <c r="R461" s="42"/>
      <c r="S461" s="42"/>
      <c r="T461" s="42"/>
      <c r="U461" s="42"/>
      <c r="V461" s="42"/>
      <c r="W461" s="42"/>
      <c r="X461" s="42"/>
      <c r="Y461" s="42"/>
      <c r="Z461" s="42"/>
    </row>
    <row r="462">
      <c r="A462" s="133"/>
      <c r="B462" s="134"/>
      <c r="C462" s="63"/>
      <c r="D462" s="63"/>
      <c r="E462" s="135"/>
      <c r="F462" s="42"/>
      <c r="G462" s="42"/>
      <c r="H462" s="42"/>
      <c r="I462" s="42"/>
      <c r="J462" s="42"/>
      <c r="K462" s="42"/>
      <c r="L462" s="42"/>
      <c r="M462" s="42"/>
      <c r="N462" s="42"/>
      <c r="O462" s="42"/>
      <c r="P462" s="42"/>
      <c r="Q462" s="42"/>
      <c r="R462" s="42"/>
      <c r="S462" s="42"/>
      <c r="T462" s="42"/>
      <c r="U462" s="42"/>
      <c r="V462" s="42"/>
      <c r="W462" s="42"/>
      <c r="X462" s="42"/>
      <c r="Y462" s="42"/>
      <c r="Z462" s="42"/>
    </row>
    <row r="463">
      <c r="A463" s="133"/>
      <c r="B463" s="134"/>
      <c r="C463" s="63"/>
      <c r="D463" s="63"/>
      <c r="E463" s="135"/>
      <c r="F463" s="42"/>
      <c r="G463" s="42"/>
      <c r="H463" s="42"/>
      <c r="I463" s="42"/>
      <c r="J463" s="42"/>
      <c r="K463" s="42"/>
      <c r="L463" s="42"/>
      <c r="M463" s="42"/>
      <c r="N463" s="42"/>
      <c r="O463" s="42"/>
      <c r="P463" s="42"/>
      <c r="Q463" s="42"/>
      <c r="R463" s="42"/>
      <c r="S463" s="42"/>
      <c r="T463" s="42"/>
      <c r="U463" s="42"/>
      <c r="V463" s="42"/>
      <c r="W463" s="42"/>
      <c r="X463" s="42"/>
      <c r="Y463" s="42"/>
      <c r="Z463" s="42"/>
    </row>
    <row r="464">
      <c r="A464" s="133"/>
      <c r="B464" s="134"/>
      <c r="C464" s="63"/>
      <c r="D464" s="63"/>
      <c r="E464" s="135"/>
      <c r="F464" s="42"/>
      <c r="G464" s="42"/>
      <c r="H464" s="42"/>
      <c r="I464" s="42"/>
      <c r="J464" s="42"/>
      <c r="K464" s="42"/>
      <c r="L464" s="42"/>
      <c r="M464" s="42"/>
      <c r="N464" s="42"/>
      <c r="O464" s="42"/>
      <c r="P464" s="42"/>
      <c r="Q464" s="42"/>
      <c r="R464" s="42"/>
      <c r="S464" s="42"/>
      <c r="T464" s="42"/>
      <c r="U464" s="42"/>
      <c r="V464" s="42"/>
      <c r="W464" s="42"/>
      <c r="X464" s="42"/>
      <c r="Y464" s="42"/>
      <c r="Z464" s="42"/>
    </row>
    <row r="465">
      <c r="A465" s="133"/>
      <c r="B465" s="134"/>
      <c r="C465" s="63"/>
      <c r="D465" s="63"/>
      <c r="E465" s="135"/>
      <c r="F465" s="42"/>
      <c r="G465" s="42"/>
      <c r="H465" s="42"/>
      <c r="I465" s="42"/>
      <c r="J465" s="42"/>
      <c r="K465" s="42"/>
      <c r="L465" s="42"/>
      <c r="M465" s="42"/>
      <c r="N465" s="42"/>
      <c r="O465" s="42"/>
      <c r="P465" s="42"/>
      <c r="Q465" s="42"/>
      <c r="R465" s="42"/>
      <c r="S465" s="42"/>
      <c r="T465" s="42"/>
      <c r="U465" s="42"/>
      <c r="V465" s="42"/>
      <c r="W465" s="42"/>
      <c r="X465" s="42"/>
      <c r="Y465" s="42"/>
      <c r="Z465" s="42"/>
    </row>
    <row r="466">
      <c r="A466" s="133"/>
      <c r="B466" s="134"/>
      <c r="C466" s="63"/>
      <c r="D466" s="63"/>
      <c r="E466" s="135"/>
      <c r="F466" s="42"/>
      <c r="G466" s="42"/>
      <c r="H466" s="42"/>
      <c r="I466" s="42"/>
      <c r="J466" s="42"/>
      <c r="K466" s="42"/>
      <c r="L466" s="42"/>
      <c r="M466" s="42"/>
      <c r="N466" s="42"/>
      <c r="O466" s="42"/>
      <c r="P466" s="42"/>
      <c r="Q466" s="42"/>
      <c r="R466" s="42"/>
      <c r="S466" s="42"/>
      <c r="T466" s="42"/>
      <c r="U466" s="42"/>
      <c r="V466" s="42"/>
      <c r="W466" s="42"/>
      <c r="X466" s="42"/>
      <c r="Y466" s="42"/>
      <c r="Z466" s="42"/>
    </row>
    <row r="467">
      <c r="A467" s="133"/>
      <c r="B467" s="134"/>
      <c r="C467" s="63"/>
      <c r="D467" s="63"/>
      <c r="E467" s="135"/>
      <c r="F467" s="42"/>
      <c r="G467" s="42"/>
      <c r="H467" s="42"/>
      <c r="I467" s="42"/>
      <c r="J467" s="42"/>
      <c r="K467" s="42"/>
      <c r="L467" s="42"/>
      <c r="M467" s="42"/>
      <c r="N467" s="42"/>
      <c r="O467" s="42"/>
      <c r="P467" s="42"/>
      <c r="Q467" s="42"/>
      <c r="R467" s="42"/>
      <c r="S467" s="42"/>
      <c r="T467" s="42"/>
      <c r="U467" s="42"/>
      <c r="V467" s="42"/>
      <c r="W467" s="42"/>
      <c r="X467" s="42"/>
      <c r="Y467" s="42"/>
      <c r="Z467" s="42"/>
    </row>
    <row r="468">
      <c r="A468" s="133"/>
      <c r="B468" s="134"/>
      <c r="C468" s="63"/>
      <c r="D468" s="63"/>
      <c r="E468" s="135"/>
      <c r="F468" s="42"/>
      <c r="G468" s="42"/>
      <c r="H468" s="42"/>
      <c r="I468" s="42"/>
      <c r="J468" s="42"/>
      <c r="K468" s="42"/>
      <c r="L468" s="42"/>
      <c r="M468" s="42"/>
      <c r="N468" s="42"/>
      <c r="O468" s="42"/>
      <c r="P468" s="42"/>
      <c r="Q468" s="42"/>
      <c r="R468" s="42"/>
      <c r="S468" s="42"/>
      <c r="T468" s="42"/>
      <c r="U468" s="42"/>
      <c r="V468" s="42"/>
      <c r="W468" s="42"/>
      <c r="X468" s="42"/>
      <c r="Y468" s="42"/>
      <c r="Z468" s="42"/>
    </row>
    <row r="469">
      <c r="A469" s="133"/>
      <c r="B469" s="134"/>
      <c r="C469" s="63"/>
      <c r="D469" s="63"/>
      <c r="E469" s="135"/>
      <c r="F469" s="42"/>
      <c r="G469" s="42"/>
      <c r="H469" s="42"/>
      <c r="I469" s="42"/>
      <c r="J469" s="42"/>
      <c r="K469" s="42"/>
      <c r="L469" s="42"/>
      <c r="M469" s="42"/>
      <c r="N469" s="42"/>
      <c r="O469" s="42"/>
      <c r="P469" s="42"/>
      <c r="Q469" s="42"/>
      <c r="R469" s="42"/>
      <c r="S469" s="42"/>
      <c r="T469" s="42"/>
      <c r="U469" s="42"/>
      <c r="V469" s="42"/>
      <c r="W469" s="42"/>
      <c r="X469" s="42"/>
      <c r="Y469" s="42"/>
      <c r="Z469" s="42"/>
    </row>
    <row r="470">
      <c r="A470" s="133"/>
      <c r="B470" s="134"/>
      <c r="C470" s="63"/>
      <c r="D470" s="63"/>
      <c r="E470" s="135"/>
      <c r="F470" s="42"/>
      <c r="G470" s="42"/>
      <c r="H470" s="42"/>
      <c r="I470" s="42"/>
      <c r="J470" s="42"/>
      <c r="K470" s="42"/>
      <c r="L470" s="42"/>
      <c r="M470" s="42"/>
      <c r="N470" s="42"/>
      <c r="O470" s="42"/>
      <c r="P470" s="42"/>
      <c r="Q470" s="42"/>
      <c r="R470" s="42"/>
      <c r="S470" s="42"/>
      <c r="T470" s="42"/>
      <c r="U470" s="42"/>
      <c r="V470" s="42"/>
      <c r="W470" s="42"/>
      <c r="X470" s="42"/>
      <c r="Y470" s="42"/>
      <c r="Z470" s="42"/>
    </row>
    <row r="471">
      <c r="A471" s="133"/>
      <c r="B471" s="134"/>
      <c r="C471" s="63"/>
      <c r="D471" s="63"/>
      <c r="E471" s="135"/>
      <c r="F471" s="42"/>
      <c r="G471" s="42"/>
      <c r="H471" s="42"/>
      <c r="I471" s="42"/>
      <c r="J471" s="42"/>
      <c r="K471" s="42"/>
      <c r="L471" s="42"/>
      <c r="M471" s="42"/>
      <c r="N471" s="42"/>
      <c r="O471" s="42"/>
      <c r="P471" s="42"/>
      <c r="Q471" s="42"/>
      <c r="R471" s="42"/>
      <c r="S471" s="42"/>
      <c r="T471" s="42"/>
      <c r="U471" s="42"/>
      <c r="V471" s="42"/>
      <c r="W471" s="42"/>
      <c r="X471" s="42"/>
      <c r="Y471" s="42"/>
      <c r="Z471" s="42"/>
    </row>
    <row r="472">
      <c r="A472" s="133"/>
      <c r="B472" s="134"/>
      <c r="C472" s="63"/>
      <c r="D472" s="63"/>
      <c r="E472" s="135"/>
      <c r="F472" s="42"/>
      <c r="G472" s="42"/>
      <c r="H472" s="42"/>
      <c r="I472" s="42"/>
      <c r="J472" s="42"/>
      <c r="K472" s="42"/>
      <c r="L472" s="42"/>
      <c r="M472" s="42"/>
      <c r="N472" s="42"/>
      <c r="O472" s="42"/>
      <c r="P472" s="42"/>
      <c r="Q472" s="42"/>
      <c r="R472" s="42"/>
      <c r="S472" s="42"/>
      <c r="T472" s="42"/>
      <c r="U472" s="42"/>
      <c r="V472" s="42"/>
      <c r="W472" s="42"/>
      <c r="X472" s="42"/>
      <c r="Y472" s="42"/>
      <c r="Z472" s="42"/>
    </row>
    <row r="473">
      <c r="A473" s="133"/>
      <c r="B473" s="134"/>
      <c r="C473" s="63"/>
      <c r="D473" s="63"/>
      <c r="E473" s="135"/>
      <c r="F473" s="42"/>
      <c r="G473" s="42"/>
      <c r="H473" s="42"/>
      <c r="I473" s="42"/>
      <c r="J473" s="42"/>
      <c r="K473" s="42"/>
      <c r="L473" s="42"/>
      <c r="M473" s="42"/>
      <c r="N473" s="42"/>
      <c r="O473" s="42"/>
      <c r="P473" s="42"/>
      <c r="Q473" s="42"/>
      <c r="R473" s="42"/>
      <c r="S473" s="42"/>
      <c r="T473" s="42"/>
      <c r="U473" s="42"/>
      <c r="V473" s="42"/>
      <c r="W473" s="42"/>
      <c r="X473" s="42"/>
      <c r="Y473" s="42"/>
      <c r="Z473" s="42"/>
    </row>
    <row r="474">
      <c r="A474" s="133"/>
      <c r="B474" s="134"/>
      <c r="C474" s="63"/>
      <c r="D474" s="63"/>
      <c r="E474" s="135"/>
      <c r="F474" s="42"/>
      <c r="G474" s="42"/>
      <c r="H474" s="42"/>
      <c r="I474" s="42"/>
      <c r="J474" s="42"/>
      <c r="K474" s="42"/>
      <c r="L474" s="42"/>
      <c r="M474" s="42"/>
      <c r="N474" s="42"/>
      <c r="O474" s="42"/>
      <c r="P474" s="42"/>
      <c r="Q474" s="42"/>
      <c r="R474" s="42"/>
      <c r="S474" s="42"/>
      <c r="T474" s="42"/>
      <c r="U474" s="42"/>
      <c r="V474" s="42"/>
      <c r="W474" s="42"/>
      <c r="X474" s="42"/>
      <c r="Y474" s="42"/>
      <c r="Z474" s="42"/>
    </row>
    <row r="475">
      <c r="A475" s="133"/>
      <c r="B475" s="134"/>
      <c r="C475" s="63"/>
      <c r="D475" s="63"/>
      <c r="E475" s="135"/>
      <c r="F475" s="42"/>
      <c r="G475" s="42"/>
      <c r="H475" s="42"/>
      <c r="I475" s="42"/>
      <c r="J475" s="42"/>
      <c r="K475" s="42"/>
      <c r="L475" s="42"/>
      <c r="M475" s="42"/>
      <c r="N475" s="42"/>
      <c r="O475" s="42"/>
      <c r="P475" s="42"/>
      <c r="Q475" s="42"/>
      <c r="R475" s="42"/>
      <c r="S475" s="42"/>
      <c r="T475" s="42"/>
      <c r="U475" s="42"/>
      <c r="V475" s="42"/>
      <c r="W475" s="42"/>
      <c r="X475" s="42"/>
      <c r="Y475" s="42"/>
      <c r="Z475" s="42"/>
    </row>
    <row r="476">
      <c r="A476" s="133"/>
      <c r="B476" s="134"/>
      <c r="C476" s="63"/>
      <c r="D476" s="63"/>
      <c r="E476" s="135"/>
      <c r="F476" s="42"/>
      <c r="G476" s="42"/>
      <c r="H476" s="42"/>
      <c r="I476" s="42"/>
      <c r="J476" s="42"/>
      <c r="K476" s="42"/>
      <c r="L476" s="42"/>
      <c r="M476" s="42"/>
      <c r="N476" s="42"/>
      <c r="O476" s="42"/>
      <c r="P476" s="42"/>
      <c r="Q476" s="42"/>
      <c r="R476" s="42"/>
      <c r="S476" s="42"/>
      <c r="T476" s="42"/>
      <c r="U476" s="42"/>
      <c r="V476" s="42"/>
      <c r="W476" s="42"/>
      <c r="X476" s="42"/>
      <c r="Y476" s="42"/>
      <c r="Z476" s="42"/>
    </row>
    <row r="477">
      <c r="A477" s="133"/>
      <c r="B477" s="134"/>
      <c r="C477" s="63"/>
      <c r="D477" s="63"/>
      <c r="E477" s="135"/>
      <c r="F477" s="42"/>
      <c r="G477" s="42"/>
      <c r="H477" s="42"/>
      <c r="I477" s="42"/>
      <c r="J477" s="42"/>
      <c r="K477" s="42"/>
      <c r="L477" s="42"/>
      <c r="M477" s="42"/>
      <c r="N477" s="42"/>
      <c r="O477" s="42"/>
      <c r="P477" s="42"/>
      <c r="Q477" s="42"/>
      <c r="R477" s="42"/>
      <c r="S477" s="42"/>
      <c r="T477" s="42"/>
      <c r="U477" s="42"/>
      <c r="V477" s="42"/>
      <c r="W477" s="42"/>
      <c r="X477" s="42"/>
      <c r="Y477" s="42"/>
      <c r="Z477" s="42"/>
    </row>
    <row r="478">
      <c r="A478" s="133"/>
      <c r="B478" s="134"/>
      <c r="C478" s="63"/>
      <c r="D478" s="63"/>
      <c r="E478" s="135"/>
      <c r="F478" s="42"/>
      <c r="G478" s="42"/>
      <c r="H478" s="42"/>
      <c r="I478" s="42"/>
      <c r="J478" s="42"/>
      <c r="K478" s="42"/>
      <c r="L478" s="42"/>
      <c r="M478" s="42"/>
      <c r="N478" s="42"/>
      <c r="O478" s="42"/>
      <c r="P478" s="42"/>
      <c r="Q478" s="42"/>
      <c r="R478" s="42"/>
      <c r="S478" s="42"/>
      <c r="T478" s="42"/>
      <c r="U478" s="42"/>
      <c r="V478" s="42"/>
      <c r="W478" s="42"/>
      <c r="X478" s="42"/>
      <c r="Y478" s="42"/>
      <c r="Z478" s="42"/>
    </row>
    <row r="479">
      <c r="A479" s="133"/>
      <c r="B479" s="134"/>
      <c r="C479" s="63"/>
      <c r="D479" s="63"/>
      <c r="E479" s="135"/>
      <c r="F479" s="42"/>
      <c r="G479" s="42"/>
      <c r="H479" s="42"/>
      <c r="I479" s="42"/>
      <c r="J479" s="42"/>
      <c r="K479" s="42"/>
      <c r="L479" s="42"/>
      <c r="M479" s="42"/>
      <c r="N479" s="42"/>
      <c r="O479" s="42"/>
      <c r="P479" s="42"/>
      <c r="Q479" s="42"/>
      <c r="R479" s="42"/>
      <c r="S479" s="42"/>
      <c r="T479" s="42"/>
      <c r="U479" s="42"/>
      <c r="V479" s="42"/>
      <c r="W479" s="42"/>
      <c r="X479" s="42"/>
      <c r="Y479" s="42"/>
      <c r="Z479" s="42"/>
    </row>
    <row r="480">
      <c r="A480" s="133"/>
      <c r="B480" s="134"/>
      <c r="C480" s="63"/>
      <c r="D480" s="63"/>
      <c r="E480" s="135"/>
      <c r="F480" s="42"/>
      <c r="G480" s="42"/>
      <c r="H480" s="42"/>
      <c r="I480" s="42"/>
      <c r="J480" s="42"/>
      <c r="K480" s="42"/>
      <c r="L480" s="42"/>
      <c r="M480" s="42"/>
      <c r="N480" s="42"/>
      <c r="O480" s="42"/>
      <c r="P480" s="42"/>
      <c r="Q480" s="42"/>
      <c r="R480" s="42"/>
      <c r="S480" s="42"/>
      <c r="T480" s="42"/>
      <c r="U480" s="42"/>
      <c r="V480" s="42"/>
      <c r="W480" s="42"/>
      <c r="X480" s="42"/>
      <c r="Y480" s="42"/>
      <c r="Z480" s="42"/>
    </row>
    <row r="481">
      <c r="A481" s="133"/>
      <c r="B481" s="134"/>
      <c r="C481" s="63"/>
      <c r="D481" s="63"/>
      <c r="E481" s="135"/>
      <c r="F481" s="42"/>
      <c r="G481" s="42"/>
      <c r="H481" s="42"/>
      <c r="I481" s="42"/>
      <c r="J481" s="42"/>
      <c r="K481" s="42"/>
      <c r="L481" s="42"/>
      <c r="M481" s="42"/>
      <c r="N481" s="42"/>
      <c r="O481" s="42"/>
      <c r="P481" s="42"/>
      <c r="Q481" s="42"/>
      <c r="R481" s="42"/>
      <c r="S481" s="42"/>
      <c r="T481" s="42"/>
      <c r="U481" s="42"/>
      <c r="V481" s="42"/>
      <c r="W481" s="42"/>
      <c r="X481" s="42"/>
      <c r="Y481" s="42"/>
      <c r="Z481" s="42"/>
    </row>
    <row r="482">
      <c r="A482" s="133"/>
      <c r="B482" s="134"/>
      <c r="C482" s="63"/>
      <c r="D482" s="63"/>
      <c r="E482" s="135"/>
      <c r="F482" s="42"/>
      <c r="G482" s="42"/>
      <c r="H482" s="42"/>
      <c r="I482" s="42"/>
      <c r="J482" s="42"/>
      <c r="K482" s="42"/>
      <c r="L482" s="42"/>
      <c r="M482" s="42"/>
      <c r="N482" s="42"/>
      <c r="O482" s="42"/>
      <c r="P482" s="42"/>
      <c r="Q482" s="42"/>
      <c r="R482" s="42"/>
      <c r="S482" s="42"/>
      <c r="T482" s="42"/>
      <c r="U482" s="42"/>
      <c r="V482" s="42"/>
      <c r="W482" s="42"/>
      <c r="X482" s="42"/>
      <c r="Y482" s="42"/>
      <c r="Z482" s="42"/>
    </row>
    <row r="483">
      <c r="A483" s="133"/>
      <c r="B483" s="134"/>
      <c r="C483" s="63"/>
      <c r="D483" s="63"/>
      <c r="E483" s="135"/>
      <c r="F483" s="42"/>
      <c r="G483" s="42"/>
      <c r="H483" s="42"/>
      <c r="I483" s="42"/>
      <c r="J483" s="42"/>
      <c r="K483" s="42"/>
      <c r="L483" s="42"/>
      <c r="M483" s="42"/>
      <c r="N483" s="42"/>
      <c r="O483" s="42"/>
      <c r="P483" s="42"/>
      <c r="Q483" s="42"/>
      <c r="R483" s="42"/>
      <c r="S483" s="42"/>
      <c r="T483" s="42"/>
      <c r="U483" s="42"/>
      <c r="V483" s="42"/>
      <c r="W483" s="42"/>
      <c r="X483" s="42"/>
      <c r="Y483" s="42"/>
      <c r="Z483" s="42"/>
    </row>
    <row r="484">
      <c r="A484" s="133"/>
      <c r="B484" s="134"/>
      <c r="C484" s="63"/>
      <c r="D484" s="63"/>
      <c r="E484" s="135"/>
      <c r="F484" s="42"/>
      <c r="G484" s="42"/>
      <c r="H484" s="42"/>
      <c r="I484" s="42"/>
      <c r="J484" s="42"/>
      <c r="K484" s="42"/>
      <c r="L484" s="42"/>
      <c r="M484" s="42"/>
      <c r="N484" s="42"/>
      <c r="O484" s="42"/>
      <c r="P484" s="42"/>
      <c r="Q484" s="42"/>
      <c r="R484" s="42"/>
      <c r="S484" s="42"/>
      <c r="T484" s="42"/>
      <c r="U484" s="42"/>
      <c r="V484" s="42"/>
      <c r="W484" s="42"/>
      <c r="X484" s="42"/>
      <c r="Y484" s="42"/>
      <c r="Z484" s="42"/>
    </row>
    <row r="485">
      <c r="A485" s="133"/>
      <c r="B485" s="134"/>
      <c r="C485" s="63"/>
      <c r="D485" s="63"/>
      <c r="E485" s="135"/>
      <c r="F485" s="42"/>
      <c r="G485" s="42"/>
      <c r="H485" s="42"/>
      <c r="I485" s="42"/>
      <c r="J485" s="42"/>
      <c r="K485" s="42"/>
      <c r="L485" s="42"/>
      <c r="M485" s="42"/>
      <c r="N485" s="42"/>
      <c r="O485" s="42"/>
      <c r="P485" s="42"/>
      <c r="Q485" s="42"/>
      <c r="R485" s="42"/>
      <c r="S485" s="42"/>
      <c r="T485" s="42"/>
      <c r="U485" s="42"/>
      <c r="V485" s="42"/>
      <c r="W485" s="42"/>
      <c r="X485" s="42"/>
      <c r="Y485" s="42"/>
      <c r="Z485" s="42"/>
    </row>
    <row r="486">
      <c r="A486" s="133"/>
      <c r="B486" s="134"/>
      <c r="C486" s="63"/>
      <c r="D486" s="63"/>
      <c r="E486" s="135"/>
      <c r="F486" s="42"/>
      <c r="G486" s="42"/>
      <c r="H486" s="42"/>
      <c r="I486" s="42"/>
      <c r="J486" s="42"/>
      <c r="K486" s="42"/>
      <c r="L486" s="42"/>
      <c r="M486" s="42"/>
      <c r="N486" s="42"/>
      <c r="O486" s="42"/>
      <c r="P486" s="42"/>
      <c r="Q486" s="42"/>
      <c r="R486" s="42"/>
      <c r="S486" s="42"/>
      <c r="T486" s="42"/>
      <c r="U486" s="42"/>
      <c r="V486" s="42"/>
      <c r="W486" s="42"/>
      <c r="X486" s="42"/>
      <c r="Y486" s="42"/>
      <c r="Z486" s="42"/>
    </row>
    <row r="487">
      <c r="A487" s="133"/>
      <c r="B487" s="134"/>
      <c r="C487" s="63"/>
      <c r="D487" s="63"/>
      <c r="E487" s="135"/>
      <c r="F487" s="42"/>
      <c r="G487" s="42"/>
      <c r="H487" s="42"/>
      <c r="I487" s="42"/>
      <c r="J487" s="42"/>
      <c r="K487" s="42"/>
      <c r="L487" s="42"/>
      <c r="M487" s="42"/>
      <c r="N487" s="42"/>
      <c r="O487" s="42"/>
      <c r="P487" s="42"/>
      <c r="Q487" s="42"/>
      <c r="R487" s="42"/>
      <c r="S487" s="42"/>
      <c r="T487" s="42"/>
      <c r="U487" s="42"/>
      <c r="V487" s="42"/>
      <c r="W487" s="42"/>
      <c r="X487" s="42"/>
      <c r="Y487" s="42"/>
      <c r="Z487" s="42"/>
    </row>
    <row r="488">
      <c r="A488" s="133"/>
      <c r="B488" s="134"/>
      <c r="C488" s="63"/>
      <c r="D488" s="63"/>
      <c r="E488" s="135"/>
      <c r="F488" s="42"/>
      <c r="G488" s="42"/>
      <c r="H488" s="42"/>
      <c r="I488" s="42"/>
      <c r="J488" s="42"/>
      <c r="K488" s="42"/>
      <c r="L488" s="42"/>
      <c r="M488" s="42"/>
      <c r="N488" s="42"/>
      <c r="O488" s="42"/>
      <c r="P488" s="42"/>
      <c r="Q488" s="42"/>
      <c r="R488" s="42"/>
      <c r="S488" s="42"/>
      <c r="T488" s="42"/>
      <c r="U488" s="42"/>
      <c r="V488" s="42"/>
      <c r="W488" s="42"/>
      <c r="X488" s="42"/>
      <c r="Y488" s="42"/>
      <c r="Z488" s="42"/>
    </row>
    <row r="489">
      <c r="A489" s="133"/>
      <c r="B489" s="134"/>
      <c r="C489" s="63"/>
      <c r="D489" s="63"/>
      <c r="E489" s="135"/>
      <c r="F489" s="42"/>
      <c r="G489" s="42"/>
      <c r="H489" s="42"/>
      <c r="I489" s="42"/>
      <c r="J489" s="42"/>
      <c r="K489" s="42"/>
      <c r="L489" s="42"/>
      <c r="M489" s="42"/>
      <c r="N489" s="42"/>
      <c r="O489" s="42"/>
      <c r="P489" s="42"/>
      <c r="Q489" s="42"/>
      <c r="R489" s="42"/>
      <c r="S489" s="42"/>
      <c r="T489" s="42"/>
      <c r="U489" s="42"/>
      <c r="V489" s="42"/>
      <c r="W489" s="42"/>
      <c r="X489" s="42"/>
      <c r="Y489" s="42"/>
      <c r="Z489" s="42"/>
    </row>
    <row r="490">
      <c r="A490" s="133"/>
      <c r="B490" s="134"/>
      <c r="C490" s="63"/>
      <c r="D490" s="63"/>
      <c r="E490" s="135"/>
      <c r="F490" s="42"/>
      <c r="G490" s="42"/>
      <c r="H490" s="42"/>
      <c r="I490" s="42"/>
      <c r="J490" s="42"/>
      <c r="K490" s="42"/>
      <c r="L490" s="42"/>
      <c r="M490" s="42"/>
      <c r="N490" s="42"/>
      <c r="O490" s="42"/>
      <c r="P490" s="42"/>
      <c r="Q490" s="42"/>
      <c r="R490" s="42"/>
      <c r="S490" s="42"/>
      <c r="T490" s="42"/>
      <c r="U490" s="42"/>
      <c r="V490" s="42"/>
      <c r="W490" s="42"/>
      <c r="X490" s="42"/>
      <c r="Y490" s="42"/>
      <c r="Z490" s="42"/>
    </row>
    <row r="491">
      <c r="A491" s="133"/>
      <c r="B491" s="134"/>
      <c r="C491" s="63"/>
      <c r="D491" s="63"/>
      <c r="E491" s="135"/>
      <c r="F491" s="42"/>
      <c r="G491" s="42"/>
      <c r="H491" s="42"/>
      <c r="I491" s="42"/>
      <c r="J491" s="42"/>
      <c r="K491" s="42"/>
      <c r="L491" s="42"/>
      <c r="M491" s="42"/>
      <c r="N491" s="42"/>
      <c r="O491" s="42"/>
      <c r="P491" s="42"/>
      <c r="Q491" s="42"/>
      <c r="R491" s="42"/>
      <c r="S491" s="42"/>
      <c r="T491" s="42"/>
      <c r="U491" s="42"/>
      <c r="V491" s="42"/>
      <c r="W491" s="42"/>
      <c r="X491" s="42"/>
      <c r="Y491" s="42"/>
      <c r="Z491" s="42"/>
    </row>
    <row r="492">
      <c r="A492" s="133"/>
      <c r="B492" s="134"/>
      <c r="C492" s="63"/>
      <c r="D492" s="63"/>
      <c r="E492" s="135"/>
      <c r="F492" s="42"/>
      <c r="G492" s="42"/>
      <c r="H492" s="42"/>
      <c r="I492" s="42"/>
      <c r="J492" s="42"/>
      <c r="K492" s="42"/>
      <c r="L492" s="42"/>
      <c r="M492" s="42"/>
      <c r="N492" s="42"/>
      <c r="O492" s="42"/>
      <c r="P492" s="42"/>
      <c r="Q492" s="42"/>
      <c r="R492" s="42"/>
      <c r="S492" s="42"/>
      <c r="T492" s="42"/>
      <c r="U492" s="42"/>
      <c r="V492" s="42"/>
      <c r="W492" s="42"/>
      <c r="X492" s="42"/>
      <c r="Y492" s="42"/>
      <c r="Z492" s="42"/>
    </row>
    <row r="493">
      <c r="A493" s="133"/>
      <c r="B493" s="134"/>
      <c r="C493" s="63"/>
      <c r="D493" s="63"/>
      <c r="E493" s="135"/>
      <c r="F493" s="42"/>
      <c r="G493" s="42"/>
      <c r="H493" s="42"/>
      <c r="I493" s="42"/>
      <c r="J493" s="42"/>
      <c r="K493" s="42"/>
      <c r="L493" s="42"/>
      <c r="M493" s="42"/>
      <c r="N493" s="42"/>
      <c r="O493" s="42"/>
      <c r="P493" s="42"/>
      <c r="Q493" s="42"/>
      <c r="R493" s="42"/>
      <c r="S493" s="42"/>
      <c r="T493" s="42"/>
      <c r="U493" s="42"/>
      <c r="V493" s="42"/>
      <c r="W493" s="42"/>
      <c r="X493" s="42"/>
      <c r="Y493" s="42"/>
      <c r="Z493" s="42"/>
    </row>
    <row r="494">
      <c r="A494" s="133"/>
      <c r="B494" s="134"/>
      <c r="C494" s="63"/>
      <c r="D494" s="63"/>
      <c r="E494" s="135"/>
      <c r="F494" s="42"/>
      <c r="G494" s="42"/>
      <c r="H494" s="42"/>
      <c r="I494" s="42"/>
      <c r="J494" s="42"/>
      <c r="K494" s="42"/>
      <c r="L494" s="42"/>
      <c r="M494" s="42"/>
      <c r="N494" s="42"/>
      <c r="O494" s="42"/>
      <c r="P494" s="42"/>
      <c r="Q494" s="42"/>
      <c r="R494" s="42"/>
      <c r="S494" s="42"/>
      <c r="T494" s="42"/>
      <c r="U494" s="42"/>
      <c r="V494" s="42"/>
      <c r="W494" s="42"/>
      <c r="X494" s="42"/>
      <c r="Y494" s="42"/>
      <c r="Z494" s="42"/>
    </row>
    <row r="495">
      <c r="A495" s="133"/>
      <c r="B495" s="134"/>
      <c r="C495" s="63"/>
      <c r="D495" s="63"/>
      <c r="E495" s="135"/>
      <c r="F495" s="42"/>
      <c r="G495" s="42"/>
      <c r="H495" s="42"/>
      <c r="I495" s="42"/>
      <c r="J495" s="42"/>
      <c r="K495" s="42"/>
      <c r="L495" s="42"/>
      <c r="M495" s="42"/>
      <c r="N495" s="42"/>
      <c r="O495" s="42"/>
      <c r="P495" s="42"/>
      <c r="Q495" s="42"/>
      <c r="R495" s="42"/>
      <c r="S495" s="42"/>
      <c r="T495" s="42"/>
      <c r="U495" s="42"/>
      <c r="V495" s="42"/>
      <c r="W495" s="42"/>
      <c r="X495" s="42"/>
      <c r="Y495" s="42"/>
      <c r="Z495" s="42"/>
    </row>
    <row r="496">
      <c r="A496" s="133"/>
      <c r="B496" s="134"/>
      <c r="C496" s="63"/>
      <c r="D496" s="63"/>
      <c r="E496" s="135"/>
      <c r="F496" s="42"/>
      <c r="G496" s="42"/>
      <c r="H496" s="42"/>
      <c r="I496" s="42"/>
      <c r="J496" s="42"/>
      <c r="K496" s="42"/>
      <c r="L496" s="42"/>
      <c r="M496" s="42"/>
      <c r="N496" s="42"/>
      <c r="O496" s="42"/>
      <c r="P496" s="42"/>
      <c r="Q496" s="42"/>
      <c r="R496" s="42"/>
      <c r="S496" s="42"/>
      <c r="T496" s="42"/>
      <c r="U496" s="42"/>
      <c r="V496" s="42"/>
      <c r="W496" s="42"/>
      <c r="X496" s="42"/>
      <c r="Y496" s="42"/>
      <c r="Z496" s="42"/>
    </row>
    <row r="497">
      <c r="A497" s="133"/>
      <c r="B497" s="134"/>
      <c r="C497" s="63"/>
      <c r="D497" s="63"/>
      <c r="E497" s="135"/>
      <c r="F497" s="42"/>
      <c r="G497" s="42"/>
      <c r="H497" s="42"/>
      <c r="I497" s="42"/>
      <c r="J497" s="42"/>
      <c r="K497" s="42"/>
      <c r="L497" s="42"/>
      <c r="M497" s="42"/>
      <c r="N497" s="42"/>
      <c r="O497" s="42"/>
      <c r="P497" s="42"/>
      <c r="Q497" s="42"/>
      <c r="R497" s="42"/>
      <c r="S497" s="42"/>
      <c r="T497" s="42"/>
      <c r="U497" s="42"/>
      <c r="V497" s="42"/>
      <c r="W497" s="42"/>
      <c r="X497" s="42"/>
      <c r="Y497" s="42"/>
      <c r="Z497" s="42"/>
    </row>
    <row r="498">
      <c r="A498" s="133"/>
      <c r="B498" s="134"/>
      <c r="C498" s="63"/>
      <c r="D498" s="63"/>
      <c r="E498" s="135"/>
      <c r="F498" s="42"/>
      <c r="G498" s="42"/>
      <c r="H498" s="42"/>
      <c r="I498" s="42"/>
      <c r="J498" s="42"/>
      <c r="K498" s="42"/>
      <c r="L498" s="42"/>
      <c r="M498" s="42"/>
      <c r="N498" s="42"/>
      <c r="O498" s="42"/>
      <c r="P498" s="42"/>
      <c r="Q498" s="42"/>
      <c r="R498" s="42"/>
      <c r="S498" s="42"/>
      <c r="T498" s="42"/>
      <c r="U498" s="42"/>
      <c r="V498" s="42"/>
      <c r="W498" s="42"/>
      <c r="X498" s="42"/>
      <c r="Y498" s="42"/>
      <c r="Z498" s="42"/>
    </row>
    <row r="499">
      <c r="A499" s="133"/>
      <c r="B499" s="134"/>
      <c r="C499" s="63"/>
      <c r="D499" s="63"/>
      <c r="E499" s="135"/>
      <c r="F499" s="42"/>
      <c r="G499" s="42"/>
      <c r="H499" s="42"/>
      <c r="I499" s="42"/>
      <c r="J499" s="42"/>
      <c r="K499" s="42"/>
      <c r="L499" s="42"/>
      <c r="M499" s="42"/>
      <c r="N499" s="42"/>
      <c r="O499" s="42"/>
      <c r="P499" s="42"/>
      <c r="Q499" s="42"/>
      <c r="R499" s="42"/>
      <c r="S499" s="42"/>
      <c r="T499" s="42"/>
      <c r="U499" s="42"/>
      <c r="V499" s="42"/>
      <c r="W499" s="42"/>
      <c r="X499" s="42"/>
      <c r="Y499" s="42"/>
      <c r="Z499" s="42"/>
    </row>
    <row r="500">
      <c r="A500" s="133"/>
      <c r="B500" s="134"/>
      <c r="C500" s="63"/>
      <c r="D500" s="63"/>
      <c r="E500" s="135"/>
      <c r="F500" s="42"/>
      <c r="G500" s="42"/>
      <c r="H500" s="42"/>
      <c r="I500" s="42"/>
      <c r="J500" s="42"/>
      <c r="K500" s="42"/>
      <c r="L500" s="42"/>
      <c r="M500" s="42"/>
      <c r="N500" s="42"/>
      <c r="O500" s="42"/>
      <c r="P500" s="42"/>
      <c r="Q500" s="42"/>
      <c r="R500" s="42"/>
      <c r="S500" s="42"/>
      <c r="T500" s="42"/>
      <c r="U500" s="42"/>
      <c r="V500" s="42"/>
      <c r="W500" s="42"/>
      <c r="X500" s="42"/>
      <c r="Y500" s="42"/>
      <c r="Z500" s="42"/>
    </row>
    <row r="501">
      <c r="A501" s="133"/>
      <c r="B501" s="134"/>
      <c r="C501" s="63"/>
      <c r="D501" s="63"/>
      <c r="E501" s="135"/>
      <c r="F501" s="42"/>
      <c r="G501" s="42"/>
      <c r="H501" s="42"/>
      <c r="I501" s="42"/>
      <c r="J501" s="42"/>
      <c r="K501" s="42"/>
      <c r="L501" s="42"/>
      <c r="M501" s="42"/>
      <c r="N501" s="42"/>
      <c r="O501" s="42"/>
      <c r="P501" s="42"/>
      <c r="Q501" s="42"/>
      <c r="R501" s="42"/>
      <c r="S501" s="42"/>
      <c r="T501" s="42"/>
      <c r="U501" s="42"/>
      <c r="V501" s="42"/>
      <c r="W501" s="42"/>
      <c r="X501" s="42"/>
      <c r="Y501" s="42"/>
      <c r="Z501" s="42"/>
    </row>
    <row r="502">
      <c r="A502" s="133"/>
      <c r="B502" s="134"/>
      <c r="C502" s="63"/>
      <c r="D502" s="63"/>
      <c r="E502" s="135"/>
      <c r="F502" s="42"/>
      <c r="G502" s="42"/>
      <c r="H502" s="42"/>
      <c r="I502" s="42"/>
      <c r="J502" s="42"/>
      <c r="K502" s="42"/>
      <c r="L502" s="42"/>
      <c r="M502" s="42"/>
      <c r="N502" s="42"/>
      <c r="O502" s="42"/>
      <c r="P502" s="42"/>
      <c r="Q502" s="42"/>
      <c r="R502" s="42"/>
      <c r="S502" s="42"/>
      <c r="T502" s="42"/>
      <c r="U502" s="42"/>
      <c r="V502" s="42"/>
      <c r="W502" s="42"/>
      <c r="X502" s="42"/>
      <c r="Y502" s="42"/>
      <c r="Z502" s="42"/>
    </row>
    <row r="503">
      <c r="A503" s="133"/>
      <c r="B503" s="134"/>
      <c r="C503" s="63"/>
      <c r="D503" s="63"/>
      <c r="E503" s="135"/>
      <c r="F503" s="42"/>
      <c r="G503" s="42"/>
      <c r="H503" s="42"/>
      <c r="I503" s="42"/>
      <c r="J503" s="42"/>
      <c r="K503" s="42"/>
      <c r="L503" s="42"/>
      <c r="M503" s="42"/>
      <c r="N503" s="42"/>
      <c r="O503" s="42"/>
      <c r="P503" s="42"/>
      <c r="Q503" s="42"/>
      <c r="R503" s="42"/>
      <c r="S503" s="42"/>
      <c r="T503" s="42"/>
      <c r="U503" s="42"/>
      <c r="V503" s="42"/>
      <c r="W503" s="42"/>
      <c r="X503" s="42"/>
      <c r="Y503" s="42"/>
      <c r="Z503" s="42"/>
    </row>
    <row r="504">
      <c r="A504" s="133"/>
      <c r="B504" s="134"/>
      <c r="C504" s="63"/>
      <c r="D504" s="63"/>
      <c r="E504" s="135"/>
      <c r="F504" s="42"/>
      <c r="G504" s="42"/>
      <c r="H504" s="42"/>
      <c r="I504" s="42"/>
      <c r="J504" s="42"/>
      <c r="K504" s="42"/>
      <c r="L504" s="42"/>
      <c r="M504" s="42"/>
      <c r="N504" s="42"/>
      <c r="O504" s="42"/>
      <c r="P504" s="42"/>
      <c r="Q504" s="42"/>
      <c r="R504" s="42"/>
      <c r="S504" s="42"/>
      <c r="T504" s="42"/>
      <c r="U504" s="42"/>
      <c r="V504" s="42"/>
      <c r="W504" s="42"/>
      <c r="X504" s="42"/>
      <c r="Y504" s="42"/>
      <c r="Z504" s="42"/>
    </row>
    <row r="505">
      <c r="A505" s="133"/>
      <c r="B505" s="134"/>
      <c r="C505" s="63"/>
      <c r="D505" s="63"/>
      <c r="E505" s="135"/>
      <c r="F505" s="42"/>
      <c r="G505" s="42"/>
      <c r="H505" s="42"/>
      <c r="I505" s="42"/>
      <c r="J505" s="42"/>
      <c r="K505" s="42"/>
      <c r="L505" s="42"/>
      <c r="M505" s="42"/>
      <c r="N505" s="42"/>
      <c r="O505" s="42"/>
      <c r="P505" s="42"/>
      <c r="Q505" s="42"/>
      <c r="R505" s="42"/>
      <c r="S505" s="42"/>
      <c r="T505" s="42"/>
      <c r="U505" s="42"/>
      <c r="V505" s="42"/>
      <c r="W505" s="42"/>
      <c r="X505" s="42"/>
      <c r="Y505" s="42"/>
      <c r="Z505" s="42"/>
    </row>
    <row r="506">
      <c r="A506" s="133"/>
      <c r="B506" s="134"/>
      <c r="C506" s="63"/>
      <c r="D506" s="63"/>
      <c r="E506" s="135"/>
      <c r="F506" s="42"/>
      <c r="G506" s="42"/>
      <c r="H506" s="42"/>
      <c r="I506" s="42"/>
      <c r="J506" s="42"/>
      <c r="K506" s="42"/>
      <c r="L506" s="42"/>
      <c r="M506" s="42"/>
      <c r="N506" s="42"/>
      <c r="O506" s="42"/>
      <c r="P506" s="42"/>
      <c r="Q506" s="42"/>
      <c r="R506" s="42"/>
      <c r="S506" s="42"/>
      <c r="T506" s="42"/>
      <c r="U506" s="42"/>
      <c r="V506" s="42"/>
      <c r="W506" s="42"/>
      <c r="X506" s="42"/>
      <c r="Y506" s="42"/>
      <c r="Z506" s="42"/>
    </row>
    <row r="507">
      <c r="A507" s="133"/>
      <c r="B507" s="134"/>
      <c r="C507" s="63"/>
      <c r="D507" s="63"/>
      <c r="E507" s="135"/>
      <c r="F507" s="42"/>
      <c r="G507" s="42"/>
      <c r="H507" s="42"/>
      <c r="I507" s="42"/>
      <c r="J507" s="42"/>
      <c r="K507" s="42"/>
      <c r="L507" s="42"/>
      <c r="M507" s="42"/>
      <c r="N507" s="42"/>
      <c r="O507" s="42"/>
      <c r="P507" s="42"/>
      <c r="Q507" s="42"/>
      <c r="R507" s="42"/>
      <c r="S507" s="42"/>
      <c r="T507" s="42"/>
      <c r="U507" s="42"/>
      <c r="V507" s="42"/>
      <c r="W507" s="42"/>
      <c r="X507" s="42"/>
      <c r="Y507" s="42"/>
      <c r="Z507" s="42"/>
    </row>
    <row r="508">
      <c r="A508" s="133"/>
      <c r="B508" s="134"/>
      <c r="C508" s="63"/>
      <c r="D508" s="63"/>
      <c r="E508" s="135"/>
      <c r="F508" s="42"/>
      <c r="G508" s="42"/>
      <c r="H508" s="42"/>
      <c r="I508" s="42"/>
      <c r="J508" s="42"/>
      <c r="K508" s="42"/>
      <c r="L508" s="42"/>
      <c r="M508" s="42"/>
      <c r="N508" s="42"/>
      <c r="O508" s="42"/>
      <c r="P508" s="42"/>
      <c r="Q508" s="42"/>
      <c r="R508" s="42"/>
      <c r="S508" s="42"/>
      <c r="T508" s="42"/>
      <c r="U508" s="42"/>
      <c r="V508" s="42"/>
      <c r="W508" s="42"/>
      <c r="X508" s="42"/>
      <c r="Y508" s="42"/>
      <c r="Z508" s="42"/>
    </row>
    <row r="509">
      <c r="A509" s="133"/>
      <c r="B509" s="134"/>
      <c r="C509" s="63"/>
      <c r="D509" s="63"/>
      <c r="E509" s="135"/>
      <c r="F509" s="42"/>
      <c r="G509" s="42"/>
      <c r="H509" s="42"/>
      <c r="I509" s="42"/>
      <c r="J509" s="42"/>
      <c r="K509" s="42"/>
      <c r="L509" s="42"/>
      <c r="M509" s="42"/>
      <c r="N509" s="42"/>
      <c r="O509" s="42"/>
      <c r="P509" s="42"/>
      <c r="Q509" s="42"/>
      <c r="R509" s="42"/>
      <c r="S509" s="42"/>
      <c r="T509" s="42"/>
      <c r="U509" s="42"/>
      <c r="V509" s="42"/>
      <c r="W509" s="42"/>
      <c r="X509" s="42"/>
      <c r="Y509" s="42"/>
      <c r="Z509" s="42"/>
    </row>
    <row r="510">
      <c r="A510" s="133"/>
      <c r="B510" s="134"/>
      <c r="C510" s="63"/>
      <c r="D510" s="63"/>
      <c r="E510" s="135"/>
      <c r="F510" s="42"/>
      <c r="G510" s="42"/>
      <c r="H510" s="42"/>
      <c r="I510" s="42"/>
      <c r="J510" s="42"/>
      <c r="K510" s="42"/>
      <c r="L510" s="42"/>
      <c r="M510" s="42"/>
      <c r="N510" s="42"/>
      <c r="O510" s="42"/>
      <c r="P510" s="42"/>
      <c r="Q510" s="42"/>
      <c r="R510" s="42"/>
      <c r="S510" s="42"/>
      <c r="T510" s="42"/>
      <c r="U510" s="42"/>
      <c r="V510" s="42"/>
      <c r="W510" s="42"/>
      <c r="X510" s="42"/>
      <c r="Y510" s="42"/>
      <c r="Z510" s="42"/>
    </row>
    <row r="511">
      <c r="A511" s="133"/>
      <c r="B511" s="134"/>
      <c r="C511" s="63"/>
      <c r="D511" s="63"/>
      <c r="E511" s="135"/>
      <c r="F511" s="42"/>
      <c r="G511" s="42"/>
      <c r="H511" s="42"/>
      <c r="I511" s="42"/>
      <c r="J511" s="42"/>
      <c r="K511" s="42"/>
      <c r="L511" s="42"/>
      <c r="M511" s="42"/>
      <c r="N511" s="42"/>
      <c r="O511" s="42"/>
      <c r="P511" s="42"/>
      <c r="Q511" s="42"/>
      <c r="R511" s="42"/>
      <c r="S511" s="42"/>
      <c r="T511" s="42"/>
      <c r="U511" s="42"/>
      <c r="V511" s="42"/>
      <c r="W511" s="42"/>
      <c r="X511" s="42"/>
      <c r="Y511" s="42"/>
      <c r="Z511" s="42"/>
    </row>
    <row r="512">
      <c r="A512" s="133"/>
      <c r="B512" s="134"/>
      <c r="C512" s="63"/>
      <c r="D512" s="63"/>
      <c r="E512" s="135"/>
      <c r="F512" s="42"/>
      <c r="G512" s="42"/>
      <c r="H512" s="42"/>
      <c r="I512" s="42"/>
      <c r="J512" s="42"/>
      <c r="K512" s="42"/>
      <c r="L512" s="42"/>
      <c r="M512" s="42"/>
      <c r="N512" s="42"/>
      <c r="O512" s="42"/>
      <c r="P512" s="42"/>
      <c r="Q512" s="42"/>
      <c r="R512" s="42"/>
      <c r="S512" s="42"/>
      <c r="T512" s="42"/>
      <c r="U512" s="42"/>
      <c r="V512" s="42"/>
      <c r="W512" s="42"/>
      <c r="X512" s="42"/>
      <c r="Y512" s="42"/>
      <c r="Z512" s="42"/>
    </row>
    <row r="513">
      <c r="A513" s="133"/>
      <c r="B513" s="134"/>
      <c r="C513" s="63"/>
      <c r="D513" s="63"/>
      <c r="E513" s="135"/>
      <c r="F513" s="42"/>
      <c r="G513" s="42"/>
      <c r="H513" s="42"/>
      <c r="I513" s="42"/>
      <c r="J513" s="42"/>
      <c r="K513" s="42"/>
      <c r="L513" s="42"/>
      <c r="M513" s="42"/>
      <c r="N513" s="42"/>
      <c r="O513" s="42"/>
      <c r="P513" s="42"/>
      <c r="Q513" s="42"/>
      <c r="R513" s="42"/>
      <c r="S513" s="42"/>
      <c r="T513" s="42"/>
      <c r="U513" s="42"/>
      <c r="V513" s="42"/>
      <c r="W513" s="42"/>
      <c r="X513" s="42"/>
      <c r="Y513" s="42"/>
      <c r="Z513" s="42"/>
    </row>
    <row r="514">
      <c r="A514" s="133"/>
      <c r="B514" s="134"/>
      <c r="C514" s="63"/>
      <c r="D514" s="63"/>
      <c r="E514" s="135"/>
      <c r="F514" s="42"/>
      <c r="G514" s="42"/>
      <c r="H514" s="42"/>
      <c r="I514" s="42"/>
      <c r="J514" s="42"/>
      <c r="K514" s="42"/>
      <c r="L514" s="42"/>
      <c r="M514" s="42"/>
      <c r="N514" s="42"/>
      <c r="O514" s="42"/>
      <c r="P514" s="42"/>
      <c r="Q514" s="42"/>
      <c r="R514" s="42"/>
      <c r="S514" s="42"/>
      <c r="T514" s="42"/>
      <c r="U514" s="42"/>
      <c r="V514" s="42"/>
      <c r="W514" s="42"/>
      <c r="X514" s="42"/>
      <c r="Y514" s="42"/>
      <c r="Z514" s="42"/>
    </row>
    <row r="515">
      <c r="A515" s="133"/>
      <c r="B515" s="134"/>
      <c r="C515" s="63"/>
      <c r="D515" s="63"/>
      <c r="E515" s="135"/>
      <c r="F515" s="42"/>
      <c r="G515" s="42"/>
      <c r="H515" s="42"/>
      <c r="I515" s="42"/>
      <c r="J515" s="42"/>
      <c r="K515" s="42"/>
      <c r="L515" s="42"/>
      <c r="M515" s="42"/>
      <c r="N515" s="42"/>
      <c r="O515" s="42"/>
      <c r="P515" s="42"/>
      <c r="Q515" s="42"/>
      <c r="R515" s="42"/>
      <c r="S515" s="42"/>
      <c r="T515" s="42"/>
      <c r="U515" s="42"/>
      <c r="V515" s="42"/>
      <c r="W515" s="42"/>
      <c r="X515" s="42"/>
      <c r="Y515" s="42"/>
      <c r="Z515" s="42"/>
    </row>
    <row r="516">
      <c r="A516" s="133"/>
      <c r="B516" s="134"/>
      <c r="C516" s="63"/>
      <c r="D516" s="63"/>
      <c r="E516" s="135"/>
      <c r="F516" s="42"/>
      <c r="G516" s="42"/>
      <c r="H516" s="42"/>
      <c r="I516" s="42"/>
      <c r="J516" s="42"/>
      <c r="K516" s="42"/>
      <c r="L516" s="42"/>
      <c r="M516" s="42"/>
      <c r="N516" s="42"/>
      <c r="O516" s="42"/>
      <c r="P516" s="42"/>
      <c r="Q516" s="42"/>
      <c r="R516" s="42"/>
      <c r="S516" s="42"/>
      <c r="T516" s="42"/>
      <c r="U516" s="42"/>
      <c r="V516" s="42"/>
      <c r="W516" s="42"/>
      <c r="X516" s="42"/>
      <c r="Y516" s="42"/>
      <c r="Z516" s="42"/>
    </row>
    <row r="517">
      <c r="A517" s="133"/>
      <c r="B517" s="134"/>
      <c r="C517" s="63"/>
      <c r="D517" s="63"/>
      <c r="E517" s="135"/>
      <c r="F517" s="42"/>
      <c r="G517" s="42"/>
      <c r="H517" s="42"/>
      <c r="I517" s="42"/>
      <c r="J517" s="42"/>
      <c r="K517" s="42"/>
      <c r="L517" s="42"/>
      <c r="M517" s="42"/>
      <c r="N517" s="42"/>
      <c r="O517" s="42"/>
      <c r="P517" s="42"/>
      <c r="Q517" s="42"/>
      <c r="R517" s="42"/>
      <c r="S517" s="42"/>
      <c r="T517" s="42"/>
      <c r="U517" s="42"/>
      <c r="V517" s="42"/>
      <c r="W517" s="42"/>
      <c r="X517" s="42"/>
      <c r="Y517" s="42"/>
      <c r="Z517" s="42"/>
    </row>
    <row r="518">
      <c r="A518" s="133"/>
      <c r="B518" s="134"/>
      <c r="C518" s="63"/>
      <c r="D518" s="63"/>
      <c r="E518" s="135"/>
      <c r="F518" s="42"/>
      <c r="G518" s="42"/>
      <c r="H518" s="42"/>
      <c r="I518" s="42"/>
      <c r="J518" s="42"/>
      <c r="K518" s="42"/>
      <c r="L518" s="42"/>
      <c r="M518" s="42"/>
      <c r="N518" s="42"/>
      <c r="O518" s="42"/>
      <c r="P518" s="42"/>
      <c r="Q518" s="42"/>
      <c r="R518" s="42"/>
      <c r="S518" s="42"/>
      <c r="T518" s="42"/>
      <c r="U518" s="42"/>
      <c r="V518" s="42"/>
      <c r="W518" s="42"/>
      <c r="X518" s="42"/>
      <c r="Y518" s="42"/>
      <c r="Z518" s="42"/>
    </row>
    <row r="519">
      <c r="A519" s="133"/>
      <c r="B519" s="134"/>
      <c r="C519" s="63"/>
      <c r="D519" s="63"/>
      <c r="E519" s="135"/>
      <c r="F519" s="42"/>
      <c r="G519" s="42"/>
      <c r="H519" s="42"/>
      <c r="I519" s="42"/>
      <c r="J519" s="42"/>
      <c r="K519" s="42"/>
      <c r="L519" s="42"/>
      <c r="M519" s="42"/>
      <c r="N519" s="42"/>
      <c r="O519" s="42"/>
      <c r="P519" s="42"/>
      <c r="Q519" s="42"/>
      <c r="R519" s="42"/>
      <c r="S519" s="42"/>
      <c r="T519" s="42"/>
      <c r="U519" s="42"/>
      <c r="V519" s="42"/>
      <c r="W519" s="42"/>
      <c r="X519" s="42"/>
      <c r="Y519" s="42"/>
      <c r="Z519" s="42"/>
    </row>
    <row r="520">
      <c r="A520" s="133"/>
      <c r="B520" s="134"/>
      <c r="C520" s="63"/>
      <c r="D520" s="63"/>
      <c r="E520" s="135"/>
      <c r="F520" s="42"/>
      <c r="G520" s="42"/>
      <c r="H520" s="42"/>
      <c r="I520" s="42"/>
      <c r="J520" s="42"/>
      <c r="K520" s="42"/>
      <c r="L520" s="42"/>
      <c r="M520" s="42"/>
      <c r="N520" s="42"/>
      <c r="O520" s="42"/>
      <c r="P520" s="42"/>
      <c r="Q520" s="42"/>
      <c r="R520" s="42"/>
      <c r="S520" s="42"/>
      <c r="T520" s="42"/>
      <c r="U520" s="42"/>
      <c r="V520" s="42"/>
      <c r="W520" s="42"/>
      <c r="X520" s="42"/>
      <c r="Y520" s="42"/>
      <c r="Z520" s="42"/>
    </row>
    <row r="521">
      <c r="A521" s="133"/>
      <c r="B521" s="134"/>
      <c r="C521" s="63"/>
      <c r="D521" s="63"/>
      <c r="E521" s="135"/>
      <c r="F521" s="42"/>
      <c r="G521" s="42"/>
      <c r="H521" s="42"/>
      <c r="I521" s="42"/>
      <c r="J521" s="42"/>
      <c r="K521" s="42"/>
      <c r="L521" s="42"/>
      <c r="M521" s="42"/>
      <c r="N521" s="42"/>
      <c r="O521" s="42"/>
      <c r="P521" s="42"/>
      <c r="Q521" s="42"/>
      <c r="R521" s="42"/>
      <c r="S521" s="42"/>
      <c r="T521" s="42"/>
      <c r="U521" s="42"/>
      <c r="V521" s="42"/>
      <c r="W521" s="42"/>
      <c r="X521" s="42"/>
      <c r="Y521" s="42"/>
      <c r="Z521" s="42"/>
    </row>
    <row r="522">
      <c r="A522" s="133"/>
      <c r="B522" s="134"/>
      <c r="C522" s="63"/>
      <c r="D522" s="63"/>
      <c r="E522" s="135"/>
      <c r="F522" s="42"/>
      <c r="G522" s="42"/>
      <c r="H522" s="42"/>
      <c r="I522" s="42"/>
      <c r="J522" s="42"/>
      <c r="K522" s="42"/>
      <c r="L522" s="42"/>
      <c r="M522" s="42"/>
      <c r="N522" s="42"/>
      <c r="O522" s="42"/>
      <c r="P522" s="42"/>
      <c r="Q522" s="42"/>
      <c r="R522" s="42"/>
      <c r="S522" s="42"/>
      <c r="T522" s="42"/>
      <c r="U522" s="42"/>
      <c r="V522" s="42"/>
      <c r="W522" s="42"/>
      <c r="X522" s="42"/>
      <c r="Y522" s="42"/>
      <c r="Z522" s="42"/>
    </row>
    <row r="523">
      <c r="A523" s="133"/>
      <c r="B523" s="134"/>
      <c r="C523" s="63"/>
      <c r="D523" s="63"/>
      <c r="E523" s="135"/>
      <c r="F523" s="42"/>
      <c r="G523" s="42"/>
      <c r="H523" s="42"/>
      <c r="I523" s="42"/>
      <c r="J523" s="42"/>
      <c r="K523" s="42"/>
      <c r="L523" s="42"/>
      <c r="M523" s="42"/>
      <c r="N523" s="42"/>
      <c r="O523" s="42"/>
      <c r="P523" s="42"/>
      <c r="Q523" s="42"/>
      <c r="R523" s="42"/>
      <c r="S523" s="42"/>
      <c r="T523" s="42"/>
      <c r="U523" s="42"/>
      <c r="V523" s="42"/>
      <c r="W523" s="42"/>
      <c r="X523" s="42"/>
      <c r="Y523" s="42"/>
      <c r="Z523" s="42"/>
    </row>
    <row r="524">
      <c r="A524" s="133"/>
      <c r="B524" s="134"/>
      <c r="C524" s="63"/>
      <c r="D524" s="63"/>
      <c r="E524" s="135"/>
      <c r="F524" s="42"/>
      <c r="G524" s="42"/>
      <c r="H524" s="42"/>
      <c r="I524" s="42"/>
      <c r="J524" s="42"/>
      <c r="K524" s="42"/>
      <c r="L524" s="42"/>
      <c r="M524" s="42"/>
      <c r="N524" s="42"/>
      <c r="O524" s="42"/>
      <c r="P524" s="42"/>
      <c r="Q524" s="42"/>
      <c r="R524" s="42"/>
      <c r="S524" s="42"/>
      <c r="T524" s="42"/>
      <c r="U524" s="42"/>
      <c r="V524" s="42"/>
      <c r="W524" s="42"/>
      <c r="X524" s="42"/>
      <c r="Y524" s="42"/>
      <c r="Z524" s="42"/>
    </row>
    <row r="525">
      <c r="A525" s="133"/>
      <c r="B525" s="134"/>
      <c r="C525" s="63"/>
      <c r="D525" s="63"/>
      <c r="E525" s="135"/>
      <c r="F525" s="42"/>
      <c r="G525" s="42"/>
      <c r="H525" s="42"/>
      <c r="I525" s="42"/>
      <c r="J525" s="42"/>
      <c r="K525" s="42"/>
      <c r="L525" s="42"/>
      <c r="M525" s="42"/>
      <c r="N525" s="42"/>
      <c r="O525" s="42"/>
      <c r="P525" s="42"/>
      <c r="Q525" s="42"/>
      <c r="R525" s="42"/>
      <c r="S525" s="42"/>
      <c r="T525" s="42"/>
      <c r="U525" s="42"/>
      <c r="V525" s="42"/>
      <c r="W525" s="42"/>
      <c r="X525" s="42"/>
      <c r="Y525" s="42"/>
      <c r="Z525" s="42"/>
    </row>
    <row r="526">
      <c r="A526" s="133"/>
      <c r="B526" s="134"/>
      <c r="C526" s="63"/>
      <c r="D526" s="63"/>
      <c r="E526" s="135"/>
      <c r="F526" s="42"/>
      <c r="G526" s="42"/>
      <c r="H526" s="42"/>
      <c r="I526" s="42"/>
      <c r="J526" s="42"/>
      <c r="K526" s="42"/>
      <c r="L526" s="42"/>
      <c r="M526" s="42"/>
      <c r="N526" s="42"/>
      <c r="O526" s="42"/>
      <c r="P526" s="42"/>
      <c r="Q526" s="42"/>
      <c r="R526" s="42"/>
      <c r="S526" s="42"/>
      <c r="T526" s="42"/>
      <c r="U526" s="42"/>
      <c r="V526" s="42"/>
      <c r="W526" s="42"/>
      <c r="X526" s="42"/>
      <c r="Y526" s="42"/>
      <c r="Z526" s="42"/>
    </row>
    <row r="527">
      <c r="A527" s="133"/>
      <c r="B527" s="134"/>
      <c r="C527" s="63"/>
      <c r="D527" s="63"/>
      <c r="E527" s="135"/>
      <c r="F527" s="42"/>
      <c r="G527" s="42"/>
      <c r="H527" s="42"/>
      <c r="I527" s="42"/>
      <c r="J527" s="42"/>
      <c r="K527" s="42"/>
      <c r="L527" s="42"/>
      <c r="M527" s="42"/>
      <c r="N527" s="42"/>
      <c r="O527" s="42"/>
      <c r="P527" s="42"/>
      <c r="Q527" s="42"/>
      <c r="R527" s="42"/>
      <c r="S527" s="42"/>
      <c r="T527" s="42"/>
      <c r="U527" s="42"/>
      <c r="V527" s="42"/>
      <c r="W527" s="42"/>
      <c r="X527" s="42"/>
      <c r="Y527" s="42"/>
      <c r="Z527" s="42"/>
    </row>
    <row r="528">
      <c r="A528" s="133"/>
      <c r="B528" s="134"/>
      <c r="C528" s="63"/>
      <c r="D528" s="63"/>
      <c r="E528" s="135"/>
      <c r="F528" s="42"/>
      <c r="G528" s="42"/>
      <c r="H528" s="42"/>
      <c r="I528" s="42"/>
      <c r="J528" s="42"/>
      <c r="K528" s="42"/>
      <c r="L528" s="42"/>
      <c r="M528" s="42"/>
      <c r="N528" s="42"/>
      <c r="O528" s="42"/>
      <c r="P528" s="42"/>
      <c r="Q528" s="42"/>
      <c r="R528" s="42"/>
      <c r="S528" s="42"/>
      <c r="T528" s="42"/>
      <c r="U528" s="42"/>
      <c r="V528" s="42"/>
      <c r="W528" s="42"/>
      <c r="X528" s="42"/>
      <c r="Y528" s="42"/>
      <c r="Z528" s="42"/>
    </row>
    <row r="529">
      <c r="A529" s="133"/>
      <c r="B529" s="134"/>
      <c r="C529" s="63"/>
      <c r="D529" s="63"/>
      <c r="E529" s="135"/>
      <c r="F529" s="42"/>
      <c r="G529" s="42"/>
      <c r="H529" s="42"/>
      <c r="I529" s="42"/>
      <c r="J529" s="42"/>
      <c r="K529" s="42"/>
      <c r="L529" s="42"/>
      <c r="M529" s="42"/>
      <c r="N529" s="42"/>
      <c r="O529" s="42"/>
      <c r="P529" s="42"/>
      <c r="Q529" s="42"/>
      <c r="R529" s="42"/>
      <c r="S529" s="42"/>
      <c r="T529" s="42"/>
      <c r="U529" s="42"/>
      <c r="V529" s="42"/>
      <c r="W529" s="42"/>
      <c r="X529" s="42"/>
      <c r="Y529" s="42"/>
      <c r="Z529" s="42"/>
    </row>
    <row r="530">
      <c r="A530" s="133"/>
      <c r="B530" s="134"/>
      <c r="C530" s="63"/>
      <c r="D530" s="63"/>
      <c r="E530" s="135"/>
      <c r="F530" s="42"/>
      <c r="G530" s="42"/>
      <c r="H530" s="42"/>
      <c r="I530" s="42"/>
      <c r="J530" s="42"/>
      <c r="K530" s="42"/>
      <c r="L530" s="42"/>
      <c r="M530" s="42"/>
      <c r="N530" s="42"/>
      <c r="O530" s="42"/>
      <c r="P530" s="42"/>
      <c r="Q530" s="42"/>
      <c r="R530" s="42"/>
      <c r="S530" s="42"/>
      <c r="T530" s="42"/>
      <c r="U530" s="42"/>
      <c r="V530" s="42"/>
      <c r="W530" s="42"/>
      <c r="X530" s="42"/>
      <c r="Y530" s="42"/>
      <c r="Z530" s="42"/>
    </row>
    <row r="531">
      <c r="A531" s="133"/>
      <c r="B531" s="134"/>
      <c r="C531" s="63"/>
      <c r="D531" s="63"/>
      <c r="E531" s="135"/>
      <c r="F531" s="42"/>
      <c r="G531" s="42"/>
      <c r="H531" s="42"/>
      <c r="I531" s="42"/>
      <c r="J531" s="42"/>
      <c r="K531" s="42"/>
      <c r="L531" s="42"/>
      <c r="M531" s="42"/>
      <c r="N531" s="42"/>
      <c r="O531" s="42"/>
      <c r="P531" s="42"/>
      <c r="Q531" s="42"/>
      <c r="R531" s="42"/>
      <c r="S531" s="42"/>
      <c r="T531" s="42"/>
      <c r="U531" s="42"/>
      <c r="V531" s="42"/>
      <c r="W531" s="42"/>
      <c r="X531" s="42"/>
      <c r="Y531" s="42"/>
      <c r="Z531" s="42"/>
    </row>
    <row r="532">
      <c r="A532" s="133"/>
      <c r="B532" s="134"/>
      <c r="C532" s="63"/>
      <c r="D532" s="63"/>
      <c r="E532" s="135"/>
      <c r="F532" s="42"/>
      <c r="G532" s="42"/>
      <c r="H532" s="42"/>
      <c r="I532" s="42"/>
      <c r="J532" s="42"/>
      <c r="K532" s="42"/>
      <c r="L532" s="42"/>
      <c r="M532" s="42"/>
      <c r="N532" s="42"/>
      <c r="O532" s="42"/>
      <c r="P532" s="42"/>
      <c r="Q532" s="42"/>
      <c r="R532" s="42"/>
      <c r="S532" s="42"/>
      <c r="T532" s="42"/>
      <c r="U532" s="42"/>
      <c r="V532" s="42"/>
      <c r="W532" s="42"/>
      <c r="X532" s="42"/>
      <c r="Y532" s="42"/>
      <c r="Z532" s="42"/>
    </row>
    <row r="533">
      <c r="A533" s="133"/>
      <c r="B533" s="134"/>
      <c r="C533" s="63"/>
      <c r="D533" s="63"/>
      <c r="E533" s="135"/>
      <c r="F533" s="42"/>
      <c r="G533" s="42"/>
      <c r="H533" s="42"/>
      <c r="I533" s="42"/>
      <c r="J533" s="42"/>
      <c r="K533" s="42"/>
      <c r="L533" s="42"/>
      <c r="M533" s="42"/>
      <c r="N533" s="42"/>
      <c r="O533" s="42"/>
      <c r="P533" s="42"/>
      <c r="Q533" s="42"/>
      <c r="R533" s="42"/>
      <c r="S533" s="42"/>
      <c r="T533" s="42"/>
      <c r="U533" s="42"/>
      <c r="V533" s="42"/>
      <c r="W533" s="42"/>
      <c r="X533" s="42"/>
      <c r="Y533" s="42"/>
      <c r="Z533" s="42"/>
    </row>
    <row r="534">
      <c r="A534" s="133"/>
      <c r="B534" s="134"/>
      <c r="C534" s="63"/>
      <c r="D534" s="63"/>
      <c r="E534" s="135"/>
      <c r="F534" s="42"/>
      <c r="G534" s="42"/>
      <c r="H534" s="42"/>
      <c r="I534" s="42"/>
      <c r="J534" s="42"/>
      <c r="K534" s="42"/>
      <c r="L534" s="42"/>
      <c r="M534" s="42"/>
      <c r="N534" s="42"/>
      <c r="O534" s="42"/>
      <c r="P534" s="42"/>
      <c r="Q534" s="42"/>
      <c r="R534" s="42"/>
      <c r="S534" s="42"/>
      <c r="T534" s="42"/>
      <c r="U534" s="42"/>
      <c r="V534" s="42"/>
      <c r="W534" s="42"/>
      <c r="X534" s="42"/>
      <c r="Y534" s="42"/>
      <c r="Z534" s="42"/>
    </row>
    <row r="535">
      <c r="A535" s="133"/>
      <c r="B535" s="134"/>
      <c r="C535" s="63"/>
      <c r="D535" s="63"/>
      <c r="E535" s="135"/>
      <c r="F535" s="42"/>
      <c r="G535" s="42"/>
      <c r="H535" s="42"/>
      <c r="I535" s="42"/>
      <c r="J535" s="42"/>
      <c r="K535" s="42"/>
      <c r="L535" s="42"/>
      <c r="M535" s="42"/>
      <c r="N535" s="42"/>
      <c r="O535" s="42"/>
      <c r="P535" s="42"/>
      <c r="Q535" s="42"/>
      <c r="R535" s="42"/>
      <c r="S535" s="42"/>
      <c r="T535" s="42"/>
      <c r="U535" s="42"/>
      <c r="V535" s="42"/>
      <c r="W535" s="42"/>
      <c r="X535" s="42"/>
      <c r="Y535" s="42"/>
      <c r="Z535" s="42"/>
    </row>
    <row r="536">
      <c r="A536" s="133"/>
      <c r="B536" s="134"/>
      <c r="C536" s="63"/>
      <c r="D536" s="63"/>
      <c r="E536" s="135"/>
      <c r="F536" s="42"/>
      <c r="G536" s="42"/>
      <c r="H536" s="42"/>
      <c r="I536" s="42"/>
      <c r="J536" s="42"/>
      <c r="K536" s="42"/>
      <c r="L536" s="42"/>
      <c r="M536" s="42"/>
      <c r="N536" s="42"/>
      <c r="O536" s="42"/>
      <c r="P536" s="42"/>
      <c r="Q536" s="42"/>
      <c r="R536" s="42"/>
      <c r="S536" s="42"/>
      <c r="T536" s="42"/>
      <c r="U536" s="42"/>
      <c r="V536" s="42"/>
      <c r="W536" s="42"/>
      <c r="X536" s="42"/>
      <c r="Y536" s="42"/>
      <c r="Z536" s="42"/>
    </row>
    <row r="537">
      <c r="A537" s="133"/>
      <c r="B537" s="134"/>
      <c r="C537" s="63"/>
      <c r="D537" s="63"/>
      <c r="E537" s="135"/>
      <c r="F537" s="42"/>
      <c r="G537" s="42"/>
      <c r="H537" s="42"/>
      <c r="I537" s="42"/>
      <c r="J537" s="42"/>
      <c r="K537" s="42"/>
      <c r="L537" s="42"/>
      <c r="M537" s="42"/>
      <c r="N537" s="42"/>
      <c r="O537" s="42"/>
      <c r="P537" s="42"/>
      <c r="Q537" s="42"/>
      <c r="R537" s="42"/>
      <c r="S537" s="42"/>
      <c r="T537" s="42"/>
      <c r="U537" s="42"/>
      <c r="V537" s="42"/>
      <c r="W537" s="42"/>
      <c r="X537" s="42"/>
      <c r="Y537" s="42"/>
      <c r="Z537" s="42"/>
    </row>
    <row r="538">
      <c r="A538" s="133"/>
      <c r="B538" s="134"/>
      <c r="C538" s="63"/>
      <c r="D538" s="63"/>
      <c r="E538" s="135"/>
      <c r="F538" s="42"/>
      <c r="G538" s="42"/>
      <c r="H538" s="42"/>
      <c r="I538" s="42"/>
      <c r="J538" s="42"/>
      <c r="K538" s="42"/>
      <c r="L538" s="42"/>
      <c r="M538" s="42"/>
      <c r="N538" s="42"/>
      <c r="O538" s="42"/>
      <c r="P538" s="42"/>
      <c r="Q538" s="42"/>
      <c r="R538" s="42"/>
      <c r="S538" s="42"/>
      <c r="T538" s="42"/>
      <c r="U538" s="42"/>
      <c r="V538" s="42"/>
      <c r="W538" s="42"/>
      <c r="X538" s="42"/>
      <c r="Y538" s="42"/>
      <c r="Z538" s="42"/>
    </row>
    <row r="539">
      <c r="A539" s="133"/>
      <c r="B539" s="134"/>
      <c r="C539" s="63"/>
      <c r="D539" s="63"/>
      <c r="E539" s="135"/>
      <c r="F539" s="42"/>
      <c r="G539" s="42"/>
      <c r="H539" s="42"/>
      <c r="I539" s="42"/>
      <c r="J539" s="42"/>
      <c r="K539" s="42"/>
      <c r="L539" s="42"/>
      <c r="M539" s="42"/>
      <c r="N539" s="42"/>
      <c r="O539" s="42"/>
      <c r="P539" s="42"/>
      <c r="Q539" s="42"/>
      <c r="R539" s="42"/>
      <c r="S539" s="42"/>
      <c r="T539" s="42"/>
      <c r="U539" s="42"/>
      <c r="V539" s="42"/>
      <c r="W539" s="42"/>
      <c r="X539" s="42"/>
      <c r="Y539" s="42"/>
      <c r="Z539" s="42"/>
    </row>
    <row r="540">
      <c r="A540" s="133"/>
      <c r="B540" s="134"/>
      <c r="C540" s="63"/>
      <c r="D540" s="63"/>
      <c r="E540" s="135"/>
      <c r="F540" s="42"/>
      <c r="G540" s="42"/>
      <c r="H540" s="42"/>
      <c r="I540" s="42"/>
      <c r="J540" s="42"/>
      <c r="K540" s="42"/>
      <c r="L540" s="42"/>
      <c r="M540" s="42"/>
      <c r="N540" s="42"/>
      <c r="O540" s="42"/>
      <c r="P540" s="42"/>
      <c r="Q540" s="42"/>
      <c r="R540" s="42"/>
      <c r="S540" s="42"/>
      <c r="T540" s="42"/>
      <c r="U540" s="42"/>
      <c r="V540" s="42"/>
      <c r="W540" s="42"/>
      <c r="X540" s="42"/>
      <c r="Y540" s="42"/>
      <c r="Z540" s="42"/>
    </row>
    <row r="541">
      <c r="A541" s="133"/>
      <c r="B541" s="134"/>
      <c r="C541" s="63"/>
      <c r="D541" s="63"/>
      <c r="E541" s="135"/>
      <c r="F541" s="42"/>
      <c r="G541" s="42"/>
      <c r="H541" s="42"/>
      <c r="I541" s="42"/>
      <c r="J541" s="42"/>
      <c r="K541" s="42"/>
      <c r="L541" s="42"/>
      <c r="M541" s="42"/>
      <c r="N541" s="42"/>
      <c r="O541" s="42"/>
      <c r="P541" s="42"/>
      <c r="Q541" s="42"/>
      <c r="R541" s="42"/>
      <c r="S541" s="42"/>
      <c r="T541" s="42"/>
      <c r="U541" s="42"/>
      <c r="V541" s="42"/>
      <c r="W541" s="42"/>
      <c r="X541" s="42"/>
      <c r="Y541" s="42"/>
      <c r="Z541" s="42"/>
    </row>
    <row r="542">
      <c r="A542" s="133"/>
      <c r="B542" s="134"/>
      <c r="C542" s="63"/>
      <c r="D542" s="63"/>
      <c r="E542" s="135"/>
      <c r="F542" s="42"/>
      <c r="G542" s="42"/>
      <c r="H542" s="42"/>
      <c r="I542" s="42"/>
      <c r="J542" s="42"/>
      <c r="K542" s="42"/>
      <c r="L542" s="42"/>
      <c r="M542" s="42"/>
      <c r="N542" s="42"/>
      <c r="O542" s="42"/>
      <c r="P542" s="42"/>
      <c r="Q542" s="42"/>
      <c r="R542" s="42"/>
      <c r="S542" s="42"/>
      <c r="T542" s="42"/>
      <c r="U542" s="42"/>
      <c r="V542" s="42"/>
      <c r="W542" s="42"/>
      <c r="X542" s="42"/>
      <c r="Y542" s="42"/>
      <c r="Z542" s="42"/>
    </row>
    <row r="543">
      <c r="A543" s="133"/>
      <c r="B543" s="134"/>
      <c r="C543" s="63"/>
      <c r="D543" s="63"/>
      <c r="E543" s="135"/>
      <c r="F543" s="42"/>
      <c r="G543" s="42"/>
      <c r="H543" s="42"/>
      <c r="I543" s="42"/>
      <c r="J543" s="42"/>
      <c r="K543" s="42"/>
      <c r="L543" s="42"/>
      <c r="M543" s="42"/>
      <c r="N543" s="42"/>
      <c r="O543" s="42"/>
      <c r="P543" s="42"/>
      <c r="Q543" s="42"/>
      <c r="R543" s="42"/>
      <c r="S543" s="42"/>
      <c r="T543" s="42"/>
      <c r="U543" s="42"/>
      <c r="V543" s="42"/>
      <c r="W543" s="42"/>
      <c r="X543" s="42"/>
      <c r="Y543" s="42"/>
      <c r="Z543" s="42"/>
    </row>
    <row r="544">
      <c r="A544" s="133"/>
      <c r="B544" s="134"/>
      <c r="C544" s="63"/>
      <c r="D544" s="63"/>
      <c r="E544" s="135"/>
      <c r="F544" s="42"/>
      <c r="G544" s="42"/>
      <c r="H544" s="42"/>
      <c r="I544" s="42"/>
      <c r="J544" s="42"/>
      <c r="K544" s="42"/>
      <c r="L544" s="42"/>
      <c r="M544" s="42"/>
      <c r="N544" s="42"/>
      <c r="O544" s="42"/>
      <c r="P544" s="42"/>
      <c r="Q544" s="42"/>
      <c r="R544" s="42"/>
      <c r="S544" s="42"/>
      <c r="T544" s="42"/>
      <c r="U544" s="42"/>
      <c r="V544" s="42"/>
      <c r="W544" s="42"/>
      <c r="X544" s="42"/>
      <c r="Y544" s="42"/>
      <c r="Z544" s="42"/>
    </row>
    <row r="545">
      <c r="A545" s="133"/>
      <c r="B545" s="134"/>
      <c r="C545" s="63"/>
      <c r="D545" s="63"/>
      <c r="E545" s="135"/>
      <c r="F545" s="42"/>
      <c r="G545" s="42"/>
      <c r="H545" s="42"/>
      <c r="I545" s="42"/>
      <c r="J545" s="42"/>
      <c r="K545" s="42"/>
      <c r="L545" s="42"/>
      <c r="M545" s="42"/>
      <c r="N545" s="42"/>
      <c r="O545" s="42"/>
      <c r="P545" s="42"/>
      <c r="Q545" s="42"/>
      <c r="R545" s="42"/>
      <c r="S545" s="42"/>
      <c r="T545" s="42"/>
      <c r="U545" s="42"/>
      <c r="V545" s="42"/>
      <c r="W545" s="42"/>
      <c r="X545" s="42"/>
      <c r="Y545" s="42"/>
      <c r="Z545" s="42"/>
    </row>
    <row r="546">
      <c r="A546" s="133"/>
      <c r="B546" s="134"/>
      <c r="C546" s="63"/>
      <c r="D546" s="63"/>
      <c r="E546" s="135"/>
      <c r="F546" s="42"/>
      <c r="G546" s="42"/>
      <c r="H546" s="42"/>
      <c r="I546" s="42"/>
      <c r="J546" s="42"/>
      <c r="K546" s="42"/>
      <c r="L546" s="42"/>
      <c r="M546" s="42"/>
      <c r="N546" s="42"/>
      <c r="O546" s="42"/>
      <c r="P546" s="42"/>
      <c r="Q546" s="42"/>
      <c r="R546" s="42"/>
      <c r="S546" s="42"/>
      <c r="T546" s="42"/>
      <c r="U546" s="42"/>
      <c r="V546" s="42"/>
      <c r="W546" s="42"/>
      <c r="X546" s="42"/>
      <c r="Y546" s="42"/>
      <c r="Z546" s="42"/>
    </row>
    <row r="547">
      <c r="A547" s="133"/>
      <c r="B547" s="134"/>
      <c r="C547" s="63"/>
      <c r="D547" s="63"/>
      <c r="E547" s="135"/>
      <c r="F547" s="42"/>
      <c r="G547" s="42"/>
      <c r="H547" s="42"/>
      <c r="I547" s="42"/>
      <c r="J547" s="42"/>
      <c r="K547" s="42"/>
      <c r="L547" s="42"/>
      <c r="M547" s="42"/>
      <c r="N547" s="42"/>
      <c r="O547" s="42"/>
      <c r="P547" s="42"/>
      <c r="Q547" s="42"/>
      <c r="R547" s="42"/>
      <c r="S547" s="42"/>
      <c r="T547" s="42"/>
      <c r="U547" s="42"/>
      <c r="V547" s="42"/>
      <c r="W547" s="42"/>
      <c r="X547" s="42"/>
      <c r="Y547" s="42"/>
      <c r="Z547" s="42"/>
    </row>
    <row r="548">
      <c r="A548" s="133"/>
      <c r="B548" s="134"/>
      <c r="C548" s="63"/>
      <c r="D548" s="63"/>
      <c r="E548" s="135"/>
      <c r="F548" s="42"/>
      <c r="G548" s="42"/>
      <c r="H548" s="42"/>
      <c r="I548" s="42"/>
      <c r="J548" s="42"/>
      <c r="K548" s="42"/>
      <c r="L548" s="42"/>
      <c r="M548" s="42"/>
      <c r="N548" s="42"/>
      <c r="O548" s="42"/>
      <c r="P548" s="42"/>
      <c r="Q548" s="42"/>
      <c r="R548" s="42"/>
      <c r="S548" s="42"/>
      <c r="T548" s="42"/>
      <c r="U548" s="42"/>
      <c r="V548" s="42"/>
      <c r="W548" s="42"/>
      <c r="X548" s="42"/>
      <c r="Y548" s="42"/>
      <c r="Z548" s="42"/>
    </row>
    <row r="549">
      <c r="A549" s="133"/>
      <c r="B549" s="134"/>
      <c r="C549" s="63"/>
      <c r="D549" s="63"/>
      <c r="E549" s="135"/>
      <c r="F549" s="42"/>
      <c r="G549" s="42"/>
      <c r="H549" s="42"/>
      <c r="I549" s="42"/>
      <c r="J549" s="42"/>
      <c r="K549" s="42"/>
      <c r="L549" s="42"/>
      <c r="M549" s="42"/>
      <c r="N549" s="42"/>
      <c r="O549" s="42"/>
      <c r="P549" s="42"/>
      <c r="Q549" s="42"/>
      <c r="R549" s="42"/>
      <c r="S549" s="42"/>
      <c r="T549" s="42"/>
      <c r="U549" s="42"/>
      <c r="V549" s="42"/>
      <c r="W549" s="42"/>
      <c r="X549" s="42"/>
      <c r="Y549" s="42"/>
      <c r="Z549" s="42"/>
    </row>
    <row r="550">
      <c r="A550" s="133"/>
      <c r="B550" s="134"/>
      <c r="C550" s="63"/>
      <c r="D550" s="63"/>
      <c r="E550" s="135"/>
      <c r="F550" s="42"/>
      <c r="G550" s="42"/>
      <c r="H550" s="42"/>
      <c r="I550" s="42"/>
      <c r="J550" s="42"/>
      <c r="K550" s="42"/>
      <c r="L550" s="42"/>
      <c r="M550" s="42"/>
      <c r="N550" s="42"/>
      <c r="O550" s="42"/>
      <c r="P550" s="42"/>
      <c r="Q550" s="42"/>
      <c r="R550" s="42"/>
      <c r="S550" s="42"/>
      <c r="T550" s="42"/>
      <c r="U550" s="42"/>
      <c r="V550" s="42"/>
      <c r="W550" s="42"/>
      <c r="X550" s="42"/>
      <c r="Y550" s="42"/>
      <c r="Z550" s="42"/>
    </row>
    <row r="551">
      <c r="A551" s="133"/>
      <c r="B551" s="134"/>
      <c r="C551" s="63"/>
      <c r="D551" s="63"/>
      <c r="E551" s="135"/>
      <c r="F551" s="42"/>
      <c r="G551" s="42"/>
      <c r="H551" s="42"/>
      <c r="I551" s="42"/>
      <c r="J551" s="42"/>
      <c r="K551" s="42"/>
      <c r="L551" s="42"/>
      <c r="M551" s="42"/>
      <c r="N551" s="42"/>
      <c r="O551" s="42"/>
      <c r="P551" s="42"/>
      <c r="Q551" s="42"/>
      <c r="R551" s="42"/>
      <c r="S551" s="42"/>
      <c r="T551" s="42"/>
      <c r="U551" s="42"/>
      <c r="V551" s="42"/>
      <c r="W551" s="42"/>
      <c r="X551" s="42"/>
      <c r="Y551" s="42"/>
      <c r="Z551" s="42"/>
    </row>
    <row r="552">
      <c r="A552" s="133"/>
      <c r="B552" s="134"/>
      <c r="C552" s="63"/>
      <c r="D552" s="63"/>
      <c r="E552" s="135"/>
      <c r="F552" s="42"/>
      <c r="G552" s="42"/>
      <c r="H552" s="42"/>
      <c r="I552" s="42"/>
      <c r="J552" s="42"/>
      <c r="K552" s="42"/>
      <c r="L552" s="42"/>
      <c r="M552" s="42"/>
      <c r="N552" s="42"/>
      <c r="O552" s="42"/>
      <c r="P552" s="42"/>
      <c r="Q552" s="42"/>
      <c r="R552" s="42"/>
      <c r="S552" s="42"/>
      <c r="T552" s="42"/>
      <c r="U552" s="42"/>
      <c r="V552" s="42"/>
      <c r="W552" s="42"/>
      <c r="X552" s="42"/>
      <c r="Y552" s="42"/>
      <c r="Z552" s="42"/>
    </row>
    <row r="553">
      <c r="A553" s="133"/>
      <c r="B553" s="134"/>
      <c r="C553" s="63"/>
      <c r="D553" s="63"/>
      <c r="E553" s="135"/>
      <c r="F553" s="42"/>
      <c r="G553" s="42"/>
      <c r="H553" s="42"/>
      <c r="I553" s="42"/>
      <c r="J553" s="42"/>
      <c r="K553" s="42"/>
      <c r="L553" s="42"/>
      <c r="M553" s="42"/>
      <c r="N553" s="42"/>
      <c r="O553" s="42"/>
      <c r="P553" s="42"/>
      <c r="Q553" s="42"/>
      <c r="R553" s="42"/>
      <c r="S553" s="42"/>
      <c r="T553" s="42"/>
      <c r="U553" s="42"/>
      <c r="V553" s="42"/>
      <c r="W553" s="42"/>
      <c r="X553" s="42"/>
      <c r="Y553" s="42"/>
      <c r="Z553" s="42"/>
    </row>
    <row r="554">
      <c r="A554" s="133"/>
      <c r="B554" s="134"/>
      <c r="C554" s="63"/>
      <c r="D554" s="63"/>
      <c r="E554" s="135"/>
      <c r="F554" s="42"/>
      <c r="G554" s="42"/>
      <c r="H554" s="42"/>
      <c r="I554" s="42"/>
      <c r="J554" s="42"/>
      <c r="K554" s="42"/>
      <c r="L554" s="42"/>
      <c r="M554" s="42"/>
      <c r="N554" s="42"/>
      <c r="O554" s="42"/>
      <c r="P554" s="42"/>
      <c r="Q554" s="42"/>
      <c r="R554" s="42"/>
      <c r="S554" s="42"/>
      <c r="T554" s="42"/>
      <c r="U554" s="42"/>
      <c r="V554" s="42"/>
      <c r="W554" s="42"/>
      <c r="X554" s="42"/>
      <c r="Y554" s="42"/>
      <c r="Z554" s="42"/>
    </row>
    <row r="555">
      <c r="A555" s="133"/>
      <c r="B555" s="134"/>
      <c r="C555" s="63"/>
      <c r="D555" s="63"/>
      <c r="E555" s="135"/>
      <c r="F555" s="42"/>
      <c r="G555" s="42"/>
      <c r="H555" s="42"/>
      <c r="I555" s="42"/>
      <c r="J555" s="42"/>
      <c r="K555" s="42"/>
      <c r="L555" s="42"/>
      <c r="M555" s="42"/>
      <c r="N555" s="42"/>
      <c r="O555" s="42"/>
      <c r="P555" s="42"/>
      <c r="Q555" s="42"/>
      <c r="R555" s="42"/>
      <c r="S555" s="42"/>
      <c r="T555" s="42"/>
      <c r="U555" s="42"/>
      <c r="V555" s="42"/>
      <c r="W555" s="42"/>
      <c r="X555" s="42"/>
      <c r="Y555" s="42"/>
      <c r="Z555" s="42"/>
    </row>
    <row r="556">
      <c r="A556" s="133"/>
      <c r="B556" s="134"/>
      <c r="C556" s="63"/>
      <c r="D556" s="63"/>
      <c r="E556" s="135"/>
      <c r="F556" s="42"/>
      <c r="G556" s="42"/>
      <c r="H556" s="42"/>
      <c r="I556" s="42"/>
      <c r="J556" s="42"/>
      <c r="K556" s="42"/>
      <c r="L556" s="42"/>
      <c r="M556" s="42"/>
      <c r="N556" s="42"/>
      <c r="O556" s="42"/>
      <c r="P556" s="42"/>
      <c r="Q556" s="42"/>
      <c r="R556" s="42"/>
      <c r="S556" s="42"/>
      <c r="T556" s="42"/>
      <c r="U556" s="42"/>
      <c r="V556" s="42"/>
      <c r="W556" s="42"/>
      <c r="X556" s="42"/>
      <c r="Y556" s="42"/>
      <c r="Z556" s="42"/>
    </row>
    <row r="557">
      <c r="A557" s="133"/>
      <c r="B557" s="134"/>
      <c r="C557" s="63"/>
      <c r="D557" s="63"/>
      <c r="E557" s="135"/>
      <c r="F557" s="42"/>
      <c r="G557" s="42"/>
      <c r="H557" s="42"/>
      <c r="I557" s="42"/>
      <c r="J557" s="42"/>
      <c r="K557" s="42"/>
      <c r="L557" s="42"/>
      <c r="M557" s="42"/>
      <c r="N557" s="42"/>
      <c r="O557" s="42"/>
      <c r="P557" s="42"/>
      <c r="Q557" s="42"/>
      <c r="R557" s="42"/>
      <c r="S557" s="42"/>
      <c r="T557" s="42"/>
      <c r="U557" s="42"/>
      <c r="V557" s="42"/>
      <c r="W557" s="42"/>
      <c r="X557" s="42"/>
      <c r="Y557" s="42"/>
      <c r="Z557" s="42"/>
    </row>
    <row r="558">
      <c r="A558" s="133"/>
      <c r="B558" s="134"/>
      <c r="C558" s="63"/>
      <c r="D558" s="63"/>
      <c r="E558" s="135"/>
      <c r="F558" s="42"/>
      <c r="G558" s="42"/>
      <c r="H558" s="42"/>
      <c r="I558" s="42"/>
      <c r="J558" s="42"/>
      <c r="K558" s="42"/>
      <c r="L558" s="42"/>
      <c r="M558" s="42"/>
      <c r="N558" s="42"/>
      <c r="O558" s="42"/>
      <c r="P558" s="42"/>
      <c r="Q558" s="42"/>
      <c r="R558" s="42"/>
      <c r="S558" s="42"/>
      <c r="T558" s="42"/>
      <c r="U558" s="42"/>
      <c r="V558" s="42"/>
      <c r="W558" s="42"/>
      <c r="X558" s="42"/>
      <c r="Y558" s="42"/>
      <c r="Z558" s="42"/>
    </row>
    <row r="559">
      <c r="A559" s="133"/>
      <c r="B559" s="134"/>
      <c r="C559" s="63"/>
      <c r="D559" s="63"/>
      <c r="E559" s="135"/>
      <c r="F559" s="42"/>
      <c r="G559" s="42"/>
      <c r="H559" s="42"/>
      <c r="I559" s="42"/>
      <c r="J559" s="42"/>
      <c r="K559" s="42"/>
      <c r="L559" s="42"/>
      <c r="M559" s="42"/>
      <c r="N559" s="42"/>
      <c r="O559" s="42"/>
      <c r="P559" s="42"/>
      <c r="Q559" s="42"/>
      <c r="R559" s="42"/>
      <c r="S559" s="42"/>
      <c r="T559" s="42"/>
      <c r="U559" s="42"/>
      <c r="V559" s="42"/>
      <c r="W559" s="42"/>
      <c r="X559" s="42"/>
      <c r="Y559" s="42"/>
      <c r="Z559" s="42"/>
    </row>
    <row r="560">
      <c r="A560" s="133"/>
      <c r="B560" s="134"/>
      <c r="C560" s="63"/>
      <c r="D560" s="63"/>
      <c r="E560" s="135"/>
      <c r="F560" s="42"/>
      <c r="G560" s="42"/>
      <c r="H560" s="42"/>
      <c r="I560" s="42"/>
      <c r="J560" s="42"/>
      <c r="K560" s="42"/>
      <c r="L560" s="42"/>
      <c r="M560" s="42"/>
      <c r="N560" s="42"/>
      <c r="O560" s="42"/>
      <c r="P560" s="42"/>
      <c r="Q560" s="42"/>
      <c r="R560" s="42"/>
      <c r="S560" s="42"/>
      <c r="T560" s="42"/>
      <c r="U560" s="42"/>
      <c r="V560" s="42"/>
      <c r="W560" s="42"/>
      <c r="X560" s="42"/>
      <c r="Y560" s="42"/>
      <c r="Z560" s="42"/>
    </row>
    <row r="561">
      <c r="A561" s="133"/>
      <c r="B561" s="134"/>
      <c r="C561" s="63"/>
      <c r="D561" s="63"/>
      <c r="E561" s="135"/>
      <c r="F561" s="42"/>
      <c r="G561" s="42"/>
      <c r="H561" s="42"/>
      <c r="I561" s="42"/>
      <c r="J561" s="42"/>
      <c r="K561" s="42"/>
      <c r="L561" s="42"/>
      <c r="M561" s="42"/>
      <c r="N561" s="42"/>
      <c r="O561" s="42"/>
      <c r="P561" s="42"/>
      <c r="Q561" s="42"/>
      <c r="R561" s="42"/>
      <c r="S561" s="42"/>
      <c r="T561" s="42"/>
      <c r="U561" s="42"/>
      <c r="V561" s="42"/>
      <c r="W561" s="42"/>
      <c r="X561" s="42"/>
      <c r="Y561" s="42"/>
      <c r="Z561" s="42"/>
    </row>
    <row r="562">
      <c r="A562" s="133"/>
      <c r="B562" s="134"/>
      <c r="C562" s="63"/>
      <c r="D562" s="63"/>
      <c r="E562" s="135"/>
      <c r="F562" s="42"/>
      <c r="G562" s="42"/>
      <c r="H562" s="42"/>
      <c r="I562" s="42"/>
      <c r="J562" s="42"/>
      <c r="K562" s="42"/>
      <c r="L562" s="42"/>
      <c r="M562" s="42"/>
      <c r="N562" s="42"/>
      <c r="O562" s="42"/>
      <c r="P562" s="42"/>
      <c r="Q562" s="42"/>
      <c r="R562" s="42"/>
      <c r="S562" s="42"/>
      <c r="T562" s="42"/>
      <c r="U562" s="42"/>
      <c r="V562" s="42"/>
      <c r="W562" s="42"/>
      <c r="X562" s="42"/>
      <c r="Y562" s="42"/>
      <c r="Z562" s="42"/>
    </row>
    <row r="563">
      <c r="A563" s="133"/>
      <c r="B563" s="134"/>
      <c r="C563" s="63"/>
      <c r="D563" s="63"/>
      <c r="E563" s="135"/>
      <c r="F563" s="42"/>
      <c r="G563" s="42"/>
      <c r="H563" s="42"/>
      <c r="I563" s="42"/>
      <c r="J563" s="42"/>
      <c r="K563" s="42"/>
      <c r="L563" s="42"/>
      <c r="M563" s="42"/>
      <c r="N563" s="42"/>
      <c r="O563" s="42"/>
      <c r="P563" s="42"/>
      <c r="Q563" s="42"/>
      <c r="R563" s="42"/>
      <c r="S563" s="42"/>
      <c r="T563" s="42"/>
      <c r="U563" s="42"/>
      <c r="V563" s="42"/>
      <c r="W563" s="42"/>
      <c r="X563" s="42"/>
      <c r="Y563" s="42"/>
      <c r="Z563" s="42"/>
    </row>
    <row r="564">
      <c r="A564" s="133"/>
      <c r="B564" s="134"/>
      <c r="C564" s="63"/>
      <c r="D564" s="63"/>
      <c r="E564" s="135"/>
      <c r="F564" s="42"/>
      <c r="G564" s="42"/>
      <c r="H564" s="42"/>
      <c r="I564" s="42"/>
      <c r="J564" s="42"/>
      <c r="K564" s="42"/>
      <c r="L564" s="42"/>
      <c r="M564" s="42"/>
      <c r="N564" s="42"/>
      <c r="O564" s="42"/>
      <c r="P564" s="42"/>
      <c r="Q564" s="42"/>
      <c r="R564" s="42"/>
      <c r="S564" s="42"/>
      <c r="T564" s="42"/>
      <c r="U564" s="42"/>
      <c r="V564" s="42"/>
      <c r="W564" s="42"/>
      <c r="X564" s="42"/>
      <c r="Y564" s="42"/>
      <c r="Z564" s="42"/>
    </row>
    <row r="565">
      <c r="A565" s="133"/>
      <c r="B565" s="134"/>
      <c r="C565" s="63"/>
      <c r="D565" s="63"/>
      <c r="E565" s="135"/>
      <c r="F565" s="42"/>
      <c r="G565" s="42"/>
      <c r="H565" s="42"/>
      <c r="I565" s="42"/>
      <c r="J565" s="42"/>
      <c r="K565" s="42"/>
      <c r="L565" s="42"/>
      <c r="M565" s="42"/>
      <c r="N565" s="42"/>
      <c r="O565" s="42"/>
      <c r="P565" s="42"/>
      <c r="Q565" s="42"/>
      <c r="R565" s="42"/>
      <c r="S565" s="42"/>
      <c r="T565" s="42"/>
      <c r="U565" s="42"/>
      <c r="V565" s="42"/>
      <c r="W565" s="42"/>
      <c r="X565" s="42"/>
      <c r="Y565" s="42"/>
      <c r="Z565" s="42"/>
    </row>
    <row r="566">
      <c r="A566" s="133"/>
      <c r="B566" s="134"/>
      <c r="C566" s="63"/>
      <c r="D566" s="63"/>
      <c r="E566" s="135"/>
      <c r="F566" s="42"/>
      <c r="G566" s="42"/>
      <c r="H566" s="42"/>
      <c r="I566" s="42"/>
      <c r="J566" s="42"/>
      <c r="K566" s="42"/>
      <c r="L566" s="42"/>
      <c r="M566" s="42"/>
      <c r="N566" s="42"/>
      <c r="O566" s="42"/>
      <c r="P566" s="42"/>
      <c r="Q566" s="42"/>
      <c r="R566" s="42"/>
      <c r="S566" s="42"/>
      <c r="T566" s="42"/>
      <c r="U566" s="42"/>
      <c r="V566" s="42"/>
      <c r="W566" s="42"/>
      <c r="X566" s="42"/>
      <c r="Y566" s="42"/>
      <c r="Z566" s="42"/>
    </row>
    <row r="567">
      <c r="A567" s="133"/>
      <c r="B567" s="134"/>
      <c r="C567" s="63"/>
      <c r="D567" s="63"/>
      <c r="E567" s="135"/>
      <c r="F567" s="42"/>
      <c r="G567" s="42"/>
      <c r="H567" s="42"/>
      <c r="I567" s="42"/>
      <c r="J567" s="42"/>
      <c r="K567" s="42"/>
      <c r="L567" s="42"/>
      <c r="M567" s="42"/>
      <c r="N567" s="42"/>
      <c r="O567" s="42"/>
      <c r="P567" s="42"/>
      <c r="Q567" s="42"/>
      <c r="R567" s="42"/>
      <c r="S567" s="42"/>
      <c r="T567" s="42"/>
      <c r="U567" s="42"/>
      <c r="V567" s="42"/>
      <c r="W567" s="42"/>
      <c r="X567" s="42"/>
      <c r="Y567" s="42"/>
      <c r="Z567" s="42"/>
    </row>
    <row r="568">
      <c r="A568" s="133"/>
      <c r="B568" s="134"/>
      <c r="C568" s="63"/>
      <c r="D568" s="63"/>
      <c r="E568" s="135"/>
      <c r="F568" s="42"/>
      <c r="G568" s="42"/>
      <c r="H568" s="42"/>
      <c r="I568" s="42"/>
      <c r="J568" s="42"/>
      <c r="K568" s="42"/>
      <c r="L568" s="42"/>
      <c r="M568" s="42"/>
      <c r="N568" s="42"/>
      <c r="O568" s="42"/>
      <c r="P568" s="42"/>
      <c r="Q568" s="42"/>
      <c r="R568" s="42"/>
      <c r="S568" s="42"/>
      <c r="T568" s="42"/>
      <c r="U568" s="42"/>
      <c r="V568" s="42"/>
      <c r="W568" s="42"/>
      <c r="X568" s="42"/>
      <c r="Y568" s="42"/>
      <c r="Z568" s="42"/>
    </row>
    <row r="569">
      <c r="A569" s="133"/>
      <c r="B569" s="134"/>
      <c r="C569" s="63"/>
      <c r="D569" s="63"/>
      <c r="E569" s="135"/>
      <c r="F569" s="42"/>
      <c r="G569" s="42"/>
      <c r="H569" s="42"/>
      <c r="I569" s="42"/>
      <c r="J569" s="42"/>
      <c r="K569" s="42"/>
      <c r="L569" s="42"/>
      <c r="M569" s="42"/>
      <c r="N569" s="42"/>
      <c r="O569" s="42"/>
      <c r="P569" s="42"/>
      <c r="Q569" s="42"/>
      <c r="R569" s="42"/>
      <c r="S569" s="42"/>
      <c r="T569" s="42"/>
      <c r="U569" s="42"/>
      <c r="V569" s="42"/>
      <c r="W569" s="42"/>
      <c r="X569" s="42"/>
      <c r="Y569" s="42"/>
      <c r="Z569" s="42"/>
    </row>
    <row r="570">
      <c r="A570" s="133"/>
      <c r="B570" s="134"/>
      <c r="C570" s="63"/>
      <c r="D570" s="63"/>
      <c r="E570" s="135"/>
      <c r="F570" s="42"/>
      <c r="G570" s="42"/>
      <c r="H570" s="42"/>
      <c r="I570" s="42"/>
      <c r="J570" s="42"/>
      <c r="K570" s="42"/>
      <c r="L570" s="42"/>
      <c r="M570" s="42"/>
      <c r="N570" s="42"/>
      <c r="O570" s="42"/>
      <c r="P570" s="42"/>
      <c r="Q570" s="42"/>
      <c r="R570" s="42"/>
      <c r="S570" s="42"/>
      <c r="T570" s="42"/>
      <c r="U570" s="42"/>
      <c r="V570" s="42"/>
      <c r="W570" s="42"/>
      <c r="X570" s="42"/>
      <c r="Y570" s="42"/>
      <c r="Z570" s="42"/>
    </row>
    <row r="571">
      <c r="A571" s="133"/>
      <c r="B571" s="134"/>
      <c r="C571" s="63"/>
      <c r="D571" s="63"/>
      <c r="E571" s="135"/>
      <c r="F571" s="42"/>
      <c r="G571" s="42"/>
      <c r="H571" s="42"/>
      <c r="I571" s="42"/>
      <c r="J571" s="42"/>
      <c r="K571" s="42"/>
      <c r="L571" s="42"/>
      <c r="M571" s="42"/>
      <c r="N571" s="42"/>
      <c r="O571" s="42"/>
      <c r="P571" s="42"/>
      <c r="Q571" s="42"/>
      <c r="R571" s="42"/>
      <c r="S571" s="42"/>
      <c r="T571" s="42"/>
      <c r="U571" s="42"/>
      <c r="V571" s="42"/>
      <c r="W571" s="42"/>
      <c r="X571" s="42"/>
      <c r="Y571" s="42"/>
      <c r="Z571" s="42"/>
    </row>
    <row r="572">
      <c r="A572" s="133"/>
      <c r="B572" s="134"/>
      <c r="C572" s="63"/>
      <c r="D572" s="63"/>
      <c r="E572" s="135"/>
      <c r="F572" s="42"/>
      <c r="G572" s="42"/>
      <c r="H572" s="42"/>
      <c r="I572" s="42"/>
      <c r="J572" s="42"/>
      <c r="K572" s="42"/>
      <c r="L572" s="42"/>
      <c r="M572" s="42"/>
      <c r="N572" s="42"/>
      <c r="O572" s="42"/>
      <c r="P572" s="42"/>
      <c r="Q572" s="42"/>
      <c r="R572" s="42"/>
      <c r="S572" s="42"/>
      <c r="T572" s="42"/>
      <c r="U572" s="42"/>
      <c r="V572" s="42"/>
      <c r="W572" s="42"/>
      <c r="X572" s="42"/>
      <c r="Y572" s="42"/>
      <c r="Z572" s="42"/>
    </row>
    <row r="573">
      <c r="A573" s="133"/>
      <c r="B573" s="134"/>
      <c r="C573" s="63"/>
      <c r="D573" s="63"/>
      <c r="E573" s="135"/>
      <c r="F573" s="42"/>
      <c r="G573" s="42"/>
      <c r="H573" s="42"/>
      <c r="I573" s="42"/>
      <c r="J573" s="42"/>
      <c r="K573" s="42"/>
      <c r="L573" s="42"/>
      <c r="M573" s="42"/>
      <c r="N573" s="42"/>
      <c r="O573" s="42"/>
      <c r="P573" s="42"/>
      <c r="Q573" s="42"/>
      <c r="R573" s="42"/>
      <c r="S573" s="42"/>
      <c r="T573" s="42"/>
      <c r="U573" s="42"/>
      <c r="V573" s="42"/>
      <c r="W573" s="42"/>
      <c r="X573" s="42"/>
      <c r="Y573" s="42"/>
      <c r="Z573" s="42"/>
    </row>
    <row r="574">
      <c r="A574" s="133"/>
      <c r="B574" s="134"/>
      <c r="C574" s="63"/>
      <c r="D574" s="63"/>
      <c r="E574" s="135"/>
      <c r="F574" s="42"/>
      <c r="G574" s="42"/>
      <c r="H574" s="42"/>
      <c r="I574" s="42"/>
      <c r="J574" s="42"/>
      <c r="K574" s="42"/>
      <c r="L574" s="42"/>
      <c r="M574" s="42"/>
      <c r="N574" s="42"/>
      <c r="O574" s="42"/>
      <c r="P574" s="42"/>
      <c r="Q574" s="42"/>
      <c r="R574" s="42"/>
      <c r="S574" s="42"/>
      <c r="T574" s="42"/>
      <c r="U574" s="42"/>
      <c r="V574" s="42"/>
      <c r="W574" s="42"/>
      <c r="X574" s="42"/>
      <c r="Y574" s="42"/>
      <c r="Z574" s="42"/>
    </row>
    <row r="575">
      <c r="A575" s="133"/>
      <c r="B575" s="134"/>
      <c r="C575" s="63"/>
      <c r="D575" s="63"/>
      <c r="E575" s="135"/>
      <c r="F575" s="42"/>
      <c r="G575" s="42"/>
      <c r="H575" s="42"/>
      <c r="I575" s="42"/>
      <c r="J575" s="42"/>
      <c r="K575" s="42"/>
      <c r="L575" s="42"/>
      <c r="M575" s="42"/>
      <c r="N575" s="42"/>
      <c r="O575" s="42"/>
      <c r="P575" s="42"/>
      <c r="Q575" s="42"/>
      <c r="R575" s="42"/>
      <c r="S575" s="42"/>
      <c r="T575" s="42"/>
      <c r="U575" s="42"/>
      <c r="V575" s="42"/>
      <c r="W575" s="42"/>
      <c r="X575" s="42"/>
      <c r="Y575" s="42"/>
      <c r="Z575" s="42"/>
    </row>
    <row r="576">
      <c r="A576" s="133"/>
      <c r="B576" s="134"/>
      <c r="C576" s="63"/>
      <c r="D576" s="63"/>
      <c r="E576" s="135"/>
      <c r="F576" s="42"/>
      <c r="G576" s="42"/>
      <c r="H576" s="42"/>
      <c r="I576" s="42"/>
      <c r="J576" s="42"/>
      <c r="K576" s="42"/>
      <c r="L576" s="42"/>
      <c r="M576" s="42"/>
      <c r="N576" s="42"/>
      <c r="O576" s="42"/>
      <c r="P576" s="42"/>
      <c r="Q576" s="42"/>
      <c r="R576" s="42"/>
      <c r="S576" s="42"/>
      <c r="T576" s="42"/>
      <c r="U576" s="42"/>
      <c r="V576" s="42"/>
      <c r="W576" s="42"/>
      <c r="X576" s="42"/>
      <c r="Y576" s="42"/>
      <c r="Z576" s="42"/>
    </row>
    <row r="577">
      <c r="A577" s="133"/>
      <c r="B577" s="134"/>
      <c r="C577" s="63"/>
      <c r="D577" s="63"/>
      <c r="E577" s="135"/>
      <c r="F577" s="42"/>
      <c r="G577" s="42"/>
      <c r="H577" s="42"/>
      <c r="I577" s="42"/>
      <c r="J577" s="42"/>
      <c r="K577" s="42"/>
      <c r="L577" s="42"/>
      <c r="M577" s="42"/>
      <c r="N577" s="42"/>
      <c r="O577" s="42"/>
      <c r="P577" s="42"/>
      <c r="Q577" s="42"/>
      <c r="R577" s="42"/>
      <c r="S577" s="42"/>
      <c r="T577" s="42"/>
      <c r="U577" s="42"/>
      <c r="V577" s="42"/>
      <c r="W577" s="42"/>
      <c r="X577" s="42"/>
      <c r="Y577" s="42"/>
      <c r="Z577" s="42"/>
    </row>
    <row r="578">
      <c r="A578" s="133"/>
      <c r="B578" s="134"/>
      <c r="C578" s="63"/>
      <c r="D578" s="63"/>
      <c r="E578" s="135"/>
      <c r="F578" s="42"/>
      <c r="G578" s="42"/>
      <c r="H578" s="42"/>
      <c r="I578" s="42"/>
      <c r="J578" s="42"/>
      <c r="K578" s="42"/>
      <c r="L578" s="42"/>
      <c r="M578" s="42"/>
      <c r="N578" s="42"/>
      <c r="O578" s="42"/>
      <c r="P578" s="42"/>
      <c r="Q578" s="42"/>
      <c r="R578" s="42"/>
      <c r="S578" s="42"/>
      <c r="T578" s="42"/>
      <c r="U578" s="42"/>
      <c r="V578" s="42"/>
      <c r="W578" s="42"/>
      <c r="X578" s="42"/>
      <c r="Y578" s="42"/>
      <c r="Z578" s="42"/>
    </row>
    <row r="579">
      <c r="A579" s="133"/>
      <c r="B579" s="134"/>
      <c r="C579" s="63"/>
      <c r="D579" s="63"/>
      <c r="E579" s="135"/>
      <c r="F579" s="42"/>
      <c r="G579" s="42"/>
      <c r="H579" s="42"/>
      <c r="I579" s="42"/>
      <c r="J579" s="42"/>
      <c r="K579" s="42"/>
      <c r="L579" s="42"/>
      <c r="M579" s="42"/>
      <c r="N579" s="42"/>
      <c r="O579" s="42"/>
      <c r="P579" s="42"/>
      <c r="Q579" s="42"/>
      <c r="R579" s="42"/>
      <c r="S579" s="42"/>
      <c r="T579" s="42"/>
      <c r="U579" s="42"/>
      <c r="V579" s="42"/>
      <c r="W579" s="42"/>
      <c r="X579" s="42"/>
      <c r="Y579" s="42"/>
      <c r="Z579" s="42"/>
    </row>
    <row r="580">
      <c r="A580" s="133"/>
      <c r="B580" s="134"/>
      <c r="C580" s="63"/>
      <c r="D580" s="63"/>
      <c r="E580" s="135"/>
      <c r="F580" s="42"/>
      <c r="G580" s="42"/>
      <c r="H580" s="42"/>
      <c r="I580" s="42"/>
      <c r="J580" s="42"/>
      <c r="K580" s="42"/>
      <c r="L580" s="42"/>
      <c r="M580" s="42"/>
      <c r="N580" s="42"/>
      <c r="O580" s="42"/>
      <c r="P580" s="42"/>
      <c r="Q580" s="42"/>
      <c r="R580" s="42"/>
      <c r="S580" s="42"/>
      <c r="T580" s="42"/>
      <c r="U580" s="42"/>
      <c r="V580" s="42"/>
      <c r="W580" s="42"/>
      <c r="X580" s="42"/>
      <c r="Y580" s="42"/>
      <c r="Z580" s="42"/>
    </row>
    <row r="581">
      <c r="A581" s="133"/>
      <c r="B581" s="134"/>
      <c r="C581" s="63"/>
      <c r="D581" s="63"/>
      <c r="E581" s="135"/>
      <c r="F581" s="42"/>
      <c r="G581" s="42"/>
      <c r="H581" s="42"/>
      <c r="I581" s="42"/>
      <c r="J581" s="42"/>
      <c r="K581" s="42"/>
      <c r="L581" s="42"/>
      <c r="M581" s="42"/>
      <c r="N581" s="42"/>
      <c r="O581" s="42"/>
      <c r="P581" s="42"/>
      <c r="Q581" s="42"/>
      <c r="R581" s="42"/>
      <c r="S581" s="42"/>
      <c r="T581" s="42"/>
      <c r="U581" s="42"/>
      <c r="V581" s="42"/>
      <c r="W581" s="42"/>
      <c r="X581" s="42"/>
      <c r="Y581" s="42"/>
      <c r="Z581" s="42"/>
    </row>
    <row r="582">
      <c r="A582" s="133"/>
      <c r="B582" s="134"/>
      <c r="C582" s="63"/>
      <c r="D582" s="63"/>
      <c r="E582" s="135"/>
      <c r="F582" s="42"/>
      <c r="G582" s="42"/>
      <c r="H582" s="42"/>
      <c r="I582" s="42"/>
      <c r="J582" s="42"/>
      <c r="K582" s="42"/>
      <c r="L582" s="42"/>
      <c r="M582" s="42"/>
      <c r="N582" s="42"/>
      <c r="O582" s="42"/>
      <c r="P582" s="42"/>
      <c r="Q582" s="42"/>
      <c r="R582" s="42"/>
      <c r="S582" s="42"/>
      <c r="T582" s="42"/>
      <c r="U582" s="42"/>
      <c r="V582" s="42"/>
      <c r="W582" s="42"/>
      <c r="X582" s="42"/>
      <c r="Y582" s="42"/>
      <c r="Z582" s="42"/>
    </row>
    <row r="583">
      <c r="A583" s="133"/>
      <c r="B583" s="134"/>
      <c r="C583" s="63"/>
      <c r="D583" s="63"/>
      <c r="E583" s="135"/>
      <c r="F583" s="42"/>
      <c r="G583" s="42"/>
      <c r="H583" s="42"/>
      <c r="I583" s="42"/>
      <c r="J583" s="42"/>
      <c r="K583" s="42"/>
      <c r="L583" s="42"/>
      <c r="M583" s="42"/>
      <c r="N583" s="42"/>
      <c r="O583" s="42"/>
      <c r="P583" s="42"/>
      <c r="Q583" s="42"/>
      <c r="R583" s="42"/>
      <c r="S583" s="42"/>
      <c r="T583" s="42"/>
      <c r="U583" s="42"/>
      <c r="V583" s="42"/>
      <c r="W583" s="42"/>
      <c r="X583" s="42"/>
      <c r="Y583" s="42"/>
      <c r="Z583" s="42"/>
    </row>
    <row r="584">
      <c r="A584" s="133"/>
      <c r="B584" s="134"/>
      <c r="C584" s="63"/>
      <c r="D584" s="63"/>
      <c r="E584" s="135"/>
      <c r="F584" s="42"/>
      <c r="G584" s="42"/>
      <c r="H584" s="42"/>
      <c r="I584" s="42"/>
      <c r="J584" s="42"/>
      <c r="K584" s="42"/>
      <c r="L584" s="42"/>
      <c r="M584" s="42"/>
      <c r="N584" s="42"/>
      <c r="O584" s="42"/>
      <c r="P584" s="42"/>
      <c r="Q584" s="42"/>
      <c r="R584" s="42"/>
      <c r="S584" s="42"/>
      <c r="T584" s="42"/>
      <c r="U584" s="42"/>
      <c r="V584" s="42"/>
      <c r="W584" s="42"/>
      <c r="X584" s="42"/>
      <c r="Y584" s="42"/>
      <c r="Z584" s="42"/>
    </row>
    <row r="585">
      <c r="A585" s="133"/>
      <c r="B585" s="134"/>
      <c r="C585" s="63"/>
      <c r="D585" s="63"/>
      <c r="E585" s="135"/>
      <c r="F585" s="42"/>
      <c r="G585" s="42"/>
      <c r="H585" s="42"/>
      <c r="I585" s="42"/>
      <c r="J585" s="42"/>
      <c r="K585" s="42"/>
      <c r="L585" s="42"/>
      <c r="M585" s="42"/>
      <c r="N585" s="42"/>
      <c r="O585" s="42"/>
      <c r="P585" s="42"/>
      <c r="Q585" s="42"/>
      <c r="R585" s="42"/>
      <c r="S585" s="42"/>
      <c r="T585" s="42"/>
      <c r="U585" s="42"/>
      <c r="V585" s="42"/>
      <c r="W585" s="42"/>
      <c r="X585" s="42"/>
      <c r="Y585" s="42"/>
      <c r="Z585" s="42"/>
    </row>
    <row r="586">
      <c r="A586" s="133"/>
      <c r="B586" s="134"/>
      <c r="C586" s="63"/>
      <c r="D586" s="63"/>
      <c r="E586" s="135"/>
      <c r="F586" s="42"/>
      <c r="G586" s="42"/>
      <c r="H586" s="42"/>
      <c r="I586" s="42"/>
      <c r="J586" s="42"/>
      <c r="K586" s="42"/>
      <c r="L586" s="42"/>
      <c r="M586" s="42"/>
      <c r="N586" s="42"/>
      <c r="O586" s="42"/>
      <c r="P586" s="42"/>
      <c r="Q586" s="42"/>
      <c r="R586" s="42"/>
      <c r="S586" s="42"/>
      <c r="T586" s="42"/>
      <c r="U586" s="42"/>
      <c r="V586" s="42"/>
      <c r="W586" s="42"/>
      <c r="X586" s="42"/>
      <c r="Y586" s="42"/>
      <c r="Z586" s="42"/>
    </row>
    <row r="587">
      <c r="A587" s="133"/>
      <c r="B587" s="134"/>
      <c r="C587" s="63"/>
      <c r="D587" s="63"/>
      <c r="E587" s="135"/>
      <c r="F587" s="42"/>
      <c r="G587" s="42"/>
      <c r="H587" s="42"/>
      <c r="I587" s="42"/>
      <c r="J587" s="42"/>
      <c r="K587" s="42"/>
      <c r="L587" s="42"/>
      <c r="M587" s="42"/>
      <c r="N587" s="42"/>
      <c r="O587" s="42"/>
      <c r="P587" s="42"/>
      <c r="Q587" s="42"/>
      <c r="R587" s="42"/>
      <c r="S587" s="42"/>
      <c r="T587" s="42"/>
      <c r="U587" s="42"/>
      <c r="V587" s="42"/>
      <c r="W587" s="42"/>
      <c r="X587" s="42"/>
      <c r="Y587" s="42"/>
      <c r="Z587" s="42"/>
    </row>
    <row r="588">
      <c r="A588" s="133"/>
      <c r="B588" s="134"/>
      <c r="C588" s="63"/>
      <c r="D588" s="63"/>
      <c r="E588" s="135"/>
      <c r="F588" s="42"/>
      <c r="G588" s="42"/>
      <c r="H588" s="42"/>
      <c r="I588" s="42"/>
      <c r="J588" s="42"/>
      <c r="K588" s="42"/>
      <c r="L588" s="42"/>
      <c r="M588" s="42"/>
      <c r="N588" s="42"/>
      <c r="O588" s="42"/>
      <c r="P588" s="42"/>
      <c r="Q588" s="42"/>
      <c r="R588" s="42"/>
      <c r="S588" s="42"/>
      <c r="T588" s="42"/>
      <c r="U588" s="42"/>
      <c r="V588" s="42"/>
      <c r="W588" s="42"/>
      <c r="X588" s="42"/>
      <c r="Y588" s="42"/>
      <c r="Z588" s="42"/>
    </row>
    <row r="589">
      <c r="A589" s="133"/>
      <c r="B589" s="134"/>
      <c r="C589" s="63"/>
      <c r="D589" s="63"/>
      <c r="E589" s="135"/>
      <c r="F589" s="42"/>
      <c r="G589" s="42"/>
      <c r="H589" s="42"/>
      <c r="I589" s="42"/>
      <c r="J589" s="42"/>
      <c r="K589" s="42"/>
      <c r="L589" s="42"/>
      <c r="M589" s="42"/>
      <c r="N589" s="42"/>
      <c r="O589" s="42"/>
      <c r="P589" s="42"/>
      <c r="Q589" s="42"/>
      <c r="R589" s="42"/>
      <c r="S589" s="42"/>
      <c r="T589" s="42"/>
      <c r="U589" s="42"/>
      <c r="V589" s="42"/>
      <c r="W589" s="42"/>
      <c r="X589" s="42"/>
      <c r="Y589" s="42"/>
      <c r="Z589" s="42"/>
    </row>
    <row r="590">
      <c r="A590" s="133"/>
      <c r="B590" s="134"/>
      <c r="C590" s="63"/>
      <c r="D590" s="63"/>
      <c r="E590" s="135"/>
      <c r="F590" s="42"/>
      <c r="G590" s="42"/>
      <c r="H590" s="42"/>
      <c r="I590" s="42"/>
      <c r="J590" s="42"/>
      <c r="K590" s="42"/>
      <c r="L590" s="42"/>
      <c r="M590" s="42"/>
      <c r="N590" s="42"/>
      <c r="O590" s="42"/>
      <c r="P590" s="42"/>
      <c r="Q590" s="42"/>
      <c r="R590" s="42"/>
      <c r="S590" s="42"/>
      <c r="T590" s="42"/>
      <c r="U590" s="42"/>
      <c r="V590" s="42"/>
      <c r="W590" s="42"/>
      <c r="X590" s="42"/>
      <c r="Y590" s="42"/>
      <c r="Z590" s="42"/>
    </row>
    <row r="591">
      <c r="A591" s="133"/>
      <c r="B591" s="134"/>
      <c r="C591" s="63"/>
      <c r="D591" s="63"/>
      <c r="E591" s="135"/>
      <c r="F591" s="42"/>
      <c r="G591" s="42"/>
      <c r="H591" s="42"/>
      <c r="I591" s="42"/>
      <c r="J591" s="42"/>
      <c r="K591" s="42"/>
      <c r="L591" s="42"/>
      <c r="M591" s="42"/>
      <c r="N591" s="42"/>
      <c r="O591" s="42"/>
      <c r="P591" s="42"/>
      <c r="Q591" s="42"/>
      <c r="R591" s="42"/>
      <c r="S591" s="42"/>
      <c r="T591" s="42"/>
      <c r="U591" s="42"/>
      <c r="V591" s="42"/>
      <c r="W591" s="42"/>
      <c r="X591" s="42"/>
      <c r="Y591" s="42"/>
      <c r="Z591" s="42"/>
    </row>
    <row r="592">
      <c r="A592" s="133"/>
      <c r="B592" s="134"/>
      <c r="C592" s="63"/>
      <c r="D592" s="63"/>
      <c r="E592" s="135"/>
      <c r="F592" s="42"/>
      <c r="G592" s="42"/>
      <c r="H592" s="42"/>
      <c r="I592" s="42"/>
      <c r="J592" s="42"/>
      <c r="K592" s="42"/>
      <c r="L592" s="42"/>
      <c r="M592" s="42"/>
      <c r="N592" s="42"/>
      <c r="O592" s="42"/>
      <c r="P592" s="42"/>
      <c r="Q592" s="42"/>
      <c r="R592" s="42"/>
      <c r="S592" s="42"/>
      <c r="T592" s="42"/>
      <c r="U592" s="42"/>
      <c r="V592" s="42"/>
      <c r="W592" s="42"/>
      <c r="X592" s="42"/>
      <c r="Y592" s="42"/>
      <c r="Z592" s="42"/>
    </row>
    <row r="593">
      <c r="A593" s="133"/>
      <c r="B593" s="134"/>
      <c r="C593" s="63"/>
      <c r="D593" s="63"/>
      <c r="E593" s="135"/>
      <c r="F593" s="42"/>
      <c r="G593" s="42"/>
      <c r="H593" s="42"/>
      <c r="I593" s="42"/>
      <c r="J593" s="42"/>
      <c r="K593" s="42"/>
      <c r="L593" s="42"/>
      <c r="M593" s="42"/>
      <c r="N593" s="42"/>
      <c r="O593" s="42"/>
      <c r="P593" s="42"/>
      <c r="Q593" s="42"/>
      <c r="R593" s="42"/>
      <c r="S593" s="42"/>
      <c r="T593" s="42"/>
      <c r="U593" s="42"/>
      <c r="V593" s="42"/>
      <c r="W593" s="42"/>
      <c r="X593" s="42"/>
      <c r="Y593" s="42"/>
      <c r="Z593" s="42"/>
    </row>
    <row r="594">
      <c r="A594" s="133"/>
      <c r="B594" s="134"/>
      <c r="C594" s="63"/>
      <c r="D594" s="63"/>
      <c r="E594" s="135"/>
      <c r="F594" s="42"/>
      <c r="G594" s="42"/>
      <c r="H594" s="42"/>
      <c r="I594" s="42"/>
      <c r="J594" s="42"/>
      <c r="K594" s="42"/>
      <c r="L594" s="42"/>
      <c r="M594" s="42"/>
      <c r="N594" s="42"/>
      <c r="O594" s="42"/>
      <c r="P594" s="42"/>
      <c r="Q594" s="42"/>
      <c r="R594" s="42"/>
      <c r="S594" s="42"/>
      <c r="T594" s="42"/>
      <c r="U594" s="42"/>
      <c r="V594" s="42"/>
      <c r="W594" s="42"/>
      <c r="X594" s="42"/>
      <c r="Y594" s="42"/>
      <c r="Z594" s="42"/>
    </row>
    <row r="595">
      <c r="A595" s="133"/>
      <c r="B595" s="134"/>
      <c r="C595" s="63"/>
      <c r="D595" s="63"/>
      <c r="E595" s="135"/>
      <c r="F595" s="42"/>
      <c r="G595" s="42"/>
      <c r="H595" s="42"/>
      <c r="I595" s="42"/>
      <c r="J595" s="42"/>
      <c r="K595" s="42"/>
      <c r="L595" s="42"/>
      <c r="M595" s="42"/>
      <c r="N595" s="42"/>
      <c r="O595" s="42"/>
      <c r="P595" s="42"/>
      <c r="Q595" s="42"/>
      <c r="R595" s="42"/>
      <c r="S595" s="42"/>
      <c r="T595" s="42"/>
      <c r="U595" s="42"/>
      <c r="V595" s="42"/>
      <c r="W595" s="42"/>
      <c r="X595" s="42"/>
      <c r="Y595" s="42"/>
      <c r="Z595" s="42"/>
    </row>
    <row r="596">
      <c r="A596" s="133"/>
      <c r="B596" s="134"/>
      <c r="C596" s="63"/>
      <c r="D596" s="63"/>
      <c r="E596" s="135"/>
      <c r="F596" s="42"/>
      <c r="G596" s="42"/>
      <c r="H596" s="42"/>
      <c r="I596" s="42"/>
      <c r="J596" s="42"/>
      <c r="K596" s="42"/>
      <c r="L596" s="42"/>
      <c r="M596" s="42"/>
      <c r="N596" s="42"/>
      <c r="O596" s="42"/>
      <c r="P596" s="42"/>
      <c r="Q596" s="42"/>
      <c r="R596" s="42"/>
      <c r="S596" s="42"/>
      <c r="T596" s="42"/>
      <c r="U596" s="42"/>
      <c r="V596" s="42"/>
      <c r="W596" s="42"/>
      <c r="X596" s="42"/>
      <c r="Y596" s="42"/>
      <c r="Z596" s="42"/>
    </row>
    <row r="597">
      <c r="A597" s="133"/>
      <c r="B597" s="134"/>
      <c r="C597" s="63"/>
      <c r="D597" s="63"/>
      <c r="E597" s="135"/>
      <c r="F597" s="42"/>
      <c r="G597" s="42"/>
      <c r="H597" s="42"/>
      <c r="I597" s="42"/>
      <c r="J597" s="42"/>
      <c r="K597" s="42"/>
      <c r="L597" s="42"/>
      <c r="M597" s="42"/>
      <c r="N597" s="42"/>
      <c r="O597" s="42"/>
      <c r="P597" s="42"/>
      <c r="Q597" s="42"/>
      <c r="R597" s="42"/>
      <c r="S597" s="42"/>
      <c r="T597" s="42"/>
      <c r="U597" s="42"/>
      <c r="V597" s="42"/>
      <c r="W597" s="42"/>
      <c r="X597" s="42"/>
      <c r="Y597" s="42"/>
      <c r="Z597" s="42"/>
    </row>
    <row r="598">
      <c r="A598" s="133"/>
      <c r="B598" s="134"/>
      <c r="C598" s="63"/>
      <c r="D598" s="63"/>
      <c r="E598" s="135"/>
      <c r="F598" s="42"/>
      <c r="G598" s="42"/>
      <c r="H598" s="42"/>
      <c r="I598" s="42"/>
      <c r="J598" s="42"/>
      <c r="K598" s="42"/>
      <c r="L598" s="42"/>
      <c r="M598" s="42"/>
      <c r="N598" s="42"/>
      <c r="O598" s="42"/>
      <c r="P598" s="42"/>
      <c r="Q598" s="42"/>
      <c r="R598" s="42"/>
      <c r="S598" s="42"/>
      <c r="T598" s="42"/>
      <c r="U598" s="42"/>
      <c r="V598" s="42"/>
      <c r="W598" s="42"/>
      <c r="X598" s="42"/>
      <c r="Y598" s="42"/>
      <c r="Z598" s="42"/>
    </row>
    <row r="599">
      <c r="A599" s="133"/>
      <c r="B599" s="134"/>
      <c r="C599" s="63"/>
      <c r="D599" s="63"/>
      <c r="E599" s="135"/>
      <c r="F599" s="42"/>
      <c r="G599" s="42"/>
      <c r="H599" s="42"/>
      <c r="I599" s="42"/>
      <c r="J599" s="42"/>
      <c r="K599" s="42"/>
      <c r="L599" s="42"/>
      <c r="M599" s="42"/>
      <c r="N599" s="42"/>
      <c r="O599" s="42"/>
      <c r="P599" s="42"/>
      <c r="Q599" s="42"/>
      <c r="R599" s="42"/>
      <c r="S599" s="42"/>
      <c r="T599" s="42"/>
      <c r="U599" s="42"/>
      <c r="V599" s="42"/>
      <c r="W599" s="42"/>
      <c r="X599" s="42"/>
      <c r="Y599" s="42"/>
      <c r="Z599" s="42"/>
    </row>
    <row r="600">
      <c r="A600" s="133"/>
      <c r="B600" s="134"/>
      <c r="C600" s="63"/>
      <c r="D600" s="63"/>
      <c r="E600" s="135"/>
      <c r="F600" s="42"/>
      <c r="G600" s="42"/>
      <c r="H600" s="42"/>
      <c r="I600" s="42"/>
      <c r="J600" s="42"/>
      <c r="K600" s="42"/>
      <c r="L600" s="42"/>
      <c r="M600" s="42"/>
      <c r="N600" s="42"/>
      <c r="O600" s="42"/>
      <c r="P600" s="42"/>
      <c r="Q600" s="42"/>
      <c r="R600" s="42"/>
      <c r="S600" s="42"/>
      <c r="T600" s="42"/>
      <c r="U600" s="42"/>
      <c r="V600" s="42"/>
      <c r="W600" s="42"/>
      <c r="X600" s="42"/>
      <c r="Y600" s="42"/>
      <c r="Z600" s="42"/>
    </row>
    <row r="601">
      <c r="A601" s="133"/>
      <c r="B601" s="134"/>
      <c r="C601" s="63"/>
      <c r="D601" s="63"/>
      <c r="E601" s="135"/>
      <c r="F601" s="42"/>
      <c r="G601" s="42"/>
      <c r="H601" s="42"/>
      <c r="I601" s="42"/>
      <c r="J601" s="42"/>
      <c r="K601" s="42"/>
      <c r="L601" s="42"/>
      <c r="M601" s="42"/>
      <c r="N601" s="42"/>
      <c r="O601" s="42"/>
      <c r="P601" s="42"/>
      <c r="Q601" s="42"/>
      <c r="R601" s="42"/>
      <c r="S601" s="42"/>
      <c r="T601" s="42"/>
      <c r="U601" s="42"/>
      <c r="V601" s="42"/>
      <c r="W601" s="42"/>
      <c r="X601" s="42"/>
      <c r="Y601" s="42"/>
      <c r="Z601" s="42"/>
    </row>
    <row r="602">
      <c r="A602" s="133"/>
      <c r="B602" s="134"/>
      <c r="C602" s="63"/>
      <c r="D602" s="63"/>
      <c r="E602" s="135"/>
      <c r="F602" s="42"/>
      <c r="G602" s="42"/>
      <c r="H602" s="42"/>
      <c r="I602" s="42"/>
      <c r="J602" s="42"/>
      <c r="K602" s="42"/>
      <c r="L602" s="42"/>
      <c r="M602" s="42"/>
      <c r="N602" s="42"/>
      <c r="O602" s="42"/>
      <c r="P602" s="42"/>
      <c r="Q602" s="42"/>
      <c r="R602" s="42"/>
      <c r="S602" s="42"/>
      <c r="T602" s="42"/>
      <c r="U602" s="42"/>
      <c r="V602" s="42"/>
      <c r="W602" s="42"/>
      <c r="X602" s="42"/>
      <c r="Y602" s="42"/>
      <c r="Z602" s="42"/>
    </row>
    <row r="603">
      <c r="A603" s="133"/>
      <c r="B603" s="134"/>
      <c r="C603" s="63"/>
      <c r="D603" s="63"/>
      <c r="E603" s="135"/>
      <c r="F603" s="42"/>
      <c r="G603" s="42"/>
      <c r="H603" s="42"/>
      <c r="I603" s="42"/>
      <c r="J603" s="42"/>
      <c r="K603" s="42"/>
      <c r="L603" s="42"/>
      <c r="M603" s="42"/>
      <c r="N603" s="42"/>
      <c r="O603" s="42"/>
      <c r="P603" s="42"/>
      <c r="Q603" s="42"/>
      <c r="R603" s="42"/>
      <c r="S603" s="42"/>
      <c r="T603" s="42"/>
      <c r="U603" s="42"/>
      <c r="V603" s="42"/>
      <c r="W603" s="42"/>
      <c r="X603" s="42"/>
      <c r="Y603" s="42"/>
      <c r="Z603" s="42"/>
    </row>
    <row r="604">
      <c r="A604" s="133"/>
      <c r="B604" s="134"/>
      <c r="C604" s="63"/>
      <c r="D604" s="63"/>
      <c r="E604" s="135"/>
      <c r="F604" s="42"/>
      <c r="G604" s="42"/>
      <c r="H604" s="42"/>
      <c r="I604" s="42"/>
      <c r="J604" s="42"/>
      <c r="K604" s="42"/>
      <c r="L604" s="42"/>
      <c r="M604" s="42"/>
      <c r="N604" s="42"/>
      <c r="O604" s="42"/>
      <c r="P604" s="42"/>
      <c r="Q604" s="42"/>
      <c r="R604" s="42"/>
      <c r="S604" s="42"/>
      <c r="T604" s="42"/>
      <c r="U604" s="42"/>
      <c r="V604" s="42"/>
      <c r="W604" s="42"/>
      <c r="X604" s="42"/>
      <c r="Y604" s="42"/>
      <c r="Z604" s="42"/>
    </row>
    <row r="605">
      <c r="A605" s="133"/>
      <c r="B605" s="134"/>
      <c r="C605" s="63"/>
      <c r="D605" s="63"/>
      <c r="E605" s="135"/>
      <c r="F605" s="42"/>
      <c r="G605" s="42"/>
      <c r="H605" s="42"/>
      <c r="I605" s="42"/>
      <c r="J605" s="42"/>
      <c r="K605" s="42"/>
      <c r="L605" s="42"/>
      <c r="M605" s="42"/>
      <c r="N605" s="42"/>
      <c r="O605" s="42"/>
      <c r="P605" s="42"/>
      <c r="Q605" s="42"/>
      <c r="R605" s="42"/>
      <c r="S605" s="42"/>
      <c r="T605" s="42"/>
      <c r="U605" s="42"/>
      <c r="V605" s="42"/>
      <c r="W605" s="42"/>
      <c r="X605" s="42"/>
      <c r="Y605" s="42"/>
      <c r="Z605" s="42"/>
    </row>
    <row r="606">
      <c r="A606" s="133"/>
      <c r="B606" s="134"/>
      <c r="C606" s="63"/>
      <c r="D606" s="63"/>
      <c r="E606" s="135"/>
      <c r="F606" s="42"/>
      <c r="G606" s="42"/>
      <c r="H606" s="42"/>
      <c r="I606" s="42"/>
      <c r="J606" s="42"/>
      <c r="K606" s="42"/>
      <c r="L606" s="42"/>
      <c r="M606" s="42"/>
      <c r="N606" s="42"/>
      <c r="O606" s="42"/>
      <c r="P606" s="42"/>
      <c r="Q606" s="42"/>
      <c r="R606" s="42"/>
      <c r="S606" s="42"/>
      <c r="T606" s="42"/>
      <c r="U606" s="42"/>
      <c r="V606" s="42"/>
      <c r="W606" s="42"/>
      <c r="X606" s="42"/>
      <c r="Y606" s="42"/>
      <c r="Z606" s="42"/>
    </row>
    <row r="607">
      <c r="A607" s="133"/>
      <c r="B607" s="134"/>
      <c r="C607" s="63"/>
      <c r="D607" s="63"/>
      <c r="E607" s="135"/>
      <c r="F607" s="42"/>
      <c r="G607" s="42"/>
      <c r="H607" s="42"/>
      <c r="I607" s="42"/>
      <c r="J607" s="42"/>
      <c r="K607" s="42"/>
      <c r="L607" s="42"/>
      <c r="M607" s="42"/>
      <c r="N607" s="42"/>
      <c r="O607" s="42"/>
      <c r="P607" s="42"/>
      <c r="Q607" s="42"/>
      <c r="R607" s="42"/>
      <c r="S607" s="42"/>
      <c r="T607" s="42"/>
      <c r="U607" s="42"/>
      <c r="V607" s="42"/>
      <c r="W607" s="42"/>
      <c r="X607" s="42"/>
      <c r="Y607" s="42"/>
      <c r="Z607" s="42"/>
    </row>
    <row r="608">
      <c r="A608" s="133"/>
      <c r="B608" s="134"/>
      <c r="C608" s="63"/>
      <c r="D608" s="63"/>
      <c r="E608" s="135"/>
      <c r="F608" s="42"/>
      <c r="G608" s="42"/>
      <c r="H608" s="42"/>
      <c r="I608" s="42"/>
      <c r="J608" s="42"/>
      <c r="K608" s="42"/>
      <c r="L608" s="42"/>
      <c r="M608" s="42"/>
      <c r="N608" s="42"/>
      <c r="O608" s="42"/>
      <c r="P608" s="42"/>
      <c r="Q608" s="42"/>
      <c r="R608" s="42"/>
      <c r="S608" s="42"/>
      <c r="T608" s="42"/>
      <c r="U608" s="42"/>
      <c r="V608" s="42"/>
      <c r="W608" s="42"/>
      <c r="X608" s="42"/>
      <c r="Y608" s="42"/>
      <c r="Z608" s="42"/>
    </row>
    <row r="609">
      <c r="A609" s="133"/>
      <c r="B609" s="134"/>
      <c r="C609" s="63"/>
      <c r="D609" s="63"/>
      <c r="E609" s="135"/>
      <c r="F609" s="42"/>
      <c r="G609" s="42"/>
      <c r="H609" s="42"/>
      <c r="I609" s="42"/>
      <c r="J609" s="42"/>
      <c r="K609" s="42"/>
      <c r="L609" s="42"/>
      <c r="M609" s="42"/>
      <c r="N609" s="42"/>
      <c r="O609" s="42"/>
      <c r="P609" s="42"/>
      <c r="Q609" s="42"/>
      <c r="R609" s="42"/>
      <c r="S609" s="42"/>
      <c r="T609" s="42"/>
      <c r="U609" s="42"/>
      <c r="V609" s="42"/>
      <c r="W609" s="42"/>
      <c r="X609" s="42"/>
      <c r="Y609" s="42"/>
      <c r="Z609" s="42"/>
    </row>
    <row r="610">
      <c r="A610" s="133"/>
      <c r="B610" s="134"/>
      <c r="C610" s="63"/>
      <c r="D610" s="63"/>
      <c r="E610" s="135"/>
      <c r="F610" s="42"/>
      <c r="G610" s="42"/>
      <c r="H610" s="42"/>
      <c r="I610" s="42"/>
      <c r="J610" s="42"/>
      <c r="K610" s="42"/>
      <c r="L610" s="42"/>
      <c r="M610" s="42"/>
      <c r="N610" s="42"/>
      <c r="O610" s="42"/>
      <c r="P610" s="42"/>
      <c r="Q610" s="42"/>
      <c r="R610" s="42"/>
      <c r="S610" s="42"/>
      <c r="T610" s="42"/>
      <c r="U610" s="42"/>
      <c r="V610" s="42"/>
      <c r="W610" s="42"/>
      <c r="X610" s="42"/>
      <c r="Y610" s="42"/>
      <c r="Z610" s="42"/>
    </row>
    <row r="611">
      <c r="A611" s="133"/>
      <c r="B611" s="134"/>
      <c r="C611" s="63"/>
      <c r="D611" s="63"/>
      <c r="E611" s="135"/>
      <c r="F611" s="42"/>
      <c r="G611" s="42"/>
      <c r="H611" s="42"/>
      <c r="I611" s="42"/>
      <c r="J611" s="42"/>
      <c r="K611" s="42"/>
      <c r="L611" s="42"/>
      <c r="M611" s="42"/>
      <c r="N611" s="42"/>
      <c r="O611" s="42"/>
      <c r="P611" s="42"/>
      <c r="Q611" s="42"/>
      <c r="R611" s="42"/>
      <c r="S611" s="42"/>
      <c r="T611" s="42"/>
      <c r="U611" s="42"/>
      <c r="V611" s="42"/>
      <c r="W611" s="42"/>
      <c r="X611" s="42"/>
      <c r="Y611" s="42"/>
      <c r="Z611" s="42"/>
    </row>
    <row r="612">
      <c r="A612" s="133"/>
      <c r="B612" s="134"/>
      <c r="C612" s="63"/>
      <c r="D612" s="63"/>
      <c r="E612" s="135"/>
      <c r="F612" s="42"/>
      <c r="G612" s="42"/>
      <c r="H612" s="42"/>
      <c r="I612" s="42"/>
      <c r="J612" s="42"/>
      <c r="K612" s="42"/>
      <c r="L612" s="42"/>
      <c r="M612" s="42"/>
      <c r="N612" s="42"/>
      <c r="O612" s="42"/>
      <c r="P612" s="42"/>
      <c r="Q612" s="42"/>
      <c r="R612" s="42"/>
      <c r="S612" s="42"/>
      <c r="T612" s="42"/>
      <c r="U612" s="42"/>
      <c r="V612" s="42"/>
      <c r="W612" s="42"/>
      <c r="X612" s="42"/>
      <c r="Y612" s="42"/>
      <c r="Z612" s="42"/>
    </row>
    <row r="613">
      <c r="A613" s="133"/>
      <c r="B613" s="134"/>
      <c r="C613" s="63"/>
      <c r="D613" s="63"/>
      <c r="E613" s="135"/>
      <c r="F613" s="42"/>
      <c r="G613" s="42"/>
      <c r="H613" s="42"/>
      <c r="I613" s="42"/>
      <c r="J613" s="42"/>
      <c r="K613" s="42"/>
      <c r="L613" s="42"/>
      <c r="M613" s="42"/>
      <c r="N613" s="42"/>
      <c r="O613" s="42"/>
      <c r="P613" s="42"/>
      <c r="Q613" s="42"/>
      <c r="R613" s="42"/>
      <c r="S613" s="42"/>
      <c r="T613" s="42"/>
      <c r="U613" s="42"/>
      <c r="V613" s="42"/>
      <c r="W613" s="42"/>
      <c r="X613" s="42"/>
      <c r="Y613" s="42"/>
      <c r="Z613" s="42"/>
    </row>
    <row r="614">
      <c r="A614" s="133"/>
      <c r="B614" s="134"/>
      <c r="C614" s="63"/>
      <c r="D614" s="63"/>
      <c r="E614" s="135"/>
      <c r="F614" s="42"/>
      <c r="G614" s="42"/>
      <c r="H614" s="42"/>
      <c r="I614" s="42"/>
      <c r="J614" s="42"/>
      <c r="K614" s="42"/>
      <c r="L614" s="42"/>
      <c r="M614" s="42"/>
      <c r="N614" s="42"/>
      <c r="O614" s="42"/>
      <c r="P614" s="42"/>
      <c r="Q614" s="42"/>
      <c r="R614" s="42"/>
      <c r="S614" s="42"/>
      <c r="T614" s="42"/>
      <c r="U614" s="42"/>
      <c r="V614" s="42"/>
      <c r="W614" s="42"/>
      <c r="X614" s="42"/>
      <c r="Y614" s="42"/>
      <c r="Z614" s="42"/>
    </row>
    <row r="615">
      <c r="A615" s="133"/>
      <c r="B615" s="134"/>
      <c r="C615" s="63"/>
      <c r="D615" s="63"/>
      <c r="E615" s="135"/>
      <c r="F615" s="42"/>
      <c r="G615" s="42"/>
      <c r="H615" s="42"/>
      <c r="I615" s="42"/>
      <c r="J615" s="42"/>
      <c r="K615" s="42"/>
      <c r="L615" s="42"/>
      <c r="M615" s="42"/>
      <c r="N615" s="42"/>
      <c r="O615" s="42"/>
      <c r="P615" s="42"/>
      <c r="Q615" s="42"/>
      <c r="R615" s="42"/>
      <c r="S615" s="42"/>
      <c r="T615" s="42"/>
      <c r="U615" s="42"/>
      <c r="V615" s="42"/>
      <c r="W615" s="42"/>
      <c r="X615" s="42"/>
      <c r="Y615" s="42"/>
      <c r="Z615" s="42"/>
    </row>
    <row r="616">
      <c r="A616" s="133"/>
      <c r="B616" s="134"/>
      <c r="C616" s="63"/>
      <c r="D616" s="63"/>
      <c r="E616" s="135"/>
      <c r="F616" s="42"/>
      <c r="G616" s="42"/>
      <c r="H616" s="42"/>
      <c r="I616" s="42"/>
      <c r="J616" s="42"/>
      <c r="K616" s="42"/>
      <c r="L616" s="42"/>
      <c r="M616" s="42"/>
      <c r="N616" s="42"/>
      <c r="O616" s="42"/>
      <c r="P616" s="42"/>
      <c r="Q616" s="42"/>
      <c r="R616" s="42"/>
      <c r="S616" s="42"/>
      <c r="T616" s="42"/>
      <c r="U616" s="42"/>
      <c r="V616" s="42"/>
      <c r="W616" s="42"/>
      <c r="X616" s="42"/>
      <c r="Y616" s="42"/>
      <c r="Z616" s="42"/>
    </row>
    <row r="617">
      <c r="A617" s="133"/>
      <c r="B617" s="134"/>
      <c r="C617" s="63"/>
      <c r="D617" s="63"/>
      <c r="E617" s="135"/>
      <c r="F617" s="42"/>
      <c r="G617" s="42"/>
      <c r="H617" s="42"/>
      <c r="I617" s="42"/>
      <c r="J617" s="42"/>
      <c r="K617" s="42"/>
      <c r="L617" s="42"/>
      <c r="M617" s="42"/>
      <c r="N617" s="42"/>
      <c r="O617" s="42"/>
      <c r="P617" s="42"/>
      <c r="Q617" s="42"/>
      <c r="R617" s="42"/>
      <c r="S617" s="42"/>
      <c r="T617" s="42"/>
      <c r="U617" s="42"/>
      <c r="V617" s="42"/>
      <c r="W617" s="42"/>
      <c r="X617" s="42"/>
      <c r="Y617" s="42"/>
      <c r="Z617" s="42"/>
    </row>
    <row r="618">
      <c r="A618" s="133"/>
      <c r="B618" s="134"/>
      <c r="C618" s="63"/>
      <c r="D618" s="63"/>
      <c r="E618" s="135"/>
      <c r="F618" s="42"/>
      <c r="G618" s="42"/>
      <c r="H618" s="42"/>
      <c r="I618" s="42"/>
      <c r="J618" s="42"/>
      <c r="K618" s="42"/>
      <c r="L618" s="42"/>
      <c r="M618" s="42"/>
      <c r="N618" s="42"/>
      <c r="O618" s="42"/>
      <c r="P618" s="42"/>
      <c r="Q618" s="42"/>
      <c r="R618" s="42"/>
      <c r="S618" s="42"/>
      <c r="T618" s="42"/>
      <c r="U618" s="42"/>
      <c r="V618" s="42"/>
      <c r="W618" s="42"/>
      <c r="X618" s="42"/>
      <c r="Y618" s="42"/>
      <c r="Z618" s="42"/>
    </row>
    <row r="619">
      <c r="A619" s="133"/>
      <c r="B619" s="134"/>
      <c r="C619" s="63"/>
      <c r="D619" s="63"/>
      <c r="E619" s="135"/>
      <c r="F619" s="42"/>
      <c r="G619" s="42"/>
      <c r="H619" s="42"/>
      <c r="I619" s="42"/>
      <c r="J619" s="42"/>
      <c r="K619" s="42"/>
      <c r="L619" s="42"/>
      <c r="M619" s="42"/>
      <c r="N619" s="42"/>
      <c r="O619" s="42"/>
      <c r="P619" s="42"/>
      <c r="Q619" s="42"/>
      <c r="R619" s="42"/>
      <c r="S619" s="42"/>
      <c r="T619" s="42"/>
      <c r="U619" s="42"/>
      <c r="V619" s="42"/>
      <c r="W619" s="42"/>
      <c r="X619" s="42"/>
      <c r="Y619" s="42"/>
      <c r="Z619" s="42"/>
    </row>
    <row r="620">
      <c r="A620" s="133"/>
      <c r="B620" s="134"/>
      <c r="C620" s="63"/>
      <c r="D620" s="63"/>
      <c r="E620" s="135"/>
      <c r="F620" s="42"/>
      <c r="G620" s="42"/>
      <c r="H620" s="42"/>
      <c r="I620" s="42"/>
      <c r="J620" s="42"/>
      <c r="K620" s="42"/>
      <c r="L620" s="42"/>
      <c r="M620" s="42"/>
      <c r="N620" s="42"/>
      <c r="O620" s="42"/>
      <c r="P620" s="42"/>
      <c r="Q620" s="42"/>
      <c r="R620" s="42"/>
      <c r="S620" s="42"/>
      <c r="T620" s="42"/>
      <c r="U620" s="42"/>
      <c r="V620" s="42"/>
      <c r="W620" s="42"/>
      <c r="X620" s="42"/>
      <c r="Y620" s="42"/>
      <c r="Z620" s="42"/>
    </row>
    <row r="621">
      <c r="A621" s="133"/>
      <c r="B621" s="134"/>
      <c r="C621" s="63"/>
      <c r="D621" s="63"/>
      <c r="E621" s="135"/>
      <c r="F621" s="42"/>
      <c r="G621" s="42"/>
      <c r="H621" s="42"/>
      <c r="I621" s="42"/>
      <c r="J621" s="42"/>
      <c r="K621" s="42"/>
      <c r="L621" s="42"/>
      <c r="M621" s="42"/>
      <c r="N621" s="42"/>
      <c r="O621" s="42"/>
      <c r="P621" s="42"/>
      <c r="Q621" s="42"/>
      <c r="R621" s="42"/>
      <c r="S621" s="42"/>
      <c r="T621" s="42"/>
      <c r="U621" s="42"/>
      <c r="V621" s="42"/>
      <c r="W621" s="42"/>
      <c r="X621" s="42"/>
      <c r="Y621" s="42"/>
      <c r="Z621" s="42"/>
    </row>
    <row r="622">
      <c r="A622" s="133"/>
      <c r="B622" s="134"/>
      <c r="C622" s="63"/>
      <c r="D622" s="63"/>
      <c r="E622" s="135"/>
      <c r="F622" s="42"/>
      <c r="G622" s="42"/>
      <c r="H622" s="42"/>
      <c r="I622" s="42"/>
      <c r="J622" s="42"/>
      <c r="K622" s="42"/>
      <c r="L622" s="42"/>
      <c r="M622" s="42"/>
      <c r="N622" s="42"/>
      <c r="O622" s="42"/>
      <c r="P622" s="42"/>
      <c r="Q622" s="42"/>
      <c r="R622" s="42"/>
      <c r="S622" s="42"/>
      <c r="T622" s="42"/>
      <c r="U622" s="42"/>
      <c r="V622" s="42"/>
      <c r="W622" s="42"/>
      <c r="X622" s="42"/>
      <c r="Y622" s="42"/>
      <c r="Z622" s="42"/>
    </row>
    <row r="623">
      <c r="A623" s="133"/>
      <c r="B623" s="134"/>
      <c r="C623" s="63"/>
      <c r="D623" s="63"/>
      <c r="E623" s="135"/>
      <c r="F623" s="42"/>
      <c r="G623" s="42"/>
      <c r="H623" s="42"/>
      <c r="I623" s="42"/>
      <c r="J623" s="42"/>
      <c r="K623" s="42"/>
      <c r="L623" s="42"/>
      <c r="M623" s="42"/>
      <c r="N623" s="42"/>
      <c r="O623" s="42"/>
      <c r="P623" s="42"/>
      <c r="Q623" s="42"/>
      <c r="R623" s="42"/>
      <c r="S623" s="42"/>
      <c r="T623" s="42"/>
      <c r="U623" s="42"/>
      <c r="V623" s="42"/>
      <c r="W623" s="42"/>
      <c r="X623" s="42"/>
      <c r="Y623" s="42"/>
      <c r="Z623" s="42"/>
    </row>
    <row r="624">
      <c r="A624" s="133"/>
      <c r="B624" s="134"/>
      <c r="C624" s="63"/>
      <c r="D624" s="63"/>
      <c r="E624" s="135"/>
      <c r="F624" s="42"/>
      <c r="G624" s="42"/>
      <c r="H624" s="42"/>
      <c r="I624" s="42"/>
      <c r="J624" s="42"/>
      <c r="K624" s="42"/>
      <c r="L624" s="42"/>
      <c r="M624" s="42"/>
      <c r="N624" s="42"/>
      <c r="O624" s="42"/>
      <c r="P624" s="42"/>
      <c r="Q624" s="42"/>
      <c r="R624" s="42"/>
      <c r="S624" s="42"/>
      <c r="T624" s="42"/>
      <c r="U624" s="42"/>
      <c r="V624" s="42"/>
      <c r="W624" s="42"/>
      <c r="X624" s="42"/>
      <c r="Y624" s="42"/>
      <c r="Z624" s="42"/>
    </row>
    <row r="625">
      <c r="A625" s="133"/>
      <c r="B625" s="134"/>
      <c r="C625" s="63"/>
      <c r="D625" s="63"/>
      <c r="E625" s="135"/>
      <c r="F625" s="42"/>
      <c r="G625" s="42"/>
      <c r="H625" s="42"/>
      <c r="I625" s="42"/>
      <c r="J625" s="42"/>
      <c r="K625" s="42"/>
      <c r="L625" s="42"/>
      <c r="M625" s="42"/>
      <c r="N625" s="42"/>
      <c r="O625" s="42"/>
      <c r="P625" s="42"/>
      <c r="Q625" s="42"/>
      <c r="R625" s="42"/>
      <c r="S625" s="42"/>
      <c r="T625" s="42"/>
      <c r="U625" s="42"/>
      <c r="V625" s="42"/>
      <c r="W625" s="42"/>
      <c r="X625" s="42"/>
      <c r="Y625" s="42"/>
      <c r="Z625" s="42"/>
    </row>
    <row r="626">
      <c r="A626" s="133"/>
      <c r="B626" s="134"/>
      <c r="C626" s="63"/>
      <c r="D626" s="63"/>
      <c r="E626" s="135"/>
      <c r="F626" s="42"/>
      <c r="G626" s="42"/>
      <c r="H626" s="42"/>
      <c r="I626" s="42"/>
      <c r="J626" s="42"/>
      <c r="K626" s="42"/>
      <c r="L626" s="42"/>
      <c r="M626" s="42"/>
      <c r="N626" s="42"/>
      <c r="O626" s="42"/>
      <c r="P626" s="42"/>
      <c r="Q626" s="42"/>
      <c r="R626" s="42"/>
      <c r="S626" s="42"/>
      <c r="T626" s="42"/>
      <c r="U626" s="42"/>
      <c r="V626" s="42"/>
      <c r="W626" s="42"/>
      <c r="X626" s="42"/>
      <c r="Y626" s="42"/>
      <c r="Z626" s="42"/>
    </row>
    <row r="627">
      <c r="A627" s="133"/>
      <c r="B627" s="134"/>
      <c r="C627" s="63"/>
      <c r="D627" s="63"/>
      <c r="E627" s="135"/>
      <c r="F627" s="42"/>
      <c r="G627" s="42"/>
      <c r="H627" s="42"/>
      <c r="I627" s="42"/>
      <c r="J627" s="42"/>
      <c r="K627" s="42"/>
      <c r="L627" s="42"/>
      <c r="M627" s="42"/>
      <c r="N627" s="42"/>
      <c r="O627" s="42"/>
      <c r="P627" s="42"/>
      <c r="Q627" s="42"/>
      <c r="R627" s="42"/>
      <c r="S627" s="42"/>
      <c r="T627" s="42"/>
      <c r="U627" s="42"/>
      <c r="V627" s="42"/>
      <c r="W627" s="42"/>
      <c r="X627" s="42"/>
      <c r="Y627" s="42"/>
      <c r="Z627" s="42"/>
    </row>
    <row r="628">
      <c r="A628" s="133"/>
      <c r="B628" s="134"/>
      <c r="C628" s="63"/>
      <c r="D628" s="63"/>
      <c r="E628" s="135"/>
      <c r="F628" s="42"/>
      <c r="G628" s="42"/>
      <c r="H628" s="42"/>
      <c r="I628" s="42"/>
      <c r="J628" s="42"/>
      <c r="K628" s="42"/>
      <c r="L628" s="42"/>
      <c r="M628" s="42"/>
      <c r="N628" s="42"/>
      <c r="O628" s="42"/>
      <c r="P628" s="42"/>
      <c r="Q628" s="42"/>
      <c r="R628" s="42"/>
      <c r="S628" s="42"/>
      <c r="T628" s="42"/>
      <c r="U628" s="42"/>
      <c r="V628" s="42"/>
      <c r="W628" s="42"/>
      <c r="X628" s="42"/>
      <c r="Y628" s="42"/>
      <c r="Z628" s="42"/>
    </row>
    <row r="629">
      <c r="A629" s="133"/>
      <c r="B629" s="134"/>
      <c r="C629" s="63"/>
      <c r="D629" s="63"/>
      <c r="E629" s="135"/>
      <c r="F629" s="42"/>
      <c r="G629" s="42"/>
      <c r="H629" s="42"/>
      <c r="I629" s="42"/>
      <c r="J629" s="42"/>
      <c r="K629" s="42"/>
      <c r="L629" s="42"/>
      <c r="M629" s="42"/>
      <c r="N629" s="42"/>
      <c r="O629" s="42"/>
      <c r="P629" s="42"/>
      <c r="Q629" s="42"/>
      <c r="R629" s="42"/>
      <c r="S629" s="42"/>
      <c r="T629" s="42"/>
      <c r="U629" s="42"/>
      <c r="V629" s="42"/>
      <c r="W629" s="42"/>
      <c r="X629" s="42"/>
      <c r="Y629" s="42"/>
      <c r="Z629" s="42"/>
    </row>
    <row r="630">
      <c r="A630" s="133"/>
      <c r="B630" s="134"/>
      <c r="C630" s="63"/>
      <c r="D630" s="63"/>
      <c r="E630" s="135"/>
      <c r="F630" s="42"/>
      <c r="G630" s="42"/>
      <c r="H630" s="42"/>
      <c r="I630" s="42"/>
      <c r="J630" s="42"/>
      <c r="K630" s="42"/>
      <c r="L630" s="42"/>
      <c r="M630" s="42"/>
      <c r="N630" s="42"/>
      <c r="O630" s="42"/>
      <c r="P630" s="42"/>
      <c r="Q630" s="42"/>
      <c r="R630" s="42"/>
      <c r="S630" s="42"/>
      <c r="T630" s="42"/>
      <c r="U630" s="42"/>
      <c r="V630" s="42"/>
      <c r="W630" s="42"/>
      <c r="X630" s="42"/>
      <c r="Y630" s="42"/>
      <c r="Z630" s="42"/>
    </row>
    <row r="631">
      <c r="A631" s="133"/>
      <c r="B631" s="134"/>
      <c r="C631" s="63"/>
      <c r="D631" s="63"/>
      <c r="E631" s="135"/>
      <c r="F631" s="42"/>
      <c r="G631" s="42"/>
      <c r="H631" s="42"/>
      <c r="I631" s="42"/>
      <c r="J631" s="42"/>
      <c r="K631" s="42"/>
      <c r="L631" s="42"/>
      <c r="M631" s="42"/>
      <c r="N631" s="42"/>
      <c r="O631" s="42"/>
      <c r="P631" s="42"/>
      <c r="Q631" s="42"/>
      <c r="R631" s="42"/>
      <c r="S631" s="42"/>
      <c r="T631" s="42"/>
      <c r="U631" s="42"/>
      <c r="V631" s="42"/>
      <c r="W631" s="42"/>
      <c r="X631" s="42"/>
      <c r="Y631" s="42"/>
      <c r="Z631" s="42"/>
    </row>
    <row r="632">
      <c r="A632" s="133"/>
      <c r="B632" s="134"/>
      <c r="C632" s="63"/>
      <c r="D632" s="63"/>
      <c r="E632" s="135"/>
      <c r="F632" s="42"/>
      <c r="G632" s="42"/>
      <c r="H632" s="42"/>
      <c r="I632" s="42"/>
      <c r="J632" s="42"/>
      <c r="K632" s="42"/>
      <c r="L632" s="42"/>
      <c r="M632" s="42"/>
      <c r="N632" s="42"/>
      <c r="O632" s="42"/>
      <c r="P632" s="42"/>
      <c r="Q632" s="42"/>
      <c r="R632" s="42"/>
      <c r="S632" s="42"/>
      <c r="T632" s="42"/>
      <c r="U632" s="42"/>
      <c r="V632" s="42"/>
      <c r="W632" s="42"/>
      <c r="X632" s="42"/>
      <c r="Y632" s="42"/>
      <c r="Z632" s="42"/>
    </row>
    <row r="633">
      <c r="A633" s="133"/>
      <c r="B633" s="134"/>
      <c r="C633" s="63"/>
      <c r="D633" s="63"/>
      <c r="E633" s="135"/>
      <c r="F633" s="42"/>
      <c r="G633" s="42"/>
      <c r="H633" s="42"/>
      <c r="I633" s="42"/>
      <c r="J633" s="42"/>
      <c r="K633" s="42"/>
      <c r="L633" s="42"/>
      <c r="M633" s="42"/>
      <c r="N633" s="42"/>
      <c r="O633" s="42"/>
      <c r="P633" s="42"/>
      <c r="Q633" s="42"/>
      <c r="R633" s="42"/>
      <c r="S633" s="42"/>
      <c r="T633" s="42"/>
      <c r="U633" s="42"/>
      <c r="V633" s="42"/>
      <c r="W633" s="42"/>
      <c r="X633" s="42"/>
      <c r="Y633" s="42"/>
      <c r="Z633" s="42"/>
    </row>
    <row r="634">
      <c r="A634" s="133"/>
      <c r="B634" s="134"/>
      <c r="C634" s="63"/>
      <c r="D634" s="63"/>
      <c r="E634" s="135"/>
      <c r="F634" s="42"/>
      <c r="G634" s="42"/>
      <c r="H634" s="42"/>
      <c r="I634" s="42"/>
      <c r="J634" s="42"/>
      <c r="K634" s="42"/>
      <c r="L634" s="42"/>
      <c r="M634" s="42"/>
      <c r="N634" s="42"/>
      <c r="O634" s="42"/>
      <c r="P634" s="42"/>
      <c r="Q634" s="42"/>
      <c r="R634" s="42"/>
      <c r="S634" s="42"/>
      <c r="T634" s="42"/>
      <c r="U634" s="42"/>
      <c r="V634" s="42"/>
      <c r="W634" s="42"/>
      <c r="X634" s="42"/>
      <c r="Y634" s="42"/>
      <c r="Z634" s="42"/>
    </row>
    <row r="635">
      <c r="A635" s="133"/>
      <c r="B635" s="134"/>
      <c r="C635" s="63"/>
      <c r="D635" s="63"/>
      <c r="E635" s="135"/>
      <c r="F635" s="42"/>
      <c r="G635" s="42"/>
      <c r="H635" s="42"/>
      <c r="I635" s="42"/>
      <c r="J635" s="42"/>
      <c r="K635" s="42"/>
      <c r="L635" s="42"/>
      <c r="M635" s="42"/>
      <c r="N635" s="42"/>
      <c r="O635" s="42"/>
      <c r="P635" s="42"/>
      <c r="Q635" s="42"/>
      <c r="R635" s="42"/>
      <c r="S635" s="42"/>
      <c r="T635" s="42"/>
      <c r="U635" s="42"/>
      <c r="V635" s="42"/>
      <c r="W635" s="42"/>
      <c r="X635" s="42"/>
      <c r="Y635" s="42"/>
      <c r="Z635" s="42"/>
    </row>
    <row r="636">
      <c r="A636" s="133"/>
      <c r="B636" s="134"/>
      <c r="C636" s="63"/>
      <c r="D636" s="63"/>
      <c r="E636" s="135"/>
      <c r="F636" s="42"/>
      <c r="G636" s="42"/>
      <c r="H636" s="42"/>
      <c r="I636" s="42"/>
      <c r="J636" s="42"/>
      <c r="K636" s="42"/>
      <c r="L636" s="42"/>
      <c r="M636" s="42"/>
      <c r="N636" s="42"/>
      <c r="O636" s="42"/>
      <c r="P636" s="42"/>
      <c r="Q636" s="42"/>
      <c r="R636" s="42"/>
      <c r="S636" s="42"/>
      <c r="T636" s="42"/>
      <c r="U636" s="42"/>
      <c r="V636" s="42"/>
      <c r="W636" s="42"/>
      <c r="X636" s="42"/>
      <c r="Y636" s="42"/>
      <c r="Z636" s="42"/>
    </row>
    <row r="637">
      <c r="A637" s="133"/>
      <c r="B637" s="134"/>
      <c r="C637" s="63"/>
      <c r="D637" s="63"/>
      <c r="E637" s="135"/>
      <c r="F637" s="42"/>
      <c r="G637" s="42"/>
      <c r="H637" s="42"/>
      <c r="I637" s="42"/>
      <c r="J637" s="42"/>
      <c r="K637" s="42"/>
      <c r="L637" s="42"/>
      <c r="M637" s="42"/>
      <c r="N637" s="42"/>
      <c r="O637" s="42"/>
      <c r="P637" s="42"/>
      <c r="Q637" s="42"/>
      <c r="R637" s="42"/>
      <c r="S637" s="42"/>
      <c r="T637" s="42"/>
      <c r="U637" s="42"/>
      <c r="V637" s="42"/>
      <c r="W637" s="42"/>
      <c r="X637" s="42"/>
      <c r="Y637" s="42"/>
      <c r="Z637" s="42"/>
    </row>
    <row r="638">
      <c r="A638" s="133"/>
      <c r="B638" s="134"/>
      <c r="C638" s="63"/>
      <c r="D638" s="63"/>
      <c r="E638" s="135"/>
      <c r="F638" s="42"/>
      <c r="G638" s="42"/>
      <c r="H638" s="42"/>
      <c r="I638" s="42"/>
      <c r="J638" s="42"/>
      <c r="K638" s="42"/>
      <c r="L638" s="42"/>
      <c r="M638" s="42"/>
      <c r="N638" s="42"/>
      <c r="O638" s="42"/>
      <c r="P638" s="42"/>
      <c r="Q638" s="42"/>
      <c r="R638" s="42"/>
      <c r="S638" s="42"/>
      <c r="T638" s="42"/>
      <c r="U638" s="42"/>
      <c r="V638" s="42"/>
      <c r="W638" s="42"/>
      <c r="X638" s="42"/>
      <c r="Y638" s="42"/>
      <c r="Z638" s="42"/>
    </row>
    <row r="639">
      <c r="A639" s="133"/>
      <c r="B639" s="134"/>
      <c r="C639" s="63"/>
      <c r="D639" s="63"/>
      <c r="E639" s="135"/>
      <c r="F639" s="42"/>
      <c r="G639" s="42"/>
      <c r="H639" s="42"/>
      <c r="I639" s="42"/>
      <c r="J639" s="42"/>
      <c r="K639" s="42"/>
      <c r="L639" s="42"/>
      <c r="M639" s="42"/>
      <c r="N639" s="42"/>
      <c r="O639" s="42"/>
      <c r="P639" s="42"/>
      <c r="Q639" s="42"/>
      <c r="R639" s="42"/>
      <c r="S639" s="42"/>
      <c r="T639" s="42"/>
      <c r="U639" s="42"/>
      <c r="V639" s="42"/>
      <c r="W639" s="42"/>
      <c r="X639" s="42"/>
      <c r="Y639" s="42"/>
      <c r="Z639" s="42"/>
    </row>
    <row r="640">
      <c r="A640" s="133"/>
      <c r="B640" s="134"/>
      <c r="C640" s="63"/>
      <c r="D640" s="63"/>
      <c r="E640" s="135"/>
      <c r="F640" s="42"/>
      <c r="G640" s="42"/>
      <c r="H640" s="42"/>
      <c r="I640" s="42"/>
      <c r="J640" s="42"/>
      <c r="K640" s="42"/>
      <c r="L640" s="42"/>
      <c r="M640" s="42"/>
      <c r="N640" s="42"/>
      <c r="O640" s="42"/>
      <c r="P640" s="42"/>
      <c r="Q640" s="42"/>
      <c r="R640" s="42"/>
      <c r="S640" s="42"/>
      <c r="T640" s="42"/>
      <c r="U640" s="42"/>
      <c r="V640" s="42"/>
      <c r="W640" s="42"/>
      <c r="X640" s="42"/>
      <c r="Y640" s="42"/>
      <c r="Z640" s="42"/>
    </row>
    <row r="641">
      <c r="A641" s="133"/>
      <c r="B641" s="134"/>
      <c r="C641" s="63"/>
      <c r="D641" s="63"/>
      <c r="E641" s="135"/>
      <c r="F641" s="42"/>
      <c r="G641" s="42"/>
      <c r="H641" s="42"/>
      <c r="I641" s="42"/>
      <c r="J641" s="42"/>
      <c r="K641" s="42"/>
      <c r="L641" s="42"/>
      <c r="M641" s="42"/>
      <c r="N641" s="42"/>
      <c r="O641" s="42"/>
      <c r="P641" s="42"/>
      <c r="Q641" s="42"/>
      <c r="R641" s="42"/>
      <c r="S641" s="42"/>
      <c r="T641" s="42"/>
      <c r="U641" s="42"/>
      <c r="V641" s="42"/>
      <c r="W641" s="42"/>
      <c r="X641" s="42"/>
      <c r="Y641" s="42"/>
      <c r="Z641" s="42"/>
    </row>
    <row r="642">
      <c r="A642" s="133"/>
      <c r="B642" s="134"/>
      <c r="C642" s="63"/>
      <c r="D642" s="63"/>
      <c r="E642" s="135"/>
      <c r="F642" s="42"/>
      <c r="G642" s="42"/>
      <c r="H642" s="42"/>
      <c r="I642" s="42"/>
      <c r="J642" s="42"/>
      <c r="K642" s="42"/>
      <c r="L642" s="42"/>
      <c r="M642" s="42"/>
      <c r="N642" s="42"/>
      <c r="O642" s="42"/>
      <c r="P642" s="42"/>
      <c r="Q642" s="42"/>
      <c r="R642" s="42"/>
      <c r="S642" s="42"/>
      <c r="T642" s="42"/>
      <c r="U642" s="42"/>
      <c r="V642" s="42"/>
      <c r="W642" s="42"/>
      <c r="X642" s="42"/>
      <c r="Y642" s="42"/>
      <c r="Z642" s="42"/>
    </row>
    <row r="643">
      <c r="A643" s="133"/>
      <c r="B643" s="134"/>
      <c r="C643" s="63"/>
      <c r="D643" s="63"/>
      <c r="E643" s="135"/>
      <c r="F643" s="42"/>
      <c r="G643" s="42"/>
      <c r="H643" s="42"/>
      <c r="I643" s="42"/>
      <c r="J643" s="42"/>
      <c r="K643" s="42"/>
      <c r="L643" s="42"/>
      <c r="M643" s="42"/>
      <c r="N643" s="42"/>
      <c r="O643" s="42"/>
      <c r="P643" s="42"/>
      <c r="Q643" s="42"/>
      <c r="R643" s="42"/>
      <c r="S643" s="42"/>
      <c r="T643" s="42"/>
      <c r="U643" s="42"/>
      <c r="V643" s="42"/>
      <c r="W643" s="42"/>
      <c r="X643" s="42"/>
      <c r="Y643" s="42"/>
      <c r="Z643" s="42"/>
    </row>
    <row r="644">
      <c r="A644" s="133"/>
      <c r="B644" s="134"/>
      <c r="C644" s="63"/>
      <c r="D644" s="63"/>
      <c r="E644" s="135"/>
      <c r="F644" s="42"/>
      <c r="G644" s="42"/>
      <c r="H644" s="42"/>
      <c r="I644" s="42"/>
      <c r="J644" s="42"/>
      <c r="K644" s="42"/>
      <c r="L644" s="42"/>
      <c r="M644" s="42"/>
      <c r="N644" s="42"/>
      <c r="O644" s="42"/>
      <c r="P644" s="42"/>
      <c r="Q644" s="42"/>
      <c r="R644" s="42"/>
      <c r="S644" s="42"/>
      <c r="T644" s="42"/>
      <c r="U644" s="42"/>
      <c r="V644" s="42"/>
      <c r="W644" s="42"/>
      <c r="X644" s="42"/>
      <c r="Y644" s="42"/>
      <c r="Z644" s="42"/>
    </row>
    <row r="645">
      <c r="A645" s="133"/>
      <c r="B645" s="134"/>
      <c r="C645" s="63"/>
      <c r="D645" s="63"/>
      <c r="E645" s="135"/>
      <c r="F645" s="42"/>
      <c r="G645" s="42"/>
      <c r="H645" s="42"/>
      <c r="I645" s="42"/>
      <c r="J645" s="42"/>
      <c r="K645" s="42"/>
      <c r="L645" s="42"/>
      <c r="M645" s="42"/>
      <c r="N645" s="42"/>
      <c r="O645" s="42"/>
      <c r="P645" s="42"/>
      <c r="Q645" s="42"/>
      <c r="R645" s="42"/>
      <c r="S645" s="42"/>
      <c r="T645" s="42"/>
      <c r="U645" s="42"/>
      <c r="V645" s="42"/>
      <c r="W645" s="42"/>
      <c r="X645" s="42"/>
      <c r="Y645" s="42"/>
      <c r="Z645" s="42"/>
    </row>
    <row r="646">
      <c r="A646" s="133"/>
      <c r="B646" s="134"/>
      <c r="C646" s="63"/>
      <c r="D646" s="63"/>
      <c r="E646" s="135"/>
      <c r="F646" s="42"/>
      <c r="G646" s="42"/>
      <c r="H646" s="42"/>
      <c r="I646" s="42"/>
      <c r="J646" s="42"/>
      <c r="K646" s="42"/>
      <c r="L646" s="42"/>
      <c r="M646" s="42"/>
      <c r="N646" s="42"/>
      <c r="O646" s="42"/>
      <c r="P646" s="42"/>
      <c r="Q646" s="42"/>
      <c r="R646" s="42"/>
      <c r="S646" s="42"/>
      <c r="T646" s="42"/>
      <c r="U646" s="42"/>
      <c r="V646" s="42"/>
      <c r="W646" s="42"/>
      <c r="X646" s="42"/>
      <c r="Y646" s="42"/>
      <c r="Z646" s="42"/>
    </row>
    <row r="647">
      <c r="A647" s="133"/>
      <c r="B647" s="134"/>
      <c r="C647" s="63"/>
      <c r="D647" s="63"/>
      <c r="E647" s="135"/>
      <c r="F647" s="42"/>
      <c r="G647" s="42"/>
      <c r="H647" s="42"/>
      <c r="I647" s="42"/>
      <c r="J647" s="42"/>
      <c r="K647" s="42"/>
      <c r="L647" s="42"/>
      <c r="M647" s="42"/>
      <c r="N647" s="42"/>
      <c r="O647" s="42"/>
      <c r="P647" s="42"/>
      <c r="Q647" s="42"/>
      <c r="R647" s="42"/>
      <c r="S647" s="42"/>
      <c r="T647" s="42"/>
      <c r="U647" s="42"/>
      <c r="V647" s="42"/>
      <c r="W647" s="42"/>
      <c r="X647" s="42"/>
      <c r="Y647" s="42"/>
      <c r="Z647" s="42"/>
    </row>
    <row r="648">
      <c r="A648" s="133"/>
      <c r="B648" s="134"/>
      <c r="C648" s="63"/>
      <c r="D648" s="63"/>
      <c r="E648" s="135"/>
      <c r="F648" s="42"/>
      <c r="G648" s="42"/>
      <c r="H648" s="42"/>
      <c r="I648" s="42"/>
      <c r="J648" s="42"/>
      <c r="K648" s="42"/>
      <c r="L648" s="42"/>
      <c r="M648" s="42"/>
      <c r="N648" s="42"/>
      <c r="O648" s="42"/>
      <c r="P648" s="42"/>
      <c r="Q648" s="42"/>
      <c r="R648" s="42"/>
      <c r="S648" s="42"/>
      <c r="T648" s="42"/>
      <c r="U648" s="42"/>
      <c r="V648" s="42"/>
      <c r="W648" s="42"/>
      <c r="X648" s="42"/>
      <c r="Y648" s="42"/>
      <c r="Z648" s="42"/>
    </row>
    <row r="649">
      <c r="A649" s="133"/>
      <c r="B649" s="134"/>
      <c r="C649" s="63"/>
      <c r="D649" s="63"/>
      <c r="E649" s="135"/>
      <c r="F649" s="42"/>
      <c r="G649" s="42"/>
      <c r="H649" s="42"/>
      <c r="I649" s="42"/>
      <c r="J649" s="42"/>
      <c r="K649" s="42"/>
      <c r="L649" s="42"/>
      <c r="M649" s="42"/>
      <c r="N649" s="42"/>
      <c r="O649" s="42"/>
      <c r="P649" s="42"/>
      <c r="Q649" s="42"/>
      <c r="R649" s="42"/>
      <c r="S649" s="42"/>
      <c r="T649" s="42"/>
      <c r="U649" s="42"/>
      <c r="V649" s="42"/>
      <c r="W649" s="42"/>
      <c r="X649" s="42"/>
      <c r="Y649" s="42"/>
      <c r="Z649" s="42"/>
    </row>
    <row r="650">
      <c r="A650" s="133"/>
      <c r="B650" s="134"/>
      <c r="C650" s="63"/>
      <c r="D650" s="63"/>
      <c r="E650" s="135"/>
      <c r="F650" s="42"/>
      <c r="G650" s="42"/>
      <c r="H650" s="42"/>
      <c r="I650" s="42"/>
      <c r="J650" s="42"/>
      <c r="K650" s="42"/>
      <c r="L650" s="42"/>
      <c r="M650" s="42"/>
      <c r="N650" s="42"/>
      <c r="O650" s="42"/>
      <c r="P650" s="42"/>
      <c r="Q650" s="42"/>
      <c r="R650" s="42"/>
      <c r="S650" s="42"/>
      <c r="T650" s="42"/>
      <c r="U650" s="42"/>
      <c r="V650" s="42"/>
      <c r="W650" s="42"/>
      <c r="X650" s="42"/>
      <c r="Y650" s="42"/>
      <c r="Z650" s="42"/>
    </row>
    <row r="651">
      <c r="A651" s="133"/>
      <c r="B651" s="134"/>
      <c r="C651" s="63"/>
      <c r="D651" s="63"/>
      <c r="E651" s="135"/>
      <c r="F651" s="42"/>
      <c r="G651" s="42"/>
      <c r="H651" s="42"/>
      <c r="I651" s="42"/>
      <c r="J651" s="42"/>
      <c r="K651" s="42"/>
      <c r="L651" s="42"/>
      <c r="M651" s="42"/>
      <c r="N651" s="42"/>
      <c r="O651" s="42"/>
      <c r="P651" s="42"/>
      <c r="Q651" s="42"/>
      <c r="R651" s="42"/>
      <c r="S651" s="42"/>
      <c r="T651" s="42"/>
      <c r="U651" s="42"/>
      <c r="V651" s="42"/>
      <c r="W651" s="42"/>
      <c r="X651" s="42"/>
      <c r="Y651" s="42"/>
      <c r="Z651" s="42"/>
    </row>
    <row r="652">
      <c r="A652" s="133"/>
      <c r="B652" s="134"/>
      <c r="C652" s="63"/>
      <c r="D652" s="63"/>
      <c r="E652" s="135"/>
      <c r="F652" s="42"/>
      <c r="G652" s="42"/>
      <c r="H652" s="42"/>
      <c r="I652" s="42"/>
      <c r="J652" s="42"/>
      <c r="K652" s="42"/>
      <c r="L652" s="42"/>
      <c r="M652" s="42"/>
      <c r="N652" s="42"/>
      <c r="O652" s="42"/>
      <c r="P652" s="42"/>
      <c r="Q652" s="42"/>
      <c r="R652" s="42"/>
      <c r="S652" s="42"/>
      <c r="T652" s="42"/>
      <c r="U652" s="42"/>
      <c r="V652" s="42"/>
      <c r="W652" s="42"/>
      <c r="X652" s="42"/>
      <c r="Y652" s="42"/>
      <c r="Z652" s="42"/>
    </row>
    <row r="653">
      <c r="A653" s="133"/>
      <c r="B653" s="134"/>
      <c r="C653" s="63"/>
      <c r="D653" s="63"/>
      <c r="E653" s="135"/>
      <c r="F653" s="42"/>
      <c r="G653" s="42"/>
      <c r="H653" s="42"/>
      <c r="I653" s="42"/>
      <c r="J653" s="42"/>
      <c r="K653" s="42"/>
      <c r="L653" s="42"/>
      <c r="M653" s="42"/>
      <c r="N653" s="42"/>
      <c r="O653" s="42"/>
      <c r="P653" s="42"/>
      <c r="Q653" s="42"/>
      <c r="R653" s="42"/>
      <c r="S653" s="42"/>
      <c r="T653" s="42"/>
      <c r="U653" s="42"/>
      <c r="V653" s="42"/>
      <c r="W653" s="42"/>
      <c r="X653" s="42"/>
      <c r="Y653" s="42"/>
      <c r="Z653" s="42"/>
    </row>
    <row r="654">
      <c r="A654" s="133"/>
      <c r="B654" s="134"/>
      <c r="C654" s="63"/>
      <c r="D654" s="63"/>
      <c r="E654" s="135"/>
      <c r="F654" s="42"/>
      <c r="G654" s="42"/>
      <c r="H654" s="42"/>
      <c r="I654" s="42"/>
      <c r="J654" s="42"/>
      <c r="K654" s="42"/>
      <c r="L654" s="42"/>
      <c r="M654" s="42"/>
      <c r="N654" s="42"/>
      <c r="O654" s="42"/>
      <c r="P654" s="42"/>
      <c r="Q654" s="42"/>
      <c r="R654" s="42"/>
      <c r="S654" s="42"/>
      <c r="T654" s="42"/>
      <c r="U654" s="42"/>
      <c r="V654" s="42"/>
      <c r="W654" s="42"/>
      <c r="X654" s="42"/>
      <c r="Y654" s="42"/>
      <c r="Z654" s="42"/>
    </row>
    <row r="655">
      <c r="A655" s="133"/>
      <c r="B655" s="134"/>
      <c r="C655" s="63"/>
      <c r="D655" s="63"/>
      <c r="E655" s="135"/>
      <c r="F655" s="42"/>
      <c r="G655" s="42"/>
      <c r="H655" s="42"/>
      <c r="I655" s="42"/>
      <c r="J655" s="42"/>
      <c r="K655" s="42"/>
      <c r="L655" s="42"/>
      <c r="M655" s="42"/>
      <c r="N655" s="42"/>
      <c r="O655" s="42"/>
      <c r="P655" s="42"/>
      <c r="Q655" s="42"/>
      <c r="R655" s="42"/>
      <c r="S655" s="42"/>
      <c r="T655" s="42"/>
      <c r="U655" s="42"/>
      <c r="V655" s="42"/>
      <c r="W655" s="42"/>
      <c r="X655" s="42"/>
      <c r="Y655" s="42"/>
      <c r="Z655" s="42"/>
    </row>
    <row r="656">
      <c r="A656" s="133"/>
      <c r="B656" s="134"/>
      <c r="C656" s="63"/>
      <c r="D656" s="63"/>
      <c r="E656" s="135"/>
      <c r="F656" s="42"/>
      <c r="G656" s="42"/>
      <c r="H656" s="42"/>
      <c r="I656" s="42"/>
      <c r="J656" s="42"/>
      <c r="K656" s="42"/>
      <c r="L656" s="42"/>
      <c r="M656" s="42"/>
      <c r="N656" s="42"/>
      <c r="O656" s="42"/>
      <c r="P656" s="42"/>
      <c r="Q656" s="42"/>
      <c r="R656" s="42"/>
      <c r="S656" s="42"/>
      <c r="T656" s="42"/>
      <c r="U656" s="42"/>
      <c r="V656" s="42"/>
      <c r="W656" s="42"/>
      <c r="X656" s="42"/>
      <c r="Y656" s="42"/>
      <c r="Z656" s="42"/>
    </row>
    <row r="657">
      <c r="A657" s="133"/>
      <c r="B657" s="134"/>
      <c r="C657" s="63"/>
      <c r="D657" s="63"/>
      <c r="E657" s="135"/>
      <c r="F657" s="42"/>
      <c r="G657" s="42"/>
      <c r="H657" s="42"/>
      <c r="I657" s="42"/>
      <c r="J657" s="42"/>
      <c r="K657" s="42"/>
      <c r="L657" s="42"/>
      <c r="M657" s="42"/>
      <c r="N657" s="42"/>
      <c r="O657" s="42"/>
      <c r="P657" s="42"/>
      <c r="Q657" s="42"/>
      <c r="R657" s="42"/>
      <c r="S657" s="42"/>
      <c r="T657" s="42"/>
      <c r="U657" s="42"/>
      <c r="V657" s="42"/>
      <c r="W657" s="42"/>
      <c r="X657" s="42"/>
      <c r="Y657" s="42"/>
      <c r="Z657" s="42"/>
    </row>
    <row r="658">
      <c r="A658" s="133"/>
      <c r="B658" s="134"/>
      <c r="C658" s="63"/>
      <c r="D658" s="63"/>
      <c r="E658" s="135"/>
      <c r="F658" s="42"/>
      <c r="G658" s="42"/>
      <c r="H658" s="42"/>
      <c r="I658" s="42"/>
      <c r="J658" s="42"/>
      <c r="K658" s="42"/>
      <c r="L658" s="42"/>
      <c r="M658" s="42"/>
      <c r="N658" s="42"/>
      <c r="O658" s="42"/>
      <c r="P658" s="42"/>
      <c r="Q658" s="42"/>
      <c r="R658" s="42"/>
      <c r="S658" s="42"/>
      <c r="T658" s="42"/>
      <c r="U658" s="42"/>
      <c r="V658" s="42"/>
      <c r="W658" s="42"/>
      <c r="X658" s="42"/>
      <c r="Y658" s="42"/>
      <c r="Z658" s="42"/>
    </row>
    <row r="659">
      <c r="A659" s="133"/>
      <c r="B659" s="134"/>
      <c r="C659" s="63"/>
      <c r="D659" s="63"/>
      <c r="E659" s="135"/>
      <c r="F659" s="42"/>
      <c r="G659" s="42"/>
      <c r="H659" s="42"/>
      <c r="I659" s="42"/>
      <c r="J659" s="42"/>
      <c r="K659" s="42"/>
      <c r="L659" s="42"/>
      <c r="M659" s="42"/>
      <c r="N659" s="42"/>
      <c r="O659" s="42"/>
      <c r="P659" s="42"/>
      <c r="Q659" s="42"/>
      <c r="R659" s="42"/>
      <c r="S659" s="42"/>
      <c r="T659" s="42"/>
      <c r="U659" s="42"/>
      <c r="V659" s="42"/>
      <c r="W659" s="42"/>
      <c r="X659" s="42"/>
      <c r="Y659" s="42"/>
      <c r="Z659" s="42"/>
    </row>
    <row r="660">
      <c r="A660" s="133"/>
      <c r="B660" s="134"/>
      <c r="C660" s="63"/>
      <c r="D660" s="63"/>
      <c r="E660" s="135"/>
      <c r="F660" s="42"/>
      <c r="G660" s="42"/>
      <c r="H660" s="42"/>
      <c r="I660" s="42"/>
      <c r="J660" s="42"/>
      <c r="K660" s="42"/>
      <c r="L660" s="42"/>
      <c r="M660" s="42"/>
      <c r="N660" s="42"/>
      <c r="O660" s="42"/>
      <c r="P660" s="42"/>
      <c r="Q660" s="42"/>
      <c r="R660" s="42"/>
      <c r="S660" s="42"/>
      <c r="T660" s="42"/>
      <c r="U660" s="42"/>
      <c r="V660" s="42"/>
      <c r="W660" s="42"/>
      <c r="X660" s="42"/>
      <c r="Y660" s="42"/>
      <c r="Z660" s="42"/>
    </row>
    <row r="661">
      <c r="A661" s="133"/>
      <c r="B661" s="134"/>
      <c r="C661" s="63"/>
      <c r="D661" s="63"/>
      <c r="E661" s="135"/>
      <c r="F661" s="42"/>
      <c r="G661" s="42"/>
      <c r="H661" s="42"/>
      <c r="I661" s="42"/>
      <c r="J661" s="42"/>
      <c r="K661" s="42"/>
      <c r="L661" s="42"/>
      <c r="M661" s="42"/>
      <c r="N661" s="42"/>
      <c r="O661" s="42"/>
      <c r="P661" s="42"/>
      <c r="Q661" s="42"/>
      <c r="R661" s="42"/>
      <c r="S661" s="42"/>
      <c r="T661" s="42"/>
      <c r="U661" s="42"/>
      <c r="V661" s="42"/>
      <c r="W661" s="42"/>
      <c r="X661" s="42"/>
      <c r="Y661" s="42"/>
      <c r="Z661" s="42"/>
    </row>
    <row r="662">
      <c r="A662" s="133"/>
      <c r="B662" s="134"/>
      <c r="C662" s="63"/>
      <c r="D662" s="63"/>
      <c r="E662" s="135"/>
      <c r="F662" s="42"/>
      <c r="G662" s="42"/>
      <c r="H662" s="42"/>
      <c r="I662" s="42"/>
      <c r="J662" s="42"/>
      <c r="K662" s="42"/>
      <c r="L662" s="42"/>
      <c r="M662" s="42"/>
      <c r="N662" s="42"/>
      <c r="O662" s="42"/>
      <c r="P662" s="42"/>
      <c r="Q662" s="42"/>
      <c r="R662" s="42"/>
      <c r="S662" s="42"/>
      <c r="T662" s="42"/>
      <c r="U662" s="42"/>
      <c r="V662" s="42"/>
      <c r="W662" s="42"/>
      <c r="X662" s="42"/>
      <c r="Y662" s="42"/>
      <c r="Z662" s="42"/>
    </row>
    <row r="663">
      <c r="A663" s="133"/>
      <c r="B663" s="134"/>
      <c r="C663" s="63"/>
      <c r="D663" s="63"/>
      <c r="E663" s="135"/>
      <c r="F663" s="42"/>
      <c r="G663" s="42"/>
      <c r="H663" s="42"/>
      <c r="I663" s="42"/>
      <c r="J663" s="42"/>
      <c r="K663" s="42"/>
      <c r="L663" s="42"/>
      <c r="M663" s="42"/>
      <c r="N663" s="42"/>
      <c r="O663" s="42"/>
      <c r="P663" s="42"/>
      <c r="Q663" s="42"/>
      <c r="R663" s="42"/>
      <c r="S663" s="42"/>
      <c r="T663" s="42"/>
      <c r="U663" s="42"/>
      <c r="V663" s="42"/>
      <c r="W663" s="42"/>
      <c r="X663" s="42"/>
      <c r="Y663" s="42"/>
      <c r="Z663" s="42"/>
    </row>
    <row r="664">
      <c r="A664" s="133"/>
      <c r="B664" s="134"/>
      <c r="C664" s="63"/>
      <c r="D664" s="63"/>
      <c r="E664" s="135"/>
      <c r="F664" s="42"/>
      <c r="G664" s="42"/>
      <c r="H664" s="42"/>
      <c r="I664" s="42"/>
      <c r="J664" s="42"/>
      <c r="K664" s="42"/>
      <c r="L664" s="42"/>
      <c r="M664" s="42"/>
      <c r="N664" s="42"/>
      <c r="O664" s="42"/>
      <c r="P664" s="42"/>
      <c r="Q664" s="42"/>
      <c r="R664" s="42"/>
      <c r="S664" s="42"/>
      <c r="T664" s="42"/>
      <c r="U664" s="42"/>
      <c r="V664" s="42"/>
      <c r="W664" s="42"/>
      <c r="X664" s="42"/>
      <c r="Y664" s="42"/>
      <c r="Z664" s="42"/>
    </row>
    <row r="665">
      <c r="A665" s="133"/>
      <c r="B665" s="134"/>
      <c r="C665" s="63"/>
      <c r="D665" s="63"/>
      <c r="E665" s="135"/>
      <c r="F665" s="42"/>
      <c r="G665" s="42"/>
      <c r="H665" s="42"/>
      <c r="I665" s="42"/>
      <c r="J665" s="42"/>
      <c r="K665" s="42"/>
      <c r="L665" s="42"/>
      <c r="M665" s="42"/>
      <c r="N665" s="42"/>
      <c r="O665" s="42"/>
      <c r="P665" s="42"/>
      <c r="Q665" s="42"/>
      <c r="R665" s="42"/>
      <c r="S665" s="42"/>
      <c r="T665" s="42"/>
      <c r="U665" s="42"/>
      <c r="V665" s="42"/>
      <c r="W665" s="42"/>
      <c r="X665" s="42"/>
      <c r="Y665" s="42"/>
      <c r="Z665" s="42"/>
    </row>
    <row r="666">
      <c r="A666" s="133"/>
      <c r="B666" s="134"/>
      <c r="C666" s="63"/>
      <c r="D666" s="63"/>
      <c r="E666" s="135"/>
      <c r="F666" s="42"/>
      <c r="G666" s="42"/>
      <c r="H666" s="42"/>
      <c r="I666" s="42"/>
      <c r="J666" s="42"/>
      <c r="K666" s="42"/>
      <c r="L666" s="42"/>
      <c r="M666" s="42"/>
      <c r="N666" s="42"/>
      <c r="O666" s="42"/>
      <c r="P666" s="42"/>
      <c r="Q666" s="42"/>
      <c r="R666" s="42"/>
      <c r="S666" s="42"/>
      <c r="T666" s="42"/>
      <c r="U666" s="42"/>
      <c r="V666" s="42"/>
      <c r="W666" s="42"/>
      <c r="X666" s="42"/>
      <c r="Y666" s="42"/>
      <c r="Z666" s="42"/>
    </row>
    <row r="667">
      <c r="A667" s="133"/>
      <c r="B667" s="134"/>
      <c r="C667" s="63"/>
      <c r="D667" s="63"/>
      <c r="E667" s="135"/>
      <c r="F667" s="42"/>
      <c r="G667" s="42"/>
      <c r="H667" s="42"/>
      <c r="I667" s="42"/>
      <c r="J667" s="42"/>
      <c r="K667" s="42"/>
      <c r="L667" s="42"/>
      <c r="M667" s="42"/>
      <c r="N667" s="42"/>
      <c r="O667" s="42"/>
      <c r="P667" s="42"/>
      <c r="Q667" s="42"/>
      <c r="R667" s="42"/>
      <c r="S667" s="42"/>
      <c r="T667" s="42"/>
      <c r="U667" s="42"/>
      <c r="V667" s="42"/>
      <c r="W667" s="42"/>
      <c r="X667" s="42"/>
      <c r="Y667" s="42"/>
      <c r="Z667" s="42"/>
    </row>
    <row r="668">
      <c r="A668" s="133"/>
      <c r="B668" s="134"/>
      <c r="C668" s="63"/>
      <c r="D668" s="63"/>
      <c r="E668" s="135"/>
      <c r="F668" s="42"/>
      <c r="G668" s="42"/>
      <c r="H668" s="42"/>
      <c r="I668" s="42"/>
      <c r="J668" s="42"/>
      <c r="K668" s="42"/>
      <c r="L668" s="42"/>
      <c r="M668" s="42"/>
      <c r="N668" s="42"/>
      <c r="O668" s="42"/>
      <c r="P668" s="42"/>
      <c r="Q668" s="42"/>
      <c r="R668" s="42"/>
      <c r="S668" s="42"/>
      <c r="T668" s="42"/>
      <c r="U668" s="42"/>
      <c r="V668" s="42"/>
      <c r="W668" s="42"/>
      <c r="X668" s="42"/>
      <c r="Y668" s="42"/>
      <c r="Z668" s="42"/>
    </row>
    <row r="669">
      <c r="A669" s="133"/>
      <c r="B669" s="134"/>
      <c r="C669" s="63"/>
      <c r="D669" s="63"/>
      <c r="E669" s="135"/>
      <c r="F669" s="42"/>
      <c r="G669" s="42"/>
      <c r="H669" s="42"/>
      <c r="I669" s="42"/>
      <c r="J669" s="42"/>
      <c r="K669" s="42"/>
      <c r="L669" s="42"/>
      <c r="M669" s="42"/>
      <c r="N669" s="42"/>
      <c r="O669" s="42"/>
      <c r="P669" s="42"/>
      <c r="Q669" s="42"/>
      <c r="R669" s="42"/>
      <c r="S669" s="42"/>
      <c r="T669" s="42"/>
      <c r="U669" s="42"/>
      <c r="V669" s="42"/>
      <c r="W669" s="42"/>
      <c r="X669" s="42"/>
      <c r="Y669" s="42"/>
      <c r="Z669" s="42"/>
    </row>
    <row r="670">
      <c r="A670" s="133"/>
      <c r="B670" s="134"/>
      <c r="C670" s="63"/>
      <c r="D670" s="63"/>
      <c r="E670" s="135"/>
      <c r="F670" s="42"/>
      <c r="G670" s="42"/>
      <c r="H670" s="42"/>
      <c r="I670" s="42"/>
      <c r="J670" s="42"/>
      <c r="K670" s="42"/>
      <c r="L670" s="42"/>
      <c r="M670" s="42"/>
      <c r="N670" s="42"/>
      <c r="O670" s="42"/>
      <c r="P670" s="42"/>
      <c r="Q670" s="42"/>
      <c r="R670" s="42"/>
      <c r="S670" s="42"/>
      <c r="T670" s="42"/>
      <c r="U670" s="42"/>
      <c r="V670" s="42"/>
      <c r="W670" s="42"/>
      <c r="X670" s="42"/>
      <c r="Y670" s="42"/>
      <c r="Z670" s="42"/>
    </row>
    <row r="671">
      <c r="A671" s="133"/>
      <c r="B671" s="134"/>
      <c r="C671" s="63"/>
      <c r="D671" s="63"/>
      <c r="E671" s="135"/>
      <c r="F671" s="42"/>
      <c r="G671" s="42"/>
      <c r="H671" s="42"/>
      <c r="I671" s="42"/>
      <c r="J671" s="42"/>
      <c r="K671" s="42"/>
      <c r="L671" s="42"/>
      <c r="M671" s="42"/>
      <c r="N671" s="42"/>
      <c r="O671" s="42"/>
      <c r="P671" s="42"/>
      <c r="Q671" s="42"/>
      <c r="R671" s="42"/>
      <c r="S671" s="42"/>
      <c r="T671" s="42"/>
      <c r="U671" s="42"/>
      <c r="V671" s="42"/>
      <c r="W671" s="42"/>
      <c r="X671" s="42"/>
      <c r="Y671" s="42"/>
      <c r="Z671" s="42"/>
    </row>
    <row r="672">
      <c r="A672" s="133"/>
      <c r="B672" s="134"/>
      <c r="C672" s="63"/>
      <c r="D672" s="63"/>
      <c r="E672" s="135"/>
      <c r="F672" s="42"/>
      <c r="G672" s="42"/>
      <c r="H672" s="42"/>
      <c r="I672" s="42"/>
      <c r="J672" s="42"/>
      <c r="K672" s="42"/>
      <c r="L672" s="42"/>
      <c r="M672" s="42"/>
      <c r="N672" s="42"/>
      <c r="O672" s="42"/>
      <c r="P672" s="42"/>
      <c r="Q672" s="42"/>
      <c r="R672" s="42"/>
      <c r="S672" s="42"/>
      <c r="T672" s="42"/>
      <c r="U672" s="42"/>
      <c r="V672" s="42"/>
      <c r="W672" s="42"/>
      <c r="X672" s="42"/>
      <c r="Y672" s="42"/>
      <c r="Z672" s="42"/>
    </row>
    <row r="673">
      <c r="A673" s="133"/>
      <c r="B673" s="134"/>
      <c r="C673" s="63"/>
      <c r="D673" s="63"/>
      <c r="E673" s="135"/>
      <c r="F673" s="42"/>
      <c r="G673" s="42"/>
      <c r="H673" s="42"/>
      <c r="I673" s="42"/>
      <c r="J673" s="42"/>
      <c r="K673" s="42"/>
      <c r="L673" s="42"/>
      <c r="M673" s="42"/>
      <c r="N673" s="42"/>
      <c r="O673" s="42"/>
      <c r="P673" s="42"/>
      <c r="Q673" s="42"/>
      <c r="R673" s="42"/>
      <c r="S673" s="42"/>
      <c r="T673" s="42"/>
      <c r="U673" s="42"/>
      <c r="V673" s="42"/>
      <c r="W673" s="42"/>
      <c r="X673" s="42"/>
      <c r="Y673" s="42"/>
      <c r="Z673" s="42"/>
    </row>
    <row r="674">
      <c r="A674" s="133"/>
      <c r="B674" s="134"/>
      <c r="C674" s="63"/>
      <c r="D674" s="63"/>
      <c r="E674" s="135"/>
      <c r="F674" s="42"/>
      <c r="G674" s="42"/>
      <c r="H674" s="42"/>
      <c r="I674" s="42"/>
      <c r="J674" s="42"/>
      <c r="K674" s="42"/>
      <c r="L674" s="42"/>
      <c r="M674" s="42"/>
      <c r="N674" s="42"/>
      <c r="O674" s="42"/>
      <c r="P674" s="42"/>
      <c r="Q674" s="42"/>
      <c r="R674" s="42"/>
      <c r="S674" s="42"/>
      <c r="T674" s="42"/>
      <c r="U674" s="42"/>
      <c r="V674" s="42"/>
      <c r="W674" s="42"/>
      <c r="X674" s="42"/>
      <c r="Y674" s="42"/>
      <c r="Z674" s="42"/>
    </row>
    <row r="675">
      <c r="A675" s="133"/>
      <c r="B675" s="134"/>
      <c r="C675" s="63"/>
      <c r="D675" s="63"/>
      <c r="E675" s="135"/>
      <c r="F675" s="42"/>
      <c r="G675" s="42"/>
      <c r="H675" s="42"/>
      <c r="I675" s="42"/>
      <c r="J675" s="42"/>
      <c r="K675" s="42"/>
      <c r="L675" s="42"/>
      <c r="M675" s="42"/>
      <c r="N675" s="42"/>
      <c r="O675" s="42"/>
      <c r="P675" s="42"/>
      <c r="Q675" s="42"/>
      <c r="R675" s="42"/>
      <c r="S675" s="42"/>
      <c r="T675" s="42"/>
      <c r="U675" s="42"/>
      <c r="V675" s="42"/>
      <c r="W675" s="42"/>
      <c r="X675" s="42"/>
      <c r="Y675" s="42"/>
      <c r="Z675" s="42"/>
    </row>
    <row r="676">
      <c r="A676" s="133"/>
      <c r="B676" s="134"/>
      <c r="C676" s="63"/>
      <c r="D676" s="63"/>
      <c r="E676" s="135"/>
      <c r="F676" s="42"/>
      <c r="G676" s="42"/>
      <c r="H676" s="42"/>
      <c r="I676" s="42"/>
      <c r="J676" s="42"/>
      <c r="K676" s="42"/>
      <c r="L676" s="42"/>
      <c r="M676" s="42"/>
      <c r="N676" s="42"/>
      <c r="O676" s="42"/>
      <c r="P676" s="42"/>
      <c r="Q676" s="42"/>
      <c r="R676" s="42"/>
      <c r="S676" s="42"/>
      <c r="T676" s="42"/>
      <c r="U676" s="42"/>
      <c r="V676" s="42"/>
      <c r="W676" s="42"/>
      <c r="X676" s="42"/>
      <c r="Y676" s="42"/>
      <c r="Z676" s="42"/>
    </row>
    <row r="677">
      <c r="A677" s="133"/>
      <c r="B677" s="134"/>
      <c r="C677" s="63"/>
      <c r="D677" s="63"/>
      <c r="E677" s="135"/>
      <c r="F677" s="42"/>
      <c r="G677" s="42"/>
      <c r="H677" s="42"/>
      <c r="I677" s="42"/>
      <c r="J677" s="42"/>
      <c r="K677" s="42"/>
      <c r="L677" s="42"/>
      <c r="M677" s="42"/>
      <c r="N677" s="42"/>
      <c r="O677" s="42"/>
      <c r="P677" s="42"/>
      <c r="Q677" s="42"/>
      <c r="R677" s="42"/>
      <c r="S677" s="42"/>
      <c r="T677" s="42"/>
      <c r="U677" s="42"/>
      <c r="V677" s="42"/>
      <c r="W677" s="42"/>
      <c r="X677" s="42"/>
      <c r="Y677" s="42"/>
      <c r="Z677" s="42"/>
    </row>
    <row r="678">
      <c r="A678" s="133"/>
      <c r="B678" s="134"/>
      <c r="C678" s="63"/>
      <c r="D678" s="63"/>
      <c r="E678" s="135"/>
      <c r="F678" s="42"/>
      <c r="G678" s="42"/>
      <c r="H678" s="42"/>
      <c r="I678" s="42"/>
      <c r="J678" s="42"/>
      <c r="K678" s="42"/>
      <c r="L678" s="42"/>
      <c r="M678" s="42"/>
      <c r="N678" s="42"/>
      <c r="O678" s="42"/>
      <c r="P678" s="42"/>
      <c r="Q678" s="42"/>
      <c r="R678" s="42"/>
      <c r="S678" s="42"/>
      <c r="T678" s="42"/>
      <c r="U678" s="42"/>
      <c r="V678" s="42"/>
      <c r="W678" s="42"/>
      <c r="X678" s="42"/>
      <c r="Y678" s="42"/>
      <c r="Z678" s="42"/>
    </row>
    <row r="679">
      <c r="A679" s="133"/>
      <c r="B679" s="134"/>
      <c r="C679" s="63"/>
      <c r="D679" s="63"/>
      <c r="E679" s="135"/>
      <c r="F679" s="42"/>
      <c r="G679" s="42"/>
      <c r="H679" s="42"/>
      <c r="I679" s="42"/>
      <c r="J679" s="42"/>
      <c r="K679" s="42"/>
      <c r="L679" s="42"/>
      <c r="M679" s="42"/>
      <c r="N679" s="42"/>
      <c r="O679" s="42"/>
      <c r="P679" s="42"/>
      <c r="Q679" s="42"/>
      <c r="R679" s="42"/>
      <c r="S679" s="42"/>
      <c r="T679" s="42"/>
      <c r="U679" s="42"/>
      <c r="V679" s="42"/>
      <c r="W679" s="42"/>
      <c r="X679" s="42"/>
      <c r="Y679" s="42"/>
      <c r="Z679" s="42"/>
    </row>
    <row r="680">
      <c r="A680" s="133"/>
      <c r="B680" s="134"/>
      <c r="C680" s="63"/>
      <c r="D680" s="63"/>
      <c r="E680" s="135"/>
      <c r="F680" s="42"/>
      <c r="G680" s="42"/>
      <c r="H680" s="42"/>
      <c r="I680" s="42"/>
      <c r="J680" s="42"/>
      <c r="K680" s="42"/>
      <c r="L680" s="42"/>
      <c r="M680" s="42"/>
      <c r="N680" s="42"/>
      <c r="O680" s="42"/>
      <c r="P680" s="42"/>
      <c r="Q680" s="42"/>
      <c r="R680" s="42"/>
      <c r="S680" s="42"/>
      <c r="T680" s="42"/>
      <c r="U680" s="42"/>
      <c r="V680" s="42"/>
      <c r="W680" s="42"/>
      <c r="X680" s="42"/>
      <c r="Y680" s="42"/>
      <c r="Z680" s="42"/>
    </row>
    <row r="681">
      <c r="A681" s="133"/>
      <c r="B681" s="134"/>
      <c r="C681" s="63"/>
      <c r="D681" s="63"/>
      <c r="E681" s="135"/>
      <c r="F681" s="42"/>
      <c r="G681" s="42"/>
      <c r="H681" s="42"/>
      <c r="I681" s="42"/>
      <c r="J681" s="42"/>
      <c r="K681" s="42"/>
      <c r="L681" s="42"/>
      <c r="M681" s="42"/>
      <c r="N681" s="42"/>
      <c r="O681" s="42"/>
      <c r="P681" s="42"/>
      <c r="Q681" s="42"/>
      <c r="R681" s="42"/>
      <c r="S681" s="42"/>
      <c r="T681" s="42"/>
      <c r="U681" s="42"/>
      <c r="V681" s="42"/>
      <c r="W681" s="42"/>
      <c r="X681" s="42"/>
      <c r="Y681" s="42"/>
      <c r="Z681" s="42"/>
    </row>
    <row r="682">
      <c r="A682" s="133"/>
      <c r="B682" s="134"/>
      <c r="C682" s="63"/>
      <c r="D682" s="63"/>
      <c r="E682" s="135"/>
      <c r="F682" s="42"/>
      <c r="G682" s="42"/>
      <c r="H682" s="42"/>
      <c r="I682" s="42"/>
      <c r="J682" s="42"/>
      <c r="K682" s="42"/>
      <c r="L682" s="42"/>
      <c r="M682" s="42"/>
      <c r="N682" s="42"/>
      <c r="O682" s="42"/>
      <c r="P682" s="42"/>
      <c r="Q682" s="42"/>
      <c r="R682" s="42"/>
      <c r="S682" s="42"/>
      <c r="T682" s="42"/>
      <c r="U682" s="42"/>
      <c r="V682" s="42"/>
      <c r="W682" s="42"/>
      <c r="X682" s="42"/>
      <c r="Y682" s="42"/>
      <c r="Z682" s="42"/>
    </row>
    <row r="683">
      <c r="A683" s="133"/>
      <c r="B683" s="134"/>
      <c r="C683" s="63"/>
      <c r="D683" s="63"/>
      <c r="E683" s="135"/>
      <c r="F683" s="42"/>
      <c r="G683" s="42"/>
      <c r="H683" s="42"/>
      <c r="I683" s="42"/>
      <c r="J683" s="42"/>
      <c r="K683" s="42"/>
      <c r="L683" s="42"/>
      <c r="M683" s="42"/>
      <c r="N683" s="42"/>
      <c r="O683" s="42"/>
      <c r="P683" s="42"/>
      <c r="Q683" s="42"/>
      <c r="R683" s="42"/>
      <c r="S683" s="42"/>
      <c r="T683" s="42"/>
      <c r="U683" s="42"/>
      <c r="V683" s="42"/>
      <c r="W683" s="42"/>
      <c r="X683" s="42"/>
      <c r="Y683" s="42"/>
      <c r="Z683" s="42"/>
    </row>
    <row r="684">
      <c r="A684" s="133"/>
      <c r="B684" s="134"/>
      <c r="C684" s="63"/>
      <c r="D684" s="63"/>
      <c r="E684" s="135"/>
      <c r="F684" s="42"/>
      <c r="G684" s="42"/>
      <c r="H684" s="42"/>
      <c r="I684" s="42"/>
      <c r="J684" s="42"/>
      <c r="K684" s="42"/>
      <c r="L684" s="42"/>
      <c r="M684" s="42"/>
      <c r="N684" s="42"/>
      <c r="O684" s="42"/>
      <c r="P684" s="42"/>
      <c r="Q684" s="42"/>
      <c r="R684" s="42"/>
      <c r="S684" s="42"/>
      <c r="T684" s="42"/>
      <c r="U684" s="42"/>
      <c r="V684" s="42"/>
      <c r="W684" s="42"/>
      <c r="X684" s="42"/>
      <c r="Y684" s="42"/>
      <c r="Z684" s="42"/>
    </row>
    <row r="685">
      <c r="A685" s="133"/>
      <c r="B685" s="134"/>
      <c r="C685" s="63"/>
      <c r="D685" s="63"/>
      <c r="E685" s="135"/>
      <c r="F685" s="42"/>
      <c r="G685" s="42"/>
      <c r="H685" s="42"/>
      <c r="I685" s="42"/>
      <c r="J685" s="42"/>
      <c r="K685" s="42"/>
      <c r="L685" s="42"/>
      <c r="M685" s="42"/>
      <c r="N685" s="42"/>
      <c r="O685" s="42"/>
      <c r="P685" s="42"/>
      <c r="Q685" s="42"/>
      <c r="R685" s="42"/>
      <c r="S685" s="42"/>
      <c r="T685" s="42"/>
      <c r="U685" s="42"/>
      <c r="V685" s="42"/>
      <c r="W685" s="42"/>
      <c r="X685" s="42"/>
      <c r="Y685" s="42"/>
      <c r="Z685" s="42"/>
    </row>
    <row r="686">
      <c r="A686" s="133"/>
      <c r="B686" s="134"/>
      <c r="C686" s="63"/>
      <c r="D686" s="63"/>
      <c r="E686" s="135"/>
      <c r="F686" s="42"/>
      <c r="G686" s="42"/>
      <c r="H686" s="42"/>
      <c r="I686" s="42"/>
      <c r="J686" s="42"/>
      <c r="K686" s="42"/>
      <c r="L686" s="42"/>
      <c r="M686" s="42"/>
      <c r="N686" s="42"/>
      <c r="O686" s="42"/>
      <c r="P686" s="42"/>
      <c r="Q686" s="42"/>
      <c r="R686" s="42"/>
      <c r="S686" s="42"/>
      <c r="T686" s="42"/>
      <c r="U686" s="42"/>
      <c r="V686" s="42"/>
      <c r="W686" s="42"/>
      <c r="X686" s="42"/>
      <c r="Y686" s="42"/>
      <c r="Z686" s="42"/>
    </row>
    <row r="687">
      <c r="A687" s="133"/>
      <c r="B687" s="134"/>
      <c r="C687" s="63"/>
      <c r="D687" s="63"/>
      <c r="E687" s="135"/>
      <c r="F687" s="42"/>
      <c r="G687" s="42"/>
      <c r="H687" s="42"/>
      <c r="I687" s="42"/>
      <c r="J687" s="42"/>
      <c r="K687" s="42"/>
      <c r="L687" s="42"/>
      <c r="M687" s="42"/>
      <c r="N687" s="42"/>
      <c r="O687" s="42"/>
      <c r="P687" s="42"/>
      <c r="Q687" s="42"/>
      <c r="R687" s="42"/>
      <c r="S687" s="42"/>
      <c r="T687" s="42"/>
      <c r="U687" s="42"/>
      <c r="V687" s="42"/>
      <c r="W687" s="42"/>
      <c r="X687" s="42"/>
      <c r="Y687" s="42"/>
      <c r="Z687" s="42"/>
    </row>
    <row r="688">
      <c r="A688" s="133"/>
      <c r="B688" s="134"/>
      <c r="C688" s="63"/>
      <c r="D688" s="63"/>
      <c r="E688" s="135"/>
      <c r="F688" s="42"/>
      <c r="G688" s="42"/>
      <c r="H688" s="42"/>
      <c r="I688" s="42"/>
      <c r="J688" s="42"/>
      <c r="K688" s="42"/>
      <c r="L688" s="42"/>
      <c r="M688" s="42"/>
      <c r="N688" s="42"/>
      <c r="O688" s="42"/>
      <c r="P688" s="42"/>
      <c r="Q688" s="42"/>
      <c r="R688" s="42"/>
      <c r="S688" s="42"/>
      <c r="T688" s="42"/>
      <c r="U688" s="42"/>
      <c r="V688" s="42"/>
      <c r="W688" s="42"/>
      <c r="X688" s="42"/>
      <c r="Y688" s="42"/>
      <c r="Z688" s="42"/>
    </row>
    <row r="689">
      <c r="A689" s="133"/>
      <c r="B689" s="134"/>
      <c r="C689" s="63"/>
      <c r="D689" s="63"/>
      <c r="E689" s="135"/>
      <c r="F689" s="42"/>
      <c r="G689" s="42"/>
      <c r="H689" s="42"/>
      <c r="I689" s="42"/>
      <c r="J689" s="42"/>
      <c r="K689" s="42"/>
      <c r="L689" s="42"/>
      <c r="M689" s="42"/>
      <c r="N689" s="42"/>
      <c r="O689" s="42"/>
      <c r="P689" s="42"/>
      <c r="Q689" s="42"/>
      <c r="R689" s="42"/>
      <c r="S689" s="42"/>
      <c r="T689" s="42"/>
      <c r="U689" s="42"/>
      <c r="V689" s="42"/>
      <c r="W689" s="42"/>
      <c r="X689" s="42"/>
      <c r="Y689" s="42"/>
      <c r="Z689" s="42"/>
    </row>
    <row r="690">
      <c r="A690" s="133"/>
      <c r="B690" s="134"/>
      <c r="C690" s="63"/>
      <c r="D690" s="63"/>
      <c r="E690" s="135"/>
      <c r="F690" s="42"/>
      <c r="G690" s="42"/>
      <c r="H690" s="42"/>
      <c r="I690" s="42"/>
      <c r="J690" s="42"/>
      <c r="K690" s="42"/>
      <c r="L690" s="42"/>
      <c r="M690" s="42"/>
      <c r="N690" s="42"/>
      <c r="O690" s="42"/>
      <c r="P690" s="42"/>
      <c r="Q690" s="42"/>
      <c r="R690" s="42"/>
      <c r="S690" s="42"/>
      <c r="T690" s="42"/>
      <c r="U690" s="42"/>
      <c r="V690" s="42"/>
      <c r="W690" s="42"/>
      <c r="X690" s="42"/>
      <c r="Y690" s="42"/>
      <c r="Z690" s="42"/>
    </row>
    <row r="691">
      <c r="A691" s="133"/>
      <c r="B691" s="134"/>
      <c r="C691" s="63"/>
      <c r="D691" s="63"/>
      <c r="E691" s="135"/>
      <c r="F691" s="42"/>
      <c r="G691" s="42"/>
      <c r="H691" s="42"/>
      <c r="I691" s="42"/>
      <c r="J691" s="42"/>
      <c r="K691" s="42"/>
      <c r="L691" s="42"/>
      <c r="M691" s="42"/>
      <c r="N691" s="42"/>
      <c r="O691" s="42"/>
      <c r="P691" s="42"/>
      <c r="Q691" s="42"/>
      <c r="R691" s="42"/>
      <c r="S691" s="42"/>
      <c r="T691" s="42"/>
      <c r="U691" s="42"/>
      <c r="V691" s="42"/>
      <c r="W691" s="42"/>
      <c r="X691" s="42"/>
      <c r="Y691" s="42"/>
      <c r="Z691" s="42"/>
    </row>
    <row r="692">
      <c r="A692" s="133"/>
      <c r="B692" s="134"/>
      <c r="C692" s="63"/>
      <c r="D692" s="63"/>
      <c r="E692" s="135"/>
      <c r="F692" s="42"/>
      <c r="G692" s="42"/>
      <c r="H692" s="42"/>
      <c r="I692" s="42"/>
      <c r="J692" s="42"/>
      <c r="K692" s="42"/>
      <c r="L692" s="42"/>
      <c r="M692" s="42"/>
      <c r="N692" s="42"/>
      <c r="O692" s="42"/>
      <c r="P692" s="42"/>
      <c r="Q692" s="42"/>
      <c r="R692" s="42"/>
      <c r="S692" s="42"/>
      <c r="T692" s="42"/>
      <c r="U692" s="42"/>
      <c r="V692" s="42"/>
      <c r="W692" s="42"/>
      <c r="X692" s="42"/>
      <c r="Y692" s="42"/>
      <c r="Z692" s="42"/>
    </row>
    <row r="693">
      <c r="A693" s="133"/>
      <c r="B693" s="134"/>
      <c r="C693" s="63"/>
      <c r="D693" s="63"/>
      <c r="E693" s="135"/>
      <c r="F693" s="42"/>
      <c r="G693" s="42"/>
      <c r="H693" s="42"/>
      <c r="I693" s="42"/>
      <c r="J693" s="42"/>
      <c r="K693" s="42"/>
      <c r="L693" s="42"/>
      <c r="M693" s="42"/>
      <c r="N693" s="42"/>
      <c r="O693" s="42"/>
      <c r="P693" s="42"/>
      <c r="Q693" s="42"/>
      <c r="R693" s="42"/>
      <c r="S693" s="42"/>
      <c r="T693" s="42"/>
      <c r="U693" s="42"/>
      <c r="V693" s="42"/>
      <c r="W693" s="42"/>
      <c r="X693" s="42"/>
      <c r="Y693" s="42"/>
      <c r="Z693" s="42"/>
    </row>
    <row r="694">
      <c r="A694" s="133"/>
      <c r="B694" s="134"/>
      <c r="C694" s="63"/>
      <c r="D694" s="63"/>
      <c r="E694" s="135"/>
      <c r="F694" s="42"/>
      <c r="G694" s="42"/>
      <c r="H694" s="42"/>
      <c r="I694" s="42"/>
      <c r="J694" s="42"/>
      <c r="K694" s="42"/>
      <c r="L694" s="42"/>
      <c r="M694" s="42"/>
      <c r="N694" s="42"/>
      <c r="O694" s="42"/>
      <c r="P694" s="42"/>
      <c r="Q694" s="42"/>
      <c r="R694" s="42"/>
      <c r="S694" s="42"/>
      <c r="T694" s="42"/>
      <c r="U694" s="42"/>
      <c r="V694" s="42"/>
      <c r="W694" s="42"/>
      <c r="X694" s="42"/>
      <c r="Y694" s="42"/>
      <c r="Z694" s="42"/>
    </row>
    <row r="695">
      <c r="A695" s="133"/>
      <c r="B695" s="134"/>
      <c r="C695" s="63"/>
      <c r="D695" s="63"/>
      <c r="E695" s="135"/>
      <c r="F695" s="42"/>
      <c r="G695" s="42"/>
      <c r="H695" s="42"/>
      <c r="I695" s="42"/>
      <c r="J695" s="42"/>
      <c r="K695" s="42"/>
      <c r="L695" s="42"/>
      <c r="M695" s="42"/>
      <c r="N695" s="42"/>
      <c r="O695" s="42"/>
      <c r="P695" s="42"/>
      <c r="Q695" s="42"/>
      <c r="R695" s="42"/>
      <c r="S695" s="42"/>
      <c r="T695" s="42"/>
      <c r="U695" s="42"/>
      <c r="V695" s="42"/>
      <c r="W695" s="42"/>
      <c r="X695" s="42"/>
      <c r="Y695" s="42"/>
      <c r="Z695" s="42"/>
    </row>
    <row r="696">
      <c r="A696" s="133"/>
      <c r="B696" s="134"/>
      <c r="C696" s="63"/>
      <c r="D696" s="63"/>
      <c r="E696" s="135"/>
      <c r="F696" s="42"/>
      <c r="G696" s="42"/>
      <c r="H696" s="42"/>
      <c r="I696" s="42"/>
      <c r="J696" s="42"/>
      <c r="K696" s="42"/>
      <c r="L696" s="42"/>
      <c r="M696" s="42"/>
      <c r="N696" s="42"/>
      <c r="O696" s="42"/>
      <c r="P696" s="42"/>
      <c r="Q696" s="42"/>
      <c r="R696" s="42"/>
      <c r="S696" s="42"/>
      <c r="T696" s="42"/>
      <c r="U696" s="42"/>
      <c r="V696" s="42"/>
      <c r="W696" s="42"/>
      <c r="X696" s="42"/>
      <c r="Y696" s="42"/>
      <c r="Z696" s="42"/>
    </row>
    <row r="697">
      <c r="A697" s="133"/>
      <c r="B697" s="134"/>
      <c r="C697" s="63"/>
      <c r="D697" s="63"/>
      <c r="E697" s="135"/>
      <c r="F697" s="42"/>
      <c r="G697" s="42"/>
      <c r="H697" s="42"/>
      <c r="I697" s="42"/>
      <c r="J697" s="42"/>
      <c r="K697" s="42"/>
      <c r="L697" s="42"/>
      <c r="M697" s="42"/>
      <c r="N697" s="42"/>
      <c r="O697" s="42"/>
      <c r="P697" s="42"/>
      <c r="Q697" s="42"/>
      <c r="R697" s="42"/>
      <c r="S697" s="42"/>
      <c r="T697" s="42"/>
      <c r="U697" s="42"/>
      <c r="V697" s="42"/>
      <c r="W697" s="42"/>
      <c r="X697" s="42"/>
      <c r="Y697" s="42"/>
      <c r="Z697" s="42"/>
    </row>
    <row r="698">
      <c r="A698" s="133"/>
      <c r="B698" s="134"/>
      <c r="C698" s="63"/>
      <c r="D698" s="63"/>
      <c r="E698" s="135"/>
      <c r="F698" s="42"/>
      <c r="G698" s="42"/>
      <c r="H698" s="42"/>
      <c r="I698" s="42"/>
      <c r="J698" s="42"/>
      <c r="K698" s="42"/>
      <c r="L698" s="42"/>
      <c r="M698" s="42"/>
      <c r="N698" s="42"/>
      <c r="O698" s="42"/>
      <c r="P698" s="42"/>
      <c r="Q698" s="42"/>
      <c r="R698" s="42"/>
      <c r="S698" s="42"/>
      <c r="T698" s="42"/>
      <c r="U698" s="42"/>
      <c r="V698" s="42"/>
      <c r="W698" s="42"/>
      <c r="X698" s="42"/>
      <c r="Y698" s="42"/>
      <c r="Z698" s="42"/>
    </row>
    <row r="699">
      <c r="A699" s="133"/>
      <c r="B699" s="134"/>
      <c r="C699" s="63"/>
      <c r="D699" s="63"/>
      <c r="E699" s="135"/>
      <c r="F699" s="42"/>
      <c r="G699" s="42"/>
      <c r="H699" s="42"/>
      <c r="I699" s="42"/>
      <c r="J699" s="42"/>
      <c r="K699" s="42"/>
      <c r="L699" s="42"/>
      <c r="M699" s="42"/>
      <c r="N699" s="42"/>
      <c r="O699" s="42"/>
      <c r="P699" s="42"/>
      <c r="Q699" s="42"/>
      <c r="R699" s="42"/>
      <c r="S699" s="42"/>
      <c r="T699" s="42"/>
      <c r="U699" s="42"/>
      <c r="V699" s="42"/>
      <c r="W699" s="42"/>
      <c r="X699" s="42"/>
      <c r="Y699" s="42"/>
      <c r="Z699" s="42"/>
    </row>
    <row r="700">
      <c r="A700" s="133"/>
      <c r="B700" s="134"/>
      <c r="C700" s="63"/>
      <c r="D700" s="63"/>
      <c r="E700" s="135"/>
      <c r="F700" s="42"/>
      <c r="G700" s="42"/>
      <c r="H700" s="42"/>
      <c r="I700" s="42"/>
      <c r="J700" s="42"/>
      <c r="K700" s="42"/>
      <c r="L700" s="42"/>
      <c r="M700" s="42"/>
      <c r="N700" s="42"/>
      <c r="O700" s="42"/>
      <c r="P700" s="42"/>
      <c r="Q700" s="42"/>
      <c r="R700" s="42"/>
      <c r="S700" s="42"/>
      <c r="T700" s="42"/>
      <c r="U700" s="42"/>
      <c r="V700" s="42"/>
      <c r="W700" s="42"/>
      <c r="X700" s="42"/>
      <c r="Y700" s="42"/>
      <c r="Z700" s="42"/>
    </row>
    <row r="701">
      <c r="A701" s="133"/>
      <c r="B701" s="134"/>
      <c r="C701" s="63"/>
      <c r="D701" s="63"/>
      <c r="E701" s="135"/>
      <c r="F701" s="42"/>
      <c r="G701" s="42"/>
      <c r="H701" s="42"/>
      <c r="I701" s="42"/>
      <c r="J701" s="42"/>
      <c r="K701" s="42"/>
      <c r="L701" s="42"/>
      <c r="M701" s="42"/>
      <c r="N701" s="42"/>
      <c r="O701" s="42"/>
      <c r="P701" s="42"/>
      <c r="Q701" s="42"/>
      <c r="R701" s="42"/>
      <c r="S701" s="42"/>
      <c r="T701" s="42"/>
      <c r="U701" s="42"/>
      <c r="V701" s="42"/>
      <c r="W701" s="42"/>
      <c r="X701" s="42"/>
      <c r="Y701" s="42"/>
      <c r="Z701" s="42"/>
    </row>
    <row r="702">
      <c r="A702" s="133"/>
      <c r="B702" s="134"/>
      <c r="C702" s="63"/>
      <c r="D702" s="63"/>
      <c r="E702" s="135"/>
      <c r="F702" s="42"/>
      <c r="G702" s="42"/>
      <c r="H702" s="42"/>
      <c r="I702" s="42"/>
      <c r="J702" s="42"/>
      <c r="K702" s="42"/>
      <c r="L702" s="42"/>
      <c r="M702" s="42"/>
      <c r="N702" s="42"/>
      <c r="O702" s="42"/>
      <c r="P702" s="42"/>
      <c r="Q702" s="42"/>
      <c r="R702" s="42"/>
      <c r="S702" s="42"/>
      <c r="T702" s="42"/>
      <c r="U702" s="42"/>
      <c r="V702" s="42"/>
      <c r="W702" s="42"/>
      <c r="X702" s="42"/>
      <c r="Y702" s="42"/>
      <c r="Z702" s="42"/>
    </row>
    <row r="703">
      <c r="A703" s="133"/>
      <c r="B703" s="134"/>
      <c r="C703" s="63"/>
      <c r="D703" s="63"/>
      <c r="E703" s="135"/>
      <c r="F703" s="42"/>
      <c r="G703" s="42"/>
      <c r="H703" s="42"/>
      <c r="I703" s="42"/>
      <c r="J703" s="42"/>
      <c r="K703" s="42"/>
      <c r="L703" s="42"/>
      <c r="M703" s="42"/>
      <c r="N703" s="42"/>
      <c r="O703" s="42"/>
      <c r="P703" s="42"/>
      <c r="Q703" s="42"/>
      <c r="R703" s="42"/>
      <c r="S703" s="42"/>
      <c r="T703" s="42"/>
      <c r="U703" s="42"/>
      <c r="V703" s="42"/>
      <c r="W703" s="42"/>
      <c r="X703" s="42"/>
      <c r="Y703" s="42"/>
      <c r="Z703" s="42"/>
    </row>
    <row r="704">
      <c r="A704" s="133"/>
      <c r="B704" s="134"/>
      <c r="C704" s="63"/>
      <c r="D704" s="63"/>
      <c r="E704" s="135"/>
      <c r="F704" s="42"/>
      <c r="G704" s="42"/>
      <c r="H704" s="42"/>
      <c r="I704" s="42"/>
      <c r="J704" s="42"/>
      <c r="K704" s="42"/>
      <c r="L704" s="42"/>
      <c r="M704" s="42"/>
      <c r="N704" s="42"/>
      <c r="O704" s="42"/>
      <c r="P704" s="42"/>
      <c r="Q704" s="42"/>
      <c r="R704" s="42"/>
      <c r="S704" s="42"/>
      <c r="T704" s="42"/>
      <c r="U704" s="42"/>
      <c r="V704" s="42"/>
      <c r="W704" s="42"/>
      <c r="X704" s="42"/>
      <c r="Y704" s="42"/>
      <c r="Z704" s="42"/>
    </row>
    <row r="705">
      <c r="A705" s="133"/>
      <c r="B705" s="134"/>
      <c r="C705" s="63"/>
      <c r="D705" s="63"/>
      <c r="E705" s="135"/>
      <c r="F705" s="42"/>
      <c r="G705" s="42"/>
      <c r="H705" s="42"/>
      <c r="I705" s="42"/>
      <c r="J705" s="42"/>
      <c r="K705" s="42"/>
      <c r="L705" s="42"/>
      <c r="M705" s="42"/>
      <c r="N705" s="42"/>
      <c r="O705" s="42"/>
      <c r="P705" s="42"/>
      <c r="Q705" s="42"/>
      <c r="R705" s="42"/>
      <c r="S705" s="42"/>
      <c r="T705" s="42"/>
      <c r="U705" s="42"/>
      <c r="V705" s="42"/>
      <c r="W705" s="42"/>
      <c r="X705" s="42"/>
      <c r="Y705" s="42"/>
      <c r="Z705" s="42"/>
    </row>
    <row r="706">
      <c r="A706" s="133"/>
      <c r="B706" s="134"/>
      <c r="C706" s="63"/>
      <c r="D706" s="63"/>
      <c r="E706" s="135"/>
      <c r="F706" s="42"/>
      <c r="G706" s="42"/>
      <c r="H706" s="42"/>
      <c r="I706" s="42"/>
      <c r="J706" s="42"/>
      <c r="K706" s="42"/>
      <c r="L706" s="42"/>
      <c r="M706" s="42"/>
      <c r="N706" s="42"/>
      <c r="O706" s="42"/>
      <c r="P706" s="42"/>
      <c r="Q706" s="42"/>
      <c r="R706" s="42"/>
      <c r="S706" s="42"/>
      <c r="T706" s="42"/>
      <c r="U706" s="42"/>
      <c r="V706" s="42"/>
      <c r="W706" s="42"/>
      <c r="X706" s="42"/>
      <c r="Y706" s="42"/>
      <c r="Z706" s="42"/>
    </row>
    <row r="707">
      <c r="A707" s="133"/>
      <c r="B707" s="134"/>
      <c r="C707" s="63"/>
      <c r="D707" s="63"/>
      <c r="E707" s="135"/>
      <c r="F707" s="42"/>
      <c r="G707" s="42"/>
      <c r="H707" s="42"/>
      <c r="I707" s="42"/>
      <c r="J707" s="42"/>
      <c r="K707" s="42"/>
      <c r="L707" s="42"/>
      <c r="M707" s="42"/>
      <c r="N707" s="42"/>
      <c r="O707" s="42"/>
      <c r="P707" s="42"/>
      <c r="Q707" s="42"/>
      <c r="R707" s="42"/>
      <c r="S707" s="42"/>
      <c r="T707" s="42"/>
      <c r="U707" s="42"/>
      <c r="V707" s="42"/>
      <c r="W707" s="42"/>
      <c r="X707" s="42"/>
      <c r="Y707" s="42"/>
      <c r="Z707" s="42"/>
    </row>
    <row r="708">
      <c r="A708" s="133"/>
      <c r="B708" s="134"/>
      <c r="C708" s="63"/>
      <c r="D708" s="63"/>
      <c r="E708" s="135"/>
      <c r="F708" s="42"/>
      <c r="G708" s="42"/>
      <c r="H708" s="42"/>
      <c r="I708" s="42"/>
      <c r="J708" s="42"/>
      <c r="K708" s="42"/>
      <c r="L708" s="42"/>
      <c r="M708" s="42"/>
      <c r="N708" s="42"/>
      <c r="O708" s="42"/>
      <c r="P708" s="42"/>
      <c r="Q708" s="42"/>
      <c r="R708" s="42"/>
      <c r="S708" s="42"/>
      <c r="T708" s="42"/>
      <c r="U708" s="42"/>
      <c r="V708" s="42"/>
      <c r="W708" s="42"/>
      <c r="X708" s="42"/>
      <c r="Y708" s="42"/>
      <c r="Z708" s="42"/>
    </row>
    <row r="709">
      <c r="A709" s="133"/>
      <c r="B709" s="134"/>
      <c r="C709" s="63"/>
      <c r="D709" s="63"/>
      <c r="E709" s="135"/>
      <c r="F709" s="42"/>
      <c r="G709" s="42"/>
      <c r="H709" s="42"/>
      <c r="I709" s="42"/>
      <c r="J709" s="42"/>
      <c r="K709" s="42"/>
      <c r="L709" s="42"/>
      <c r="M709" s="42"/>
      <c r="N709" s="42"/>
      <c r="O709" s="42"/>
      <c r="P709" s="42"/>
      <c r="Q709" s="42"/>
      <c r="R709" s="42"/>
      <c r="S709" s="42"/>
      <c r="T709" s="42"/>
      <c r="U709" s="42"/>
      <c r="V709" s="42"/>
      <c r="W709" s="42"/>
      <c r="X709" s="42"/>
      <c r="Y709" s="42"/>
      <c r="Z709" s="42"/>
    </row>
    <row r="710">
      <c r="A710" s="133"/>
      <c r="B710" s="134"/>
      <c r="C710" s="63"/>
      <c r="D710" s="63"/>
      <c r="E710" s="135"/>
      <c r="F710" s="42"/>
      <c r="G710" s="42"/>
      <c r="H710" s="42"/>
      <c r="I710" s="42"/>
      <c r="J710" s="42"/>
      <c r="K710" s="42"/>
      <c r="L710" s="42"/>
      <c r="M710" s="42"/>
      <c r="N710" s="42"/>
      <c r="O710" s="42"/>
      <c r="P710" s="42"/>
      <c r="Q710" s="42"/>
      <c r="R710" s="42"/>
      <c r="S710" s="42"/>
      <c r="T710" s="42"/>
      <c r="U710" s="42"/>
      <c r="V710" s="42"/>
      <c r="W710" s="42"/>
      <c r="X710" s="42"/>
      <c r="Y710" s="42"/>
      <c r="Z710" s="42"/>
    </row>
    <row r="711">
      <c r="A711" s="133"/>
      <c r="B711" s="134"/>
      <c r="C711" s="63"/>
      <c r="D711" s="63"/>
      <c r="E711" s="135"/>
      <c r="F711" s="42"/>
      <c r="G711" s="42"/>
      <c r="H711" s="42"/>
      <c r="I711" s="42"/>
      <c r="J711" s="42"/>
      <c r="K711" s="42"/>
      <c r="L711" s="42"/>
      <c r="M711" s="42"/>
      <c r="N711" s="42"/>
      <c r="O711" s="42"/>
      <c r="P711" s="42"/>
      <c r="Q711" s="42"/>
      <c r="R711" s="42"/>
      <c r="S711" s="42"/>
      <c r="T711" s="42"/>
      <c r="U711" s="42"/>
      <c r="V711" s="42"/>
      <c r="W711" s="42"/>
      <c r="X711" s="42"/>
      <c r="Y711" s="42"/>
      <c r="Z711" s="42"/>
    </row>
    <row r="712">
      <c r="A712" s="133"/>
      <c r="B712" s="134"/>
      <c r="C712" s="63"/>
      <c r="D712" s="63"/>
      <c r="E712" s="135"/>
      <c r="F712" s="42"/>
      <c r="G712" s="42"/>
      <c r="H712" s="42"/>
      <c r="I712" s="42"/>
      <c r="J712" s="42"/>
      <c r="K712" s="42"/>
      <c r="L712" s="42"/>
      <c r="M712" s="42"/>
      <c r="N712" s="42"/>
      <c r="O712" s="42"/>
      <c r="P712" s="42"/>
      <c r="Q712" s="42"/>
      <c r="R712" s="42"/>
      <c r="S712" s="42"/>
      <c r="T712" s="42"/>
      <c r="U712" s="42"/>
      <c r="V712" s="42"/>
      <c r="W712" s="42"/>
      <c r="X712" s="42"/>
      <c r="Y712" s="42"/>
      <c r="Z712" s="42"/>
    </row>
    <row r="713">
      <c r="A713" s="133"/>
      <c r="B713" s="134"/>
      <c r="C713" s="63"/>
      <c r="D713" s="63"/>
      <c r="E713" s="135"/>
      <c r="F713" s="42"/>
      <c r="G713" s="42"/>
      <c r="H713" s="42"/>
      <c r="I713" s="42"/>
      <c r="J713" s="42"/>
      <c r="K713" s="42"/>
      <c r="L713" s="42"/>
      <c r="M713" s="42"/>
      <c r="N713" s="42"/>
      <c r="O713" s="42"/>
      <c r="P713" s="42"/>
      <c r="Q713" s="42"/>
      <c r="R713" s="42"/>
      <c r="S713" s="42"/>
      <c r="T713" s="42"/>
      <c r="U713" s="42"/>
      <c r="V713" s="42"/>
      <c r="W713" s="42"/>
      <c r="X713" s="42"/>
      <c r="Y713" s="42"/>
      <c r="Z713" s="42"/>
    </row>
    <row r="714">
      <c r="A714" s="133"/>
      <c r="B714" s="134"/>
      <c r="C714" s="63"/>
      <c r="D714" s="63"/>
      <c r="E714" s="135"/>
      <c r="F714" s="42"/>
      <c r="G714" s="42"/>
      <c r="H714" s="42"/>
      <c r="I714" s="42"/>
      <c r="J714" s="42"/>
      <c r="K714" s="42"/>
      <c r="L714" s="42"/>
      <c r="M714" s="42"/>
      <c r="N714" s="42"/>
      <c r="O714" s="42"/>
      <c r="P714" s="42"/>
      <c r="Q714" s="42"/>
      <c r="R714" s="42"/>
      <c r="S714" s="42"/>
      <c r="T714" s="42"/>
      <c r="U714" s="42"/>
      <c r="V714" s="42"/>
      <c r="W714" s="42"/>
      <c r="X714" s="42"/>
      <c r="Y714" s="42"/>
      <c r="Z714" s="42"/>
    </row>
    <row r="715">
      <c r="A715" s="133"/>
      <c r="B715" s="134"/>
      <c r="C715" s="63"/>
      <c r="D715" s="63"/>
      <c r="E715" s="135"/>
      <c r="F715" s="42"/>
      <c r="G715" s="42"/>
      <c r="H715" s="42"/>
      <c r="I715" s="42"/>
      <c r="J715" s="42"/>
      <c r="K715" s="42"/>
      <c r="L715" s="42"/>
      <c r="M715" s="42"/>
      <c r="N715" s="42"/>
      <c r="O715" s="42"/>
      <c r="P715" s="42"/>
      <c r="Q715" s="42"/>
      <c r="R715" s="42"/>
      <c r="S715" s="42"/>
      <c r="T715" s="42"/>
      <c r="U715" s="42"/>
      <c r="V715" s="42"/>
      <c r="W715" s="42"/>
      <c r="X715" s="42"/>
      <c r="Y715" s="42"/>
      <c r="Z715" s="42"/>
    </row>
    <row r="716">
      <c r="A716" s="133"/>
      <c r="B716" s="134"/>
      <c r="C716" s="63"/>
      <c r="D716" s="63"/>
      <c r="E716" s="135"/>
      <c r="F716" s="42"/>
      <c r="G716" s="42"/>
      <c r="H716" s="42"/>
      <c r="I716" s="42"/>
      <c r="J716" s="42"/>
      <c r="K716" s="42"/>
      <c r="L716" s="42"/>
      <c r="M716" s="42"/>
      <c r="N716" s="42"/>
      <c r="O716" s="42"/>
      <c r="P716" s="42"/>
      <c r="Q716" s="42"/>
      <c r="R716" s="42"/>
      <c r="S716" s="42"/>
      <c r="T716" s="42"/>
      <c r="U716" s="42"/>
      <c r="V716" s="42"/>
      <c r="W716" s="42"/>
      <c r="X716" s="42"/>
      <c r="Y716" s="42"/>
      <c r="Z716" s="42"/>
    </row>
    <row r="717">
      <c r="A717" s="133"/>
      <c r="B717" s="134"/>
      <c r="C717" s="63"/>
      <c r="D717" s="63"/>
      <c r="E717" s="135"/>
      <c r="F717" s="42"/>
      <c r="G717" s="42"/>
      <c r="H717" s="42"/>
      <c r="I717" s="42"/>
      <c r="J717" s="42"/>
      <c r="K717" s="42"/>
      <c r="L717" s="42"/>
      <c r="M717" s="42"/>
      <c r="N717" s="42"/>
      <c r="O717" s="42"/>
      <c r="P717" s="42"/>
      <c r="Q717" s="42"/>
      <c r="R717" s="42"/>
      <c r="S717" s="42"/>
      <c r="T717" s="42"/>
      <c r="U717" s="42"/>
      <c r="V717" s="42"/>
      <c r="W717" s="42"/>
      <c r="X717" s="42"/>
      <c r="Y717" s="42"/>
      <c r="Z717" s="42"/>
    </row>
    <row r="718">
      <c r="A718" s="133"/>
      <c r="B718" s="134"/>
      <c r="C718" s="63"/>
      <c r="D718" s="63"/>
      <c r="E718" s="135"/>
      <c r="F718" s="42"/>
      <c r="G718" s="42"/>
      <c r="H718" s="42"/>
      <c r="I718" s="42"/>
      <c r="J718" s="42"/>
      <c r="K718" s="42"/>
      <c r="L718" s="42"/>
      <c r="M718" s="42"/>
      <c r="N718" s="42"/>
      <c r="O718" s="42"/>
      <c r="P718" s="42"/>
      <c r="Q718" s="42"/>
      <c r="R718" s="42"/>
      <c r="S718" s="42"/>
      <c r="T718" s="42"/>
      <c r="U718" s="42"/>
      <c r="V718" s="42"/>
      <c r="W718" s="42"/>
      <c r="X718" s="42"/>
      <c r="Y718" s="42"/>
      <c r="Z718" s="42"/>
    </row>
    <row r="719">
      <c r="A719" s="133"/>
      <c r="B719" s="134"/>
      <c r="C719" s="63"/>
      <c r="D719" s="63"/>
      <c r="E719" s="135"/>
      <c r="F719" s="42"/>
      <c r="G719" s="42"/>
      <c r="H719" s="42"/>
      <c r="I719" s="42"/>
      <c r="J719" s="42"/>
      <c r="K719" s="42"/>
      <c r="L719" s="42"/>
      <c r="M719" s="42"/>
      <c r="N719" s="42"/>
      <c r="O719" s="42"/>
      <c r="P719" s="42"/>
      <c r="Q719" s="42"/>
      <c r="R719" s="42"/>
      <c r="S719" s="42"/>
      <c r="T719" s="42"/>
      <c r="U719" s="42"/>
      <c r="V719" s="42"/>
      <c r="W719" s="42"/>
      <c r="X719" s="42"/>
      <c r="Y719" s="42"/>
      <c r="Z719" s="42"/>
    </row>
    <row r="720">
      <c r="A720" s="133"/>
      <c r="B720" s="134"/>
      <c r="C720" s="63"/>
      <c r="D720" s="63"/>
      <c r="E720" s="135"/>
      <c r="F720" s="42"/>
      <c r="G720" s="42"/>
      <c r="H720" s="42"/>
      <c r="I720" s="42"/>
      <c r="J720" s="42"/>
      <c r="K720" s="42"/>
      <c r="L720" s="42"/>
      <c r="M720" s="42"/>
      <c r="N720" s="42"/>
      <c r="O720" s="42"/>
      <c r="P720" s="42"/>
      <c r="Q720" s="42"/>
      <c r="R720" s="42"/>
      <c r="S720" s="42"/>
      <c r="T720" s="42"/>
      <c r="U720" s="42"/>
      <c r="V720" s="42"/>
      <c r="W720" s="42"/>
      <c r="X720" s="42"/>
      <c r="Y720" s="42"/>
      <c r="Z720" s="42"/>
    </row>
    <row r="721">
      <c r="A721" s="133"/>
      <c r="B721" s="134"/>
      <c r="C721" s="63"/>
      <c r="D721" s="63"/>
      <c r="E721" s="135"/>
      <c r="F721" s="42"/>
      <c r="G721" s="42"/>
      <c r="H721" s="42"/>
      <c r="I721" s="42"/>
      <c r="J721" s="42"/>
      <c r="K721" s="42"/>
      <c r="L721" s="42"/>
      <c r="M721" s="42"/>
      <c r="N721" s="42"/>
      <c r="O721" s="42"/>
      <c r="P721" s="42"/>
      <c r="Q721" s="42"/>
      <c r="R721" s="42"/>
      <c r="S721" s="42"/>
      <c r="T721" s="42"/>
      <c r="U721" s="42"/>
      <c r="V721" s="42"/>
      <c r="W721" s="42"/>
      <c r="X721" s="42"/>
      <c r="Y721" s="42"/>
      <c r="Z721" s="42"/>
    </row>
    <row r="722">
      <c r="A722" s="133"/>
      <c r="B722" s="134"/>
      <c r="C722" s="63"/>
      <c r="D722" s="63"/>
      <c r="E722" s="135"/>
      <c r="F722" s="42"/>
      <c r="G722" s="42"/>
      <c r="H722" s="42"/>
      <c r="I722" s="42"/>
      <c r="J722" s="42"/>
      <c r="K722" s="42"/>
      <c r="L722" s="42"/>
      <c r="M722" s="42"/>
      <c r="N722" s="42"/>
      <c r="O722" s="42"/>
      <c r="P722" s="42"/>
      <c r="Q722" s="42"/>
      <c r="R722" s="42"/>
      <c r="S722" s="42"/>
      <c r="T722" s="42"/>
      <c r="U722" s="42"/>
      <c r="V722" s="42"/>
      <c r="W722" s="42"/>
      <c r="X722" s="42"/>
      <c r="Y722" s="42"/>
      <c r="Z722" s="42"/>
    </row>
    <row r="723">
      <c r="A723" s="133"/>
      <c r="B723" s="134"/>
      <c r="C723" s="63"/>
      <c r="D723" s="63"/>
      <c r="E723" s="135"/>
      <c r="F723" s="42"/>
      <c r="G723" s="42"/>
      <c r="H723" s="42"/>
      <c r="I723" s="42"/>
      <c r="J723" s="42"/>
      <c r="K723" s="42"/>
      <c r="L723" s="42"/>
      <c r="M723" s="42"/>
      <c r="N723" s="42"/>
      <c r="O723" s="42"/>
      <c r="P723" s="42"/>
      <c r="Q723" s="42"/>
      <c r="R723" s="42"/>
      <c r="S723" s="42"/>
      <c r="T723" s="42"/>
      <c r="U723" s="42"/>
      <c r="V723" s="42"/>
      <c r="W723" s="42"/>
      <c r="X723" s="42"/>
      <c r="Y723" s="42"/>
      <c r="Z723" s="42"/>
    </row>
    <row r="724">
      <c r="A724" s="133"/>
      <c r="B724" s="134"/>
      <c r="C724" s="63"/>
      <c r="D724" s="63"/>
      <c r="E724" s="135"/>
      <c r="F724" s="42"/>
      <c r="G724" s="42"/>
      <c r="H724" s="42"/>
      <c r="I724" s="42"/>
      <c r="J724" s="42"/>
      <c r="K724" s="42"/>
      <c r="L724" s="42"/>
      <c r="M724" s="42"/>
      <c r="N724" s="42"/>
      <c r="O724" s="42"/>
      <c r="P724" s="42"/>
      <c r="Q724" s="42"/>
      <c r="R724" s="42"/>
      <c r="S724" s="42"/>
      <c r="T724" s="42"/>
      <c r="U724" s="42"/>
      <c r="V724" s="42"/>
      <c r="W724" s="42"/>
      <c r="X724" s="42"/>
      <c r="Y724" s="42"/>
      <c r="Z724" s="42"/>
    </row>
    <row r="725">
      <c r="A725" s="133"/>
      <c r="B725" s="134"/>
      <c r="C725" s="63"/>
      <c r="D725" s="63"/>
      <c r="E725" s="135"/>
      <c r="F725" s="42"/>
      <c r="G725" s="42"/>
      <c r="H725" s="42"/>
      <c r="I725" s="42"/>
      <c r="J725" s="42"/>
      <c r="K725" s="42"/>
      <c r="L725" s="42"/>
      <c r="M725" s="42"/>
      <c r="N725" s="42"/>
      <c r="O725" s="42"/>
      <c r="P725" s="42"/>
      <c r="Q725" s="42"/>
      <c r="R725" s="42"/>
      <c r="S725" s="42"/>
      <c r="T725" s="42"/>
      <c r="U725" s="42"/>
      <c r="V725" s="42"/>
      <c r="W725" s="42"/>
      <c r="X725" s="42"/>
      <c r="Y725" s="42"/>
      <c r="Z725" s="42"/>
    </row>
    <row r="726">
      <c r="A726" s="133"/>
      <c r="B726" s="134"/>
      <c r="C726" s="63"/>
      <c r="D726" s="63"/>
      <c r="E726" s="135"/>
      <c r="F726" s="42"/>
      <c r="G726" s="42"/>
      <c r="H726" s="42"/>
      <c r="I726" s="42"/>
      <c r="J726" s="42"/>
      <c r="K726" s="42"/>
      <c r="L726" s="42"/>
      <c r="M726" s="42"/>
      <c r="N726" s="42"/>
      <c r="O726" s="42"/>
      <c r="P726" s="42"/>
      <c r="Q726" s="42"/>
      <c r="R726" s="42"/>
      <c r="S726" s="42"/>
      <c r="T726" s="42"/>
      <c r="U726" s="42"/>
      <c r="V726" s="42"/>
      <c r="W726" s="42"/>
      <c r="X726" s="42"/>
      <c r="Y726" s="42"/>
      <c r="Z726" s="42"/>
    </row>
    <row r="727">
      <c r="A727" s="133"/>
      <c r="B727" s="134"/>
      <c r="C727" s="63"/>
      <c r="D727" s="63"/>
      <c r="E727" s="135"/>
      <c r="F727" s="42"/>
      <c r="G727" s="42"/>
      <c r="H727" s="42"/>
      <c r="I727" s="42"/>
      <c r="J727" s="42"/>
      <c r="K727" s="42"/>
      <c r="L727" s="42"/>
      <c r="M727" s="42"/>
      <c r="N727" s="42"/>
      <c r="O727" s="42"/>
      <c r="P727" s="42"/>
      <c r="Q727" s="42"/>
      <c r="R727" s="42"/>
      <c r="S727" s="42"/>
      <c r="T727" s="42"/>
      <c r="U727" s="42"/>
      <c r="V727" s="42"/>
      <c r="W727" s="42"/>
      <c r="X727" s="42"/>
      <c r="Y727" s="42"/>
      <c r="Z727" s="42"/>
    </row>
    <row r="728">
      <c r="A728" s="133"/>
      <c r="B728" s="134"/>
      <c r="C728" s="63"/>
      <c r="D728" s="63"/>
      <c r="E728" s="135"/>
      <c r="F728" s="42"/>
      <c r="G728" s="42"/>
      <c r="H728" s="42"/>
      <c r="I728" s="42"/>
      <c r="J728" s="42"/>
      <c r="K728" s="42"/>
      <c r="L728" s="42"/>
      <c r="M728" s="42"/>
      <c r="N728" s="42"/>
      <c r="O728" s="42"/>
      <c r="P728" s="42"/>
      <c r="Q728" s="42"/>
      <c r="R728" s="42"/>
      <c r="S728" s="42"/>
      <c r="T728" s="42"/>
      <c r="U728" s="42"/>
      <c r="V728" s="42"/>
      <c r="W728" s="42"/>
      <c r="X728" s="42"/>
      <c r="Y728" s="42"/>
      <c r="Z728" s="42"/>
    </row>
    <row r="729">
      <c r="A729" s="133"/>
      <c r="B729" s="134"/>
      <c r="C729" s="63"/>
      <c r="D729" s="63"/>
      <c r="E729" s="135"/>
      <c r="F729" s="42"/>
      <c r="G729" s="42"/>
      <c r="H729" s="42"/>
      <c r="I729" s="42"/>
      <c r="J729" s="42"/>
      <c r="K729" s="42"/>
      <c r="L729" s="42"/>
      <c r="M729" s="42"/>
      <c r="N729" s="42"/>
      <c r="O729" s="42"/>
      <c r="P729" s="42"/>
      <c r="Q729" s="42"/>
      <c r="R729" s="42"/>
      <c r="S729" s="42"/>
      <c r="T729" s="42"/>
      <c r="U729" s="42"/>
      <c r="V729" s="42"/>
      <c r="W729" s="42"/>
      <c r="X729" s="42"/>
      <c r="Y729" s="42"/>
      <c r="Z729" s="42"/>
    </row>
    <row r="730">
      <c r="A730" s="133"/>
      <c r="B730" s="134"/>
      <c r="C730" s="63"/>
      <c r="D730" s="63"/>
      <c r="E730" s="135"/>
      <c r="F730" s="42"/>
      <c r="G730" s="42"/>
      <c r="H730" s="42"/>
      <c r="I730" s="42"/>
      <c r="J730" s="42"/>
      <c r="K730" s="42"/>
      <c r="L730" s="42"/>
      <c r="M730" s="42"/>
      <c r="N730" s="42"/>
      <c r="O730" s="42"/>
      <c r="P730" s="42"/>
      <c r="Q730" s="42"/>
      <c r="R730" s="42"/>
      <c r="S730" s="42"/>
      <c r="T730" s="42"/>
      <c r="U730" s="42"/>
      <c r="V730" s="42"/>
      <c r="W730" s="42"/>
      <c r="X730" s="42"/>
      <c r="Y730" s="42"/>
      <c r="Z730" s="42"/>
    </row>
    <row r="731">
      <c r="A731" s="133"/>
      <c r="B731" s="134"/>
      <c r="C731" s="63"/>
      <c r="D731" s="63"/>
      <c r="E731" s="135"/>
      <c r="F731" s="42"/>
      <c r="G731" s="42"/>
      <c r="H731" s="42"/>
      <c r="I731" s="42"/>
      <c r="J731" s="42"/>
      <c r="K731" s="42"/>
      <c r="L731" s="42"/>
      <c r="M731" s="42"/>
      <c r="N731" s="42"/>
      <c r="O731" s="42"/>
      <c r="P731" s="42"/>
      <c r="Q731" s="42"/>
      <c r="R731" s="42"/>
      <c r="S731" s="42"/>
      <c r="T731" s="42"/>
      <c r="U731" s="42"/>
      <c r="V731" s="42"/>
      <c r="W731" s="42"/>
      <c r="X731" s="42"/>
      <c r="Y731" s="42"/>
      <c r="Z731" s="42"/>
    </row>
    <row r="732">
      <c r="A732" s="133"/>
      <c r="B732" s="134"/>
      <c r="C732" s="63"/>
      <c r="D732" s="63"/>
      <c r="E732" s="135"/>
      <c r="F732" s="42"/>
      <c r="G732" s="42"/>
      <c r="H732" s="42"/>
      <c r="I732" s="42"/>
      <c r="J732" s="42"/>
      <c r="K732" s="42"/>
      <c r="L732" s="42"/>
      <c r="M732" s="42"/>
      <c r="N732" s="42"/>
      <c r="O732" s="42"/>
      <c r="P732" s="42"/>
      <c r="Q732" s="42"/>
      <c r="R732" s="42"/>
      <c r="S732" s="42"/>
      <c r="T732" s="42"/>
      <c r="U732" s="42"/>
      <c r="V732" s="42"/>
      <c r="W732" s="42"/>
      <c r="X732" s="42"/>
      <c r="Y732" s="42"/>
      <c r="Z732" s="42"/>
    </row>
    <row r="733">
      <c r="A733" s="133"/>
      <c r="B733" s="134"/>
      <c r="C733" s="63"/>
      <c r="D733" s="63"/>
      <c r="E733" s="135"/>
      <c r="F733" s="42"/>
      <c r="G733" s="42"/>
      <c r="H733" s="42"/>
      <c r="I733" s="42"/>
      <c r="J733" s="42"/>
      <c r="K733" s="42"/>
      <c r="L733" s="42"/>
      <c r="M733" s="42"/>
      <c r="N733" s="42"/>
      <c r="O733" s="42"/>
      <c r="P733" s="42"/>
      <c r="Q733" s="42"/>
      <c r="R733" s="42"/>
      <c r="S733" s="42"/>
      <c r="T733" s="42"/>
      <c r="U733" s="42"/>
      <c r="V733" s="42"/>
      <c r="W733" s="42"/>
      <c r="X733" s="42"/>
      <c r="Y733" s="42"/>
      <c r="Z733" s="42"/>
    </row>
    <row r="734">
      <c r="A734" s="133"/>
      <c r="B734" s="134"/>
      <c r="C734" s="63"/>
      <c r="D734" s="63"/>
      <c r="E734" s="135"/>
      <c r="F734" s="42"/>
      <c r="G734" s="42"/>
      <c r="H734" s="42"/>
      <c r="I734" s="42"/>
      <c r="J734" s="42"/>
      <c r="K734" s="42"/>
      <c r="L734" s="42"/>
      <c r="M734" s="42"/>
      <c r="N734" s="42"/>
      <c r="O734" s="42"/>
      <c r="P734" s="42"/>
      <c r="Q734" s="42"/>
      <c r="R734" s="42"/>
      <c r="S734" s="42"/>
      <c r="T734" s="42"/>
      <c r="U734" s="42"/>
      <c r="V734" s="42"/>
      <c r="W734" s="42"/>
      <c r="X734" s="42"/>
      <c r="Y734" s="42"/>
      <c r="Z734" s="42"/>
    </row>
    <row r="735">
      <c r="A735" s="133"/>
      <c r="B735" s="134"/>
      <c r="C735" s="63"/>
      <c r="D735" s="63"/>
      <c r="E735" s="135"/>
      <c r="F735" s="42"/>
      <c r="G735" s="42"/>
      <c r="H735" s="42"/>
      <c r="I735" s="42"/>
      <c r="J735" s="42"/>
      <c r="K735" s="42"/>
      <c r="L735" s="42"/>
      <c r="M735" s="42"/>
      <c r="N735" s="42"/>
      <c r="O735" s="42"/>
      <c r="P735" s="42"/>
      <c r="Q735" s="42"/>
      <c r="R735" s="42"/>
      <c r="S735" s="42"/>
      <c r="T735" s="42"/>
      <c r="U735" s="42"/>
      <c r="V735" s="42"/>
      <c r="W735" s="42"/>
      <c r="X735" s="42"/>
      <c r="Y735" s="42"/>
      <c r="Z735" s="42"/>
    </row>
    <row r="736">
      <c r="A736" s="133"/>
      <c r="B736" s="134"/>
      <c r="C736" s="63"/>
      <c r="D736" s="63"/>
      <c r="E736" s="135"/>
      <c r="F736" s="42"/>
      <c r="G736" s="42"/>
      <c r="H736" s="42"/>
      <c r="I736" s="42"/>
      <c r="J736" s="42"/>
      <c r="K736" s="42"/>
      <c r="L736" s="42"/>
      <c r="M736" s="42"/>
      <c r="N736" s="42"/>
      <c r="O736" s="42"/>
      <c r="P736" s="42"/>
      <c r="Q736" s="42"/>
      <c r="R736" s="42"/>
      <c r="S736" s="42"/>
      <c r="T736" s="42"/>
      <c r="U736" s="42"/>
      <c r="V736" s="42"/>
      <c r="W736" s="42"/>
      <c r="X736" s="42"/>
      <c r="Y736" s="42"/>
      <c r="Z736" s="42"/>
    </row>
    <row r="737">
      <c r="A737" s="133"/>
      <c r="B737" s="134"/>
      <c r="C737" s="63"/>
      <c r="D737" s="63"/>
      <c r="E737" s="135"/>
      <c r="F737" s="42"/>
      <c r="G737" s="42"/>
      <c r="H737" s="42"/>
      <c r="I737" s="42"/>
      <c r="J737" s="42"/>
      <c r="K737" s="42"/>
      <c r="L737" s="42"/>
      <c r="M737" s="42"/>
      <c r="N737" s="42"/>
      <c r="O737" s="42"/>
      <c r="P737" s="42"/>
      <c r="Q737" s="42"/>
      <c r="R737" s="42"/>
      <c r="S737" s="42"/>
      <c r="T737" s="42"/>
      <c r="U737" s="42"/>
      <c r="V737" s="42"/>
      <c r="W737" s="42"/>
      <c r="X737" s="42"/>
      <c r="Y737" s="42"/>
      <c r="Z737" s="42"/>
    </row>
    <row r="738">
      <c r="A738" s="133"/>
      <c r="B738" s="134"/>
      <c r="C738" s="63"/>
      <c r="D738" s="63"/>
      <c r="E738" s="135"/>
      <c r="F738" s="42"/>
      <c r="G738" s="42"/>
      <c r="H738" s="42"/>
      <c r="I738" s="42"/>
      <c r="J738" s="42"/>
      <c r="K738" s="42"/>
      <c r="L738" s="42"/>
      <c r="M738" s="42"/>
      <c r="N738" s="42"/>
      <c r="O738" s="42"/>
      <c r="P738" s="42"/>
      <c r="Q738" s="42"/>
      <c r="R738" s="42"/>
      <c r="S738" s="42"/>
      <c r="T738" s="42"/>
      <c r="U738" s="42"/>
      <c r="V738" s="42"/>
      <c r="W738" s="42"/>
      <c r="X738" s="42"/>
      <c r="Y738" s="42"/>
      <c r="Z738" s="42"/>
    </row>
    <row r="739">
      <c r="A739" s="133"/>
      <c r="B739" s="134"/>
      <c r="C739" s="63"/>
      <c r="D739" s="63"/>
      <c r="E739" s="135"/>
      <c r="F739" s="42"/>
      <c r="G739" s="42"/>
      <c r="H739" s="42"/>
      <c r="I739" s="42"/>
      <c r="J739" s="42"/>
      <c r="K739" s="42"/>
      <c r="L739" s="42"/>
      <c r="M739" s="42"/>
      <c r="N739" s="42"/>
      <c r="O739" s="42"/>
      <c r="P739" s="42"/>
      <c r="Q739" s="42"/>
      <c r="R739" s="42"/>
      <c r="S739" s="42"/>
      <c r="T739" s="42"/>
      <c r="U739" s="42"/>
      <c r="V739" s="42"/>
      <c r="W739" s="42"/>
      <c r="X739" s="42"/>
      <c r="Y739" s="42"/>
      <c r="Z739" s="42"/>
    </row>
    <row r="740">
      <c r="A740" s="133"/>
      <c r="B740" s="134"/>
      <c r="C740" s="63"/>
      <c r="D740" s="63"/>
      <c r="E740" s="135"/>
      <c r="F740" s="42"/>
      <c r="G740" s="42"/>
      <c r="H740" s="42"/>
      <c r="I740" s="42"/>
      <c r="J740" s="42"/>
      <c r="K740" s="42"/>
      <c r="L740" s="42"/>
      <c r="M740" s="42"/>
      <c r="N740" s="42"/>
      <c r="O740" s="42"/>
      <c r="P740" s="42"/>
      <c r="Q740" s="42"/>
      <c r="R740" s="42"/>
      <c r="S740" s="42"/>
      <c r="T740" s="42"/>
      <c r="U740" s="42"/>
      <c r="V740" s="42"/>
      <c r="W740" s="42"/>
      <c r="X740" s="42"/>
      <c r="Y740" s="42"/>
      <c r="Z740" s="42"/>
    </row>
    <row r="741">
      <c r="A741" s="133"/>
      <c r="B741" s="134"/>
      <c r="C741" s="63"/>
      <c r="D741" s="63"/>
      <c r="E741" s="135"/>
      <c r="F741" s="42"/>
      <c r="G741" s="42"/>
      <c r="H741" s="42"/>
      <c r="I741" s="42"/>
      <c r="J741" s="42"/>
      <c r="K741" s="42"/>
      <c r="L741" s="42"/>
      <c r="M741" s="42"/>
      <c r="N741" s="42"/>
      <c r="O741" s="42"/>
      <c r="P741" s="42"/>
      <c r="Q741" s="42"/>
      <c r="R741" s="42"/>
      <c r="S741" s="42"/>
      <c r="T741" s="42"/>
      <c r="U741" s="42"/>
      <c r="V741" s="42"/>
      <c r="W741" s="42"/>
      <c r="X741" s="42"/>
      <c r="Y741" s="42"/>
      <c r="Z741" s="42"/>
    </row>
    <row r="742">
      <c r="A742" s="133"/>
      <c r="B742" s="134"/>
      <c r="C742" s="63"/>
      <c r="D742" s="63"/>
      <c r="E742" s="135"/>
      <c r="F742" s="42"/>
      <c r="G742" s="42"/>
      <c r="H742" s="42"/>
      <c r="I742" s="42"/>
      <c r="J742" s="42"/>
      <c r="K742" s="42"/>
      <c r="L742" s="42"/>
      <c r="M742" s="42"/>
      <c r="N742" s="42"/>
      <c r="O742" s="42"/>
      <c r="P742" s="42"/>
      <c r="Q742" s="42"/>
      <c r="R742" s="42"/>
      <c r="S742" s="42"/>
      <c r="T742" s="42"/>
      <c r="U742" s="42"/>
      <c r="V742" s="42"/>
      <c r="W742" s="42"/>
      <c r="X742" s="42"/>
      <c r="Y742" s="42"/>
      <c r="Z742" s="42"/>
    </row>
    <row r="743">
      <c r="A743" s="133"/>
      <c r="B743" s="134"/>
      <c r="C743" s="63"/>
      <c r="D743" s="63"/>
      <c r="E743" s="135"/>
      <c r="F743" s="42"/>
      <c r="G743" s="42"/>
      <c r="H743" s="42"/>
      <c r="I743" s="42"/>
      <c r="J743" s="42"/>
      <c r="K743" s="42"/>
      <c r="L743" s="42"/>
      <c r="M743" s="42"/>
      <c r="N743" s="42"/>
      <c r="O743" s="42"/>
      <c r="P743" s="42"/>
      <c r="Q743" s="42"/>
      <c r="R743" s="42"/>
      <c r="S743" s="42"/>
      <c r="T743" s="42"/>
      <c r="U743" s="42"/>
      <c r="V743" s="42"/>
      <c r="W743" s="42"/>
      <c r="X743" s="42"/>
      <c r="Y743" s="42"/>
      <c r="Z743" s="42"/>
    </row>
    <row r="744">
      <c r="A744" s="133"/>
      <c r="B744" s="134"/>
      <c r="C744" s="63"/>
      <c r="D744" s="63"/>
      <c r="E744" s="135"/>
      <c r="F744" s="42"/>
      <c r="G744" s="42"/>
      <c r="H744" s="42"/>
      <c r="I744" s="42"/>
      <c r="J744" s="42"/>
      <c r="K744" s="42"/>
      <c r="L744" s="42"/>
      <c r="M744" s="42"/>
      <c r="N744" s="42"/>
      <c r="O744" s="42"/>
      <c r="P744" s="42"/>
      <c r="Q744" s="42"/>
      <c r="R744" s="42"/>
      <c r="S744" s="42"/>
      <c r="T744" s="42"/>
      <c r="U744" s="42"/>
      <c r="V744" s="42"/>
      <c r="W744" s="42"/>
      <c r="X744" s="42"/>
      <c r="Y744" s="42"/>
      <c r="Z744" s="42"/>
    </row>
    <row r="745">
      <c r="A745" s="133"/>
      <c r="B745" s="134"/>
      <c r="C745" s="63"/>
      <c r="D745" s="63"/>
      <c r="E745" s="135"/>
      <c r="F745" s="42"/>
      <c r="G745" s="42"/>
      <c r="H745" s="42"/>
      <c r="I745" s="42"/>
      <c r="J745" s="42"/>
      <c r="K745" s="42"/>
      <c r="L745" s="42"/>
      <c r="M745" s="42"/>
      <c r="N745" s="42"/>
      <c r="O745" s="42"/>
      <c r="P745" s="42"/>
      <c r="Q745" s="42"/>
      <c r="R745" s="42"/>
      <c r="S745" s="42"/>
      <c r="T745" s="42"/>
      <c r="U745" s="42"/>
      <c r="V745" s="42"/>
      <c r="W745" s="42"/>
      <c r="X745" s="42"/>
      <c r="Y745" s="42"/>
      <c r="Z745" s="42"/>
    </row>
    <row r="746">
      <c r="A746" s="133"/>
      <c r="B746" s="134"/>
      <c r="C746" s="63"/>
      <c r="D746" s="63"/>
      <c r="E746" s="135"/>
      <c r="F746" s="42"/>
      <c r="G746" s="42"/>
      <c r="H746" s="42"/>
      <c r="I746" s="42"/>
      <c r="J746" s="42"/>
      <c r="K746" s="42"/>
      <c r="L746" s="42"/>
      <c r="M746" s="42"/>
      <c r="N746" s="42"/>
      <c r="O746" s="42"/>
      <c r="P746" s="42"/>
      <c r="Q746" s="42"/>
      <c r="R746" s="42"/>
      <c r="S746" s="42"/>
      <c r="T746" s="42"/>
      <c r="U746" s="42"/>
      <c r="V746" s="42"/>
      <c r="W746" s="42"/>
      <c r="X746" s="42"/>
      <c r="Y746" s="42"/>
      <c r="Z746" s="42"/>
    </row>
    <row r="747">
      <c r="A747" s="133"/>
      <c r="B747" s="134"/>
      <c r="C747" s="63"/>
      <c r="D747" s="63"/>
      <c r="E747" s="135"/>
      <c r="F747" s="42"/>
      <c r="G747" s="42"/>
      <c r="H747" s="42"/>
      <c r="I747" s="42"/>
      <c r="J747" s="42"/>
      <c r="K747" s="42"/>
      <c r="L747" s="42"/>
      <c r="M747" s="42"/>
      <c r="N747" s="42"/>
      <c r="O747" s="42"/>
      <c r="P747" s="42"/>
      <c r="Q747" s="42"/>
      <c r="R747" s="42"/>
      <c r="S747" s="42"/>
      <c r="T747" s="42"/>
      <c r="U747" s="42"/>
      <c r="V747" s="42"/>
      <c r="W747" s="42"/>
      <c r="X747" s="42"/>
      <c r="Y747" s="42"/>
      <c r="Z747" s="42"/>
    </row>
    <row r="748">
      <c r="A748" s="133"/>
      <c r="B748" s="134"/>
      <c r="C748" s="63"/>
      <c r="D748" s="63"/>
      <c r="E748" s="135"/>
      <c r="F748" s="42"/>
      <c r="G748" s="42"/>
      <c r="H748" s="42"/>
      <c r="I748" s="42"/>
      <c r="J748" s="42"/>
      <c r="K748" s="42"/>
      <c r="L748" s="42"/>
      <c r="M748" s="42"/>
      <c r="N748" s="42"/>
      <c r="O748" s="42"/>
      <c r="P748" s="42"/>
      <c r="Q748" s="42"/>
      <c r="R748" s="42"/>
      <c r="S748" s="42"/>
      <c r="T748" s="42"/>
      <c r="U748" s="42"/>
      <c r="V748" s="42"/>
      <c r="W748" s="42"/>
      <c r="X748" s="42"/>
      <c r="Y748" s="42"/>
      <c r="Z748" s="42"/>
    </row>
    <row r="749">
      <c r="A749" s="133"/>
      <c r="B749" s="134"/>
      <c r="C749" s="63"/>
      <c r="D749" s="63"/>
      <c r="E749" s="135"/>
      <c r="F749" s="42"/>
      <c r="G749" s="42"/>
      <c r="H749" s="42"/>
      <c r="I749" s="42"/>
      <c r="J749" s="42"/>
      <c r="K749" s="42"/>
      <c r="L749" s="42"/>
      <c r="M749" s="42"/>
      <c r="N749" s="42"/>
      <c r="O749" s="42"/>
      <c r="P749" s="42"/>
      <c r="Q749" s="42"/>
      <c r="R749" s="42"/>
      <c r="S749" s="42"/>
      <c r="T749" s="42"/>
      <c r="U749" s="42"/>
      <c r="V749" s="42"/>
      <c r="W749" s="42"/>
      <c r="X749" s="42"/>
      <c r="Y749" s="42"/>
      <c r="Z749" s="42"/>
    </row>
    <row r="750">
      <c r="A750" s="133"/>
      <c r="B750" s="134"/>
      <c r="C750" s="63"/>
      <c r="D750" s="63"/>
      <c r="E750" s="135"/>
      <c r="F750" s="42"/>
      <c r="G750" s="42"/>
      <c r="H750" s="42"/>
      <c r="I750" s="42"/>
      <c r="J750" s="42"/>
      <c r="K750" s="42"/>
      <c r="L750" s="42"/>
      <c r="M750" s="42"/>
      <c r="N750" s="42"/>
      <c r="O750" s="42"/>
      <c r="P750" s="42"/>
      <c r="Q750" s="42"/>
      <c r="R750" s="42"/>
      <c r="S750" s="42"/>
      <c r="T750" s="42"/>
      <c r="U750" s="42"/>
      <c r="V750" s="42"/>
      <c r="W750" s="42"/>
      <c r="X750" s="42"/>
      <c r="Y750" s="42"/>
      <c r="Z750" s="42"/>
    </row>
    <row r="751">
      <c r="A751" s="133"/>
      <c r="B751" s="134"/>
      <c r="C751" s="63"/>
      <c r="D751" s="63"/>
      <c r="E751" s="135"/>
      <c r="F751" s="42"/>
      <c r="G751" s="42"/>
      <c r="H751" s="42"/>
      <c r="I751" s="42"/>
      <c r="J751" s="42"/>
      <c r="K751" s="42"/>
      <c r="L751" s="42"/>
      <c r="M751" s="42"/>
      <c r="N751" s="42"/>
      <c r="O751" s="42"/>
      <c r="P751" s="42"/>
      <c r="Q751" s="42"/>
      <c r="R751" s="42"/>
      <c r="S751" s="42"/>
      <c r="T751" s="42"/>
      <c r="U751" s="42"/>
      <c r="V751" s="42"/>
      <c r="W751" s="42"/>
      <c r="X751" s="42"/>
      <c r="Y751" s="42"/>
      <c r="Z751" s="42"/>
    </row>
    <row r="752">
      <c r="A752" s="133"/>
      <c r="B752" s="134"/>
      <c r="C752" s="63"/>
      <c r="D752" s="63"/>
      <c r="E752" s="135"/>
      <c r="F752" s="42"/>
      <c r="G752" s="42"/>
      <c r="H752" s="42"/>
      <c r="I752" s="42"/>
      <c r="J752" s="42"/>
      <c r="K752" s="42"/>
      <c r="L752" s="42"/>
      <c r="M752" s="42"/>
      <c r="N752" s="42"/>
      <c r="O752" s="42"/>
      <c r="P752" s="42"/>
      <c r="Q752" s="42"/>
      <c r="R752" s="42"/>
      <c r="S752" s="42"/>
      <c r="T752" s="42"/>
      <c r="U752" s="42"/>
      <c r="V752" s="42"/>
      <c r="W752" s="42"/>
      <c r="X752" s="42"/>
      <c r="Y752" s="42"/>
      <c r="Z752" s="42"/>
    </row>
    <row r="753">
      <c r="A753" s="133"/>
      <c r="B753" s="134"/>
      <c r="C753" s="63"/>
      <c r="D753" s="63"/>
      <c r="E753" s="135"/>
      <c r="F753" s="42"/>
      <c r="G753" s="42"/>
      <c r="H753" s="42"/>
      <c r="I753" s="42"/>
      <c r="J753" s="42"/>
      <c r="K753" s="42"/>
      <c r="L753" s="42"/>
      <c r="M753" s="42"/>
      <c r="N753" s="42"/>
      <c r="O753" s="42"/>
      <c r="P753" s="42"/>
      <c r="Q753" s="42"/>
      <c r="R753" s="42"/>
      <c r="S753" s="42"/>
      <c r="T753" s="42"/>
      <c r="U753" s="42"/>
      <c r="V753" s="42"/>
      <c r="W753" s="42"/>
      <c r="X753" s="42"/>
      <c r="Y753" s="42"/>
      <c r="Z753" s="42"/>
    </row>
    <row r="754">
      <c r="A754" s="133"/>
      <c r="B754" s="134"/>
      <c r="C754" s="63"/>
      <c r="D754" s="63"/>
      <c r="E754" s="135"/>
      <c r="F754" s="42"/>
      <c r="G754" s="42"/>
      <c r="H754" s="42"/>
      <c r="I754" s="42"/>
      <c r="J754" s="42"/>
      <c r="K754" s="42"/>
      <c r="L754" s="42"/>
      <c r="M754" s="42"/>
      <c r="N754" s="42"/>
      <c r="O754" s="42"/>
      <c r="P754" s="42"/>
      <c r="Q754" s="42"/>
      <c r="R754" s="42"/>
      <c r="S754" s="42"/>
      <c r="T754" s="42"/>
      <c r="U754" s="42"/>
      <c r="V754" s="42"/>
      <c r="W754" s="42"/>
      <c r="X754" s="42"/>
      <c r="Y754" s="42"/>
      <c r="Z754" s="42"/>
    </row>
    <row r="755">
      <c r="A755" s="133"/>
      <c r="B755" s="134"/>
      <c r="C755" s="63"/>
      <c r="D755" s="63"/>
      <c r="E755" s="135"/>
      <c r="F755" s="42"/>
      <c r="G755" s="42"/>
      <c r="H755" s="42"/>
      <c r="I755" s="42"/>
      <c r="J755" s="42"/>
      <c r="K755" s="42"/>
      <c r="L755" s="42"/>
      <c r="M755" s="42"/>
      <c r="N755" s="42"/>
      <c r="O755" s="42"/>
      <c r="P755" s="42"/>
      <c r="Q755" s="42"/>
      <c r="R755" s="42"/>
      <c r="S755" s="42"/>
      <c r="T755" s="42"/>
      <c r="U755" s="42"/>
      <c r="V755" s="42"/>
      <c r="W755" s="42"/>
      <c r="X755" s="42"/>
      <c r="Y755" s="42"/>
      <c r="Z755" s="42"/>
    </row>
    <row r="756">
      <c r="A756" s="133"/>
      <c r="B756" s="134"/>
      <c r="C756" s="63"/>
      <c r="D756" s="63"/>
      <c r="E756" s="135"/>
      <c r="F756" s="42"/>
      <c r="G756" s="42"/>
      <c r="H756" s="42"/>
      <c r="I756" s="42"/>
      <c r="J756" s="42"/>
      <c r="K756" s="42"/>
      <c r="L756" s="42"/>
      <c r="M756" s="42"/>
      <c r="N756" s="42"/>
      <c r="O756" s="42"/>
      <c r="P756" s="42"/>
      <c r="Q756" s="42"/>
      <c r="R756" s="42"/>
      <c r="S756" s="42"/>
      <c r="T756" s="42"/>
      <c r="U756" s="42"/>
      <c r="V756" s="42"/>
      <c r="W756" s="42"/>
      <c r="X756" s="42"/>
      <c r="Y756" s="42"/>
      <c r="Z756" s="42"/>
    </row>
    <row r="757">
      <c r="A757" s="133"/>
      <c r="B757" s="134"/>
      <c r="C757" s="63"/>
      <c r="D757" s="63"/>
      <c r="E757" s="135"/>
      <c r="F757" s="42"/>
      <c r="G757" s="42"/>
      <c r="H757" s="42"/>
      <c r="I757" s="42"/>
      <c r="J757" s="42"/>
      <c r="K757" s="42"/>
      <c r="L757" s="42"/>
      <c r="M757" s="42"/>
      <c r="N757" s="42"/>
      <c r="O757" s="42"/>
      <c r="P757" s="42"/>
      <c r="Q757" s="42"/>
      <c r="R757" s="42"/>
      <c r="S757" s="42"/>
      <c r="T757" s="42"/>
      <c r="U757" s="42"/>
      <c r="V757" s="42"/>
      <c r="W757" s="42"/>
      <c r="X757" s="42"/>
      <c r="Y757" s="42"/>
      <c r="Z757" s="42"/>
    </row>
    <row r="758">
      <c r="A758" s="133"/>
      <c r="B758" s="134"/>
      <c r="C758" s="63"/>
      <c r="D758" s="63"/>
      <c r="E758" s="135"/>
      <c r="F758" s="42"/>
      <c r="G758" s="42"/>
      <c r="H758" s="42"/>
      <c r="I758" s="42"/>
      <c r="J758" s="42"/>
      <c r="K758" s="42"/>
      <c r="L758" s="42"/>
      <c r="M758" s="42"/>
      <c r="N758" s="42"/>
      <c r="O758" s="42"/>
      <c r="P758" s="42"/>
      <c r="Q758" s="42"/>
      <c r="R758" s="42"/>
      <c r="S758" s="42"/>
      <c r="T758" s="42"/>
      <c r="U758" s="42"/>
      <c r="V758" s="42"/>
      <c r="W758" s="42"/>
      <c r="X758" s="42"/>
      <c r="Y758" s="42"/>
      <c r="Z758" s="42"/>
    </row>
    <row r="759">
      <c r="A759" s="133"/>
      <c r="B759" s="134"/>
      <c r="C759" s="63"/>
      <c r="D759" s="63"/>
      <c r="E759" s="135"/>
      <c r="F759" s="42"/>
      <c r="G759" s="42"/>
      <c r="H759" s="42"/>
      <c r="I759" s="42"/>
      <c r="J759" s="42"/>
      <c r="K759" s="42"/>
      <c r="L759" s="42"/>
      <c r="M759" s="42"/>
      <c r="N759" s="42"/>
      <c r="O759" s="42"/>
      <c r="P759" s="42"/>
      <c r="Q759" s="42"/>
      <c r="R759" s="42"/>
      <c r="S759" s="42"/>
      <c r="T759" s="42"/>
      <c r="U759" s="42"/>
      <c r="V759" s="42"/>
      <c r="W759" s="42"/>
      <c r="X759" s="42"/>
      <c r="Y759" s="42"/>
      <c r="Z759" s="42"/>
    </row>
    <row r="760">
      <c r="A760" s="133"/>
      <c r="B760" s="134"/>
      <c r="C760" s="63"/>
      <c r="D760" s="63"/>
      <c r="E760" s="135"/>
      <c r="F760" s="42"/>
      <c r="G760" s="42"/>
      <c r="H760" s="42"/>
      <c r="I760" s="42"/>
      <c r="J760" s="42"/>
      <c r="K760" s="42"/>
      <c r="L760" s="42"/>
      <c r="M760" s="42"/>
      <c r="N760" s="42"/>
      <c r="O760" s="42"/>
      <c r="P760" s="42"/>
      <c r="Q760" s="42"/>
      <c r="R760" s="42"/>
      <c r="S760" s="42"/>
      <c r="T760" s="42"/>
      <c r="U760" s="42"/>
      <c r="V760" s="42"/>
      <c r="W760" s="42"/>
      <c r="X760" s="42"/>
      <c r="Y760" s="42"/>
      <c r="Z760" s="42"/>
    </row>
    <row r="761">
      <c r="A761" s="133"/>
      <c r="B761" s="134"/>
      <c r="C761" s="63"/>
      <c r="D761" s="63"/>
      <c r="E761" s="135"/>
      <c r="F761" s="42"/>
      <c r="G761" s="42"/>
      <c r="H761" s="42"/>
      <c r="I761" s="42"/>
      <c r="J761" s="42"/>
      <c r="K761" s="42"/>
      <c r="L761" s="42"/>
      <c r="M761" s="42"/>
      <c r="N761" s="42"/>
      <c r="O761" s="42"/>
      <c r="P761" s="42"/>
      <c r="Q761" s="42"/>
      <c r="R761" s="42"/>
      <c r="S761" s="42"/>
      <c r="T761" s="42"/>
      <c r="U761" s="42"/>
      <c r="V761" s="42"/>
      <c r="W761" s="42"/>
      <c r="X761" s="42"/>
      <c r="Y761" s="42"/>
      <c r="Z761" s="42"/>
    </row>
    <row r="762">
      <c r="A762" s="133"/>
      <c r="B762" s="134"/>
      <c r="C762" s="63"/>
      <c r="D762" s="63"/>
      <c r="E762" s="135"/>
      <c r="F762" s="42"/>
      <c r="G762" s="42"/>
      <c r="H762" s="42"/>
      <c r="I762" s="42"/>
      <c r="J762" s="42"/>
      <c r="K762" s="42"/>
      <c r="L762" s="42"/>
      <c r="M762" s="42"/>
      <c r="N762" s="42"/>
      <c r="O762" s="42"/>
      <c r="P762" s="42"/>
      <c r="Q762" s="42"/>
      <c r="R762" s="42"/>
      <c r="S762" s="42"/>
      <c r="T762" s="42"/>
      <c r="U762" s="42"/>
      <c r="V762" s="42"/>
      <c r="W762" s="42"/>
      <c r="X762" s="42"/>
      <c r="Y762" s="42"/>
      <c r="Z762" s="42"/>
    </row>
    <row r="763">
      <c r="A763" s="133"/>
      <c r="B763" s="134"/>
      <c r="C763" s="63"/>
      <c r="D763" s="63"/>
      <c r="E763" s="135"/>
      <c r="F763" s="42"/>
      <c r="G763" s="42"/>
      <c r="H763" s="42"/>
      <c r="I763" s="42"/>
      <c r="J763" s="42"/>
      <c r="K763" s="42"/>
      <c r="L763" s="42"/>
      <c r="M763" s="42"/>
      <c r="N763" s="42"/>
      <c r="O763" s="42"/>
      <c r="P763" s="42"/>
      <c r="Q763" s="42"/>
      <c r="R763" s="42"/>
      <c r="S763" s="42"/>
      <c r="T763" s="42"/>
      <c r="U763" s="42"/>
      <c r="V763" s="42"/>
      <c r="W763" s="42"/>
      <c r="X763" s="42"/>
      <c r="Y763" s="42"/>
      <c r="Z763" s="42"/>
    </row>
    <row r="764">
      <c r="A764" s="133"/>
      <c r="B764" s="134"/>
      <c r="C764" s="63"/>
      <c r="D764" s="63"/>
      <c r="E764" s="135"/>
      <c r="F764" s="42"/>
      <c r="G764" s="42"/>
      <c r="H764" s="42"/>
      <c r="I764" s="42"/>
      <c r="J764" s="42"/>
      <c r="K764" s="42"/>
      <c r="L764" s="42"/>
      <c r="M764" s="42"/>
      <c r="N764" s="42"/>
      <c r="O764" s="42"/>
      <c r="P764" s="42"/>
      <c r="Q764" s="42"/>
      <c r="R764" s="42"/>
      <c r="S764" s="42"/>
      <c r="T764" s="42"/>
      <c r="U764" s="42"/>
      <c r="V764" s="42"/>
      <c r="W764" s="42"/>
      <c r="X764" s="42"/>
      <c r="Y764" s="42"/>
      <c r="Z764" s="42"/>
    </row>
    <row r="765">
      <c r="A765" s="133"/>
      <c r="B765" s="134"/>
      <c r="C765" s="63"/>
      <c r="D765" s="63"/>
      <c r="E765" s="135"/>
      <c r="F765" s="42"/>
      <c r="G765" s="42"/>
      <c r="H765" s="42"/>
      <c r="I765" s="42"/>
      <c r="J765" s="42"/>
      <c r="K765" s="42"/>
      <c r="L765" s="42"/>
      <c r="M765" s="42"/>
      <c r="N765" s="42"/>
      <c r="O765" s="42"/>
      <c r="P765" s="42"/>
      <c r="Q765" s="42"/>
      <c r="R765" s="42"/>
      <c r="S765" s="42"/>
      <c r="T765" s="42"/>
      <c r="U765" s="42"/>
      <c r="V765" s="42"/>
      <c r="W765" s="42"/>
      <c r="X765" s="42"/>
      <c r="Y765" s="42"/>
      <c r="Z765" s="42"/>
    </row>
    <row r="766">
      <c r="A766" s="133"/>
      <c r="B766" s="134"/>
      <c r="C766" s="63"/>
      <c r="D766" s="63"/>
      <c r="E766" s="135"/>
      <c r="F766" s="42"/>
      <c r="G766" s="42"/>
      <c r="H766" s="42"/>
      <c r="I766" s="42"/>
      <c r="J766" s="42"/>
      <c r="K766" s="42"/>
      <c r="L766" s="42"/>
      <c r="M766" s="42"/>
      <c r="N766" s="42"/>
      <c r="O766" s="42"/>
      <c r="P766" s="42"/>
      <c r="Q766" s="42"/>
      <c r="R766" s="42"/>
      <c r="S766" s="42"/>
      <c r="T766" s="42"/>
      <c r="U766" s="42"/>
      <c r="V766" s="42"/>
      <c r="W766" s="42"/>
      <c r="X766" s="42"/>
      <c r="Y766" s="42"/>
      <c r="Z766" s="42"/>
    </row>
    <row r="767">
      <c r="A767" s="133"/>
      <c r="B767" s="134"/>
      <c r="C767" s="63"/>
      <c r="D767" s="63"/>
      <c r="E767" s="135"/>
      <c r="F767" s="42"/>
      <c r="G767" s="42"/>
      <c r="H767" s="42"/>
      <c r="I767" s="42"/>
      <c r="J767" s="42"/>
      <c r="K767" s="42"/>
      <c r="L767" s="42"/>
      <c r="M767" s="42"/>
      <c r="N767" s="42"/>
      <c r="O767" s="42"/>
      <c r="P767" s="42"/>
      <c r="Q767" s="42"/>
      <c r="R767" s="42"/>
      <c r="S767" s="42"/>
      <c r="T767" s="42"/>
      <c r="U767" s="42"/>
      <c r="V767" s="42"/>
      <c r="W767" s="42"/>
      <c r="X767" s="42"/>
      <c r="Y767" s="42"/>
      <c r="Z767" s="42"/>
    </row>
    <row r="768">
      <c r="A768" s="133"/>
      <c r="B768" s="134"/>
      <c r="C768" s="63"/>
      <c r="D768" s="63"/>
      <c r="E768" s="135"/>
      <c r="F768" s="42"/>
      <c r="G768" s="42"/>
      <c r="H768" s="42"/>
      <c r="I768" s="42"/>
      <c r="J768" s="42"/>
      <c r="K768" s="42"/>
      <c r="L768" s="42"/>
      <c r="M768" s="42"/>
      <c r="N768" s="42"/>
      <c r="O768" s="42"/>
      <c r="P768" s="42"/>
      <c r="Q768" s="42"/>
      <c r="R768" s="42"/>
      <c r="S768" s="42"/>
      <c r="T768" s="42"/>
      <c r="U768" s="42"/>
      <c r="V768" s="42"/>
      <c r="W768" s="42"/>
      <c r="X768" s="42"/>
      <c r="Y768" s="42"/>
      <c r="Z768" s="42"/>
    </row>
    <row r="769">
      <c r="A769" s="133"/>
      <c r="B769" s="134"/>
      <c r="C769" s="63"/>
      <c r="D769" s="63"/>
      <c r="E769" s="135"/>
      <c r="F769" s="42"/>
      <c r="G769" s="42"/>
      <c r="H769" s="42"/>
      <c r="I769" s="42"/>
      <c r="J769" s="42"/>
      <c r="K769" s="42"/>
      <c r="L769" s="42"/>
      <c r="M769" s="42"/>
      <c r="N769" s="42"/>
      <c r="O769" s="42"/>
      <c r="P769" s="42"/>
      <c r="Q769" s="42"/>
      <c r="R769" s="42"/>
      <c r="S769" s="42"/>
      <c r="T769" s="42"/>
      <c r="U769" s="42"/>
      <c r="V769" s="42"/>
      <c r="W769" s="42"/>
      <c r="X769" s="42"/>
      <c r="Y769" s="42"/>
      <c r="Z769" s="42"/>
    </row>
    <row r="770">
      <c r="A770" s="133"/>
      <c r="B770" s="134"/>
      <c r="C770" s="63"/>
      <c r="D770" s="63"/>
      <c r="E770" s="135"/>
      <c r="F770" s="42"/>
      <c r="G770" s="42"/>
      <c r="H770" s="42"/>
      <c r="I770" s="42"/>
      <c r="J770" s="42"/>
      <c r="K770" s="42"/>
      <c r="L770" s="42"/>
      <c r="M770" s="42"/>
      <c r="N770" s="42"/>
      <c r="O770" s="42"/>
      <c r="P770" s="42"/>
      <c r="Q770" s="42"/>
      <c r="R770" s="42"/>
      <c r="S770" s="42"/>
      <c r="T770" s="42"/>
      <c r="U770" s="42"/>
      <c r="V770" s="42"/>
      <c r="W770" s="42"/>
      <c r="X770" s="42"/>
      <c r="Y770" s="42"/>
      <c r="Z770" s="42"/>
    </row>
    <row r="771">
      <c r="A771" s="133"/>
      <c r="B771" s="134"/>
      <c r="C771" s="63"/>
      <c r="D771" s="63"/>
      <c r="E771" s="135"/>
      <c r="F771" s="42"/>
      <c r="G771" s="42"/>
      <c r="H771" s="42"/>
      <c r="I771" s="42"/>
      <c r="J771" s="42"/>
      <c r="K771" s="42"/>
      <c r="L771" s="42"/>
      <c r="M771" s="42"/>
      <c r="N771" s="42"/>
      <c r="O771" s="42"/>
      <c r="P771" s="42"/>
      <c r="Q771" s="42"/>
      <c r="R771" s="42"/>
      <c r="S771" s="42"/>
      <c r="T771" s="42"/>
      <c r="U771" s="42"/>
      <c r="V771" s="42"/>
      <c r="W771" s="42"/>
      <c r="X771" s="42"/>
      <c r="Y771" s="42"/>
      <c r="Z771" s="42"/>
    </row>
    <row r="772">
      <c r="A772" s="133"/>
      <c r="B772" s="134"/>
      <c r="C772" s="63"/>
      <c r="D772" s="63"/>
      <c r="E772" s="135"/>
      <c r="F772" s="42"/>
      <c r="G772" s="42"/>
      <c r="H772" s="42"/>
      <c r="I772" s="42"/>
      <c r="J772" s="42"/>
      <c r="K772" s="42"/>
      <c r="L772" s="42"/>
      <c r="M772" s="42"/>
      <c r="N772" s="42"/>
      <c r="O772" s="42"/>
      <c r="P772" s="42"/>
      <c r="Q772" s="42"/>
      <c r="R772" s="42"/>
      <c r="S772" s="42"/>
      <c r="T772" s="42"/>
      <c r="U772" s="42"/>
      <c r="V772" s="42"/>
      <c r="W772" s="42"/>
      <c r="X772" s="42"/>
      <c r="Y772" s="42"/>
      <c r="Z772" s="42"/>
    </row>
    <row r="773">
      <c r="A773" s="133"/>
      <c r="B773" s="134"/>
      <c r="C773" s="63"/>
      <c r="D773" s="63"/>
      <c r="E773" s="135"/>
      <c r="F773" s="42"/>
      <c r="G773" s="42"/>
      <c r="H773" s="42"/>
      <c r="I773" s="42"/>
      <c r="J773" s="42"/>
      <c r="K773" s="42"/>
      <c r="L773" s="42"/>
      <c r="M773" s="42"/>
      <c r="N773" s="42"/>
      <c r="O773" s="42"/>
      <c r="P773" s="42"/>
      <c r="Q773" s="42"/>
      <c r="R773" s="42"/>
      <c r="S773" s="42"/>
      <c r="T773" s="42"/>
      <c r="U773" s="42"/>
      <c r="V773" s="42"/>
      <c r="W773" s="42"/>
      <c r="X773" s="42"/>
      <c r="Y773" s="42"/>
      <c r="Z773" s="42"/>
    </row>
    <row r="774">
      <c r="A774" s="133"/>
      <c r="B774" s="134"/>
      <c r="C774" s="63"/>
      <c r="D774" s="63"/>
      <c r="E774" s="135"/>
      <c r="F774" s="42"/>
      <c r="G774" s="42"/>
      <c r="H774" s="42"/>
      <c r="I774" s="42"/>
      <c r="J774" s="42"/>
      <c r="K774" s="42"/>
      <c r="L774" s="42"/>
      <c r="M774" s="42"/>
      <c r="N774" s="42"/>
      <c r="O774" s="42"/>
      <c r="P774" s="42"/>
      <c r="Q774" s="42"/>
      <c r="R774" s="42"/>
      <c r="S774" s="42"/>
      <c r="T774" s="42"/>
      <c r="U774" s="42"/>
      <c r="V774" s="42"/>
      <c r="W774" s="42"/>
      <c r="X774" s="42"/>
      <c r="Y774" s="42"/>
      <c r="Z774" s="42"/>
    </row>
    <row r="775">
      <c r="A775" s="133"/>
      <c r="B775" s="134"/>
      <c r="C775" s="63"/>
      <c r="D775" s="63"/>
      <c r="E775" s="135"/>
      <c r="F775" s="42"/>
      <c r="G775" s="42"/>
      <c r="H775" s="42"/>
      <c r="I775" s="42"/>
      <c r="J775" s="42"/>
      <c r="K775" s="42"/>
      <c r="L775" s="42"/>
      <c r="M775" s="42"/>
      <c r="N775" s="42"/>
      <c r="O775" s="42"/>
      <c r="P775" s="42"/>
      <c r="Q775" s="42"/>
      <c r="R775" s="42"/>
      <c r="S775" s="42"/>
      <c r="T775" s="42"/>
      <c r="U775" s="42"/>
      <c r="V775" s="42"/>
      <c r="W775" s="42"/>
      <c r="X775" s="42"/>
      <c r="Y775" s="42"/>
      <c r="Z775" s="42"/>
    </row>
    <row r="776">
      <c r="A776" s="133"/>
      <c r="B776" s="134"/>
      <c r="C776" s="63"/>
      <c r="D776" s="63"/>
      <c r="E776" s="135"/>
      <c r="F776" s="42"/>
      <c r="G776" s="42"/>
      <c r="H776" s="42"/>
      <c r="I776" s="42"/>
      <c r="J776" s="42"/>
      <c r="K776" s="42"/>
      <c r="L776" s="42"/>
      <c r="M776" s="42"/>
      <c r="N776" s="42"/>
      <c r="O776" s="42"/>
      <c r="P776" s="42"/>
      <c r="Q776" s="42"/>
      <c r="R776" s="42"/>
      <c r="S776" s="42"/>
      <c r="T776" s="42"/>
      <c r="U776" s="42"/>
      <c r="V776" s="42"/>
      <c r="W776" s="42"/>
      <c r="X776" s="42"/>
      <c r="Y776" s="42"/>
      <c r="Z776" s="42"/>
    </row>
    <row r="777">
      <c r="A777" s="133"/>
      <c r="B777" s="134"/>
      <c r="C777" s="63"/>
      <c r="D777" s="63"/>
      <c r="E777" s="135"/>
      <c r="F777" s="42"/>
      <c r="G777" s="42"/>
      <c r="H777" s="42"/>
      <c r="I777" s="42"/>
      <c r="J777" s="42"/>
      <c r="K777" s="42"/>
      <c r="L777" s="42"/>
      <c r="M777" s="42"/>
      <c r="N777" s="42"/>
      <c r="O777" s="42"/>
      <c r="P777" s="42"/>
      <c r="Q777" s="42"/>
      <c r="R777" s="42"/>
      <c r="S777" s="42"/>
      <c r="T777" s="42"/>
      <c r="U777" s="42"/>
      <c r="V777" s="42"/>
      <c r="W777" s="42"/>
      <c r="X777" s="42"/>
      <c r="Y777" s="42"/>
      <c r="Z777" s="42"/>
    </row>
    <row r="778">
      <c r="A778" s="133"/>
      <c r="B778" s="134"/>
      <c r="C778" s="63"/>
      <c r="D778" s="63"/>
      <c r="E778" s="135"/>
      <c r="F778" s="42"/>
      <c r="G778" s="42"/>
      <c r="H778" s="42"/>
      <c r="I778" s="42"/>
      <c r="J778" s="42"/>
      <c r="K778" s="42"/>
      <c r="L778" s="42"/>
      <c r="M778" s="42"/>
      <c r="N778" s="42"/>
      <c r="O778" s="42"/>
      <c r="P778" s="42"/>
      <c r="Q778" s="42"/>
      <c r="R778" s="42"/>
      <c r="S778" s="42"/>
      <c r="T778" s="42"/>
      <c r="U778" s="42"/>
      <c r="V778" s="42"/>
      <c r="W778" s="42"/>
      <c r="X778" s="42"/>
      <c r="Y778" s="42"/>
      <c r="Z778" s="42"/>
    </row>
    <row r="779">
      <c r="A779" s="133"/>
      <c r="B779" s="134"/>
      <c r="C779" s="63"/>
      <c r="D779" s="63"/>
      <c r="E779" s="135"/>
      <c r="F779" s="42"/>
      <c r="G779" s="42"/>
      <c r="H779" s="42"/>
      <c r="I779" s="42"/>
      <c r="J779" s="42"/>
      <c r="K779" s="42"/>
      <c r="L779" s="42"/>
      <c r="M779" s="42"/>
      <c r="N779" s="42"/>
      <c r="O779" s="42"/>
      <c r="P779" s="42"/>
      <c r="Q779" s="42"/>
      <c r="R779" s="42"/>
      <c r="S779" s="42"/>
      <c r="T779" s="42"/>
      <c r="U779" s="42"/>
      <c r="V779" s="42"/>
      <c r="W779" s="42"/>
      <c r="X779" s="42"/>
      <c r="Y779" s="42"/>
      <c r="Z779" s="42"/>
    </row>
    <row r="780">
      <c r="A780" s="133"/>
      <c r="B780" s="134"/>
      <c r="C780" s="63"/>
      <c r="D780" s="63"/>
      <c r="E780" s="135"/>
      <c r="F780" s="42"/>
      <c r="G780" s="42"/>
      <c r="H780" s="42"/>
      <c r="I780" s="42"/>
      <c r="J780" s="42"/>
      <c r="K780" s="42"/>
      <c r="L780" s="42"/>
      <c r="M780" s="42"/>
      <c r="N780" s="42"/>
      <c r="O780" s="42"/>
      <c r="P780" s="42"/>
      <c r="Q780" s="42"/>
      <c r="R780" s="42"/>
      <c r="S780" s="42"/>
      <c r="T780" s="42"/>
      <c r="U780" s="42"/>
      <c r="V780" s="42"/>
      <c r="W780" s="42"/>
      <c r="X780" s="42"/>
      <c r="Y780" s="42"/>
      <c r="Z780" s="42"/>
    </row>
    <row r="781">
      <c r="A781" s="133"/>
      <c r="B781" s="134"/>
      <c r="C781" s="63"/>
      <c r="D781" s="63"/>
      <c r="E781" s="135"/>
      <c r="F781" s="42"/>
      <c r="G781" s="42"/>
      <c r="H781" s="42"/>
      <c r="I781" s="42"/>
      <c r="J781" s="42"/>
      <c r="K781" s="42"/>
      <c r="L781" s="42"/>
      <c r="M781" s="42"/>
      <c r="N781" s="42"/>
      <c r="O781" s="42"/>
      <c r="P781" s="42"/>
      <c r="Q781" s="42"/>
      <c r="R781" s="42"/>
      <c r="S781" s="42"/>
      <c r="T781" s="42"/>
      <c r="U781" s="42"/>
      <c r="V781" s="42"/>
      <c r="W781" s="42"/>
      <c r="X781" s="42"/>
      <c r="Y781" s="42"/>
      <c r="Z781" s="42"/>
    </row>
    <row r="782">
      <c r="A782" s="133"/>
      <c r="B782" s="134"/>
      <c r="C782" s="63"/>
      <c r="D782" s="63"/>
      <c r="E782" s="135"/>
      <c r="F782" s="42"/>
      <c r="G782" s="42"/>
      <c r="H782" s="42"/>
      <c r="I782" s="42"/>
      <c r="J782" s="42"/>
      <c r="K782" s="42"/>
      <c r="L782" s="42"/>
      <c r="M782" s="42"/>
      <c r="N782" s="42"/>
      <c r="O782" s="42"/>
      <c r="P782" s="42"/>
      <c r="Q782" s="42"/>
      <c r="R782" s="42"/>
      <c r="S782" s="42"/>
      <c r="T782" s="42"/>
      <c r="U782" s="42"/>
      <c r="V782" s="42"/>
      <c r="W782" s="42"/>
      <c r="X782" s="42"/>
      <c r="Y782" s="42"/>
      <c r="Z782" s="42"/>
    </row>
    <row r="783">
      <c r="A783" s="133"/>
      <c r="B783" s="134"/>
      <c r="C783" s="63"/>
      <c r="D783" s="63"/>
      <c r="E783" s="135"/>
      <c r="F783" s="42"/>
      <c r="G783" s="42"/>
      <c r="H783" s="42"/>
      <c r="I783" s="42"/>
      <c r="J783" s="42"/>
      <c r="K783" s="42"/>
      <c r="L783" s="42"/>
      <c r="M783" s="42"/>
      <c r="N783" s="42"/>
      <c r="O783" s="42"/>
      <c r="P783" s="42"/>
      <c r="Q783" s="42"/>
      <c r="R783" s="42"/>
      <c r="S783" s="42"/>
      <c r="T783" s="42"/>
      <c r="U783" s="42"/>
      <c r="V783" s="42"/>
      <c r="W783" s="42"/>
      <c r="X783" s="42"/>
      <c r="Y783" s="42"/>
      <c r="Z783" s="42"/>
    </row>
    <row r="784">
      <c r="A784" s="133"/>
      <c r="B784" s="134"/>
      <c r="C784" s="63"/>
      <c r="D784" s="63"/>
      <c r="E784" s="135"/>
      <c r="F784" s="42"/>
      <c r="G784" s="42"/>
      <c r="H784" s="42"/>
      <c r="I784" s="42"/>
      <c r="J784" s="42"/>
      <c r="K784" s="42"/>
      <c r="L784" s="42"/>
      <c r="M784" s="42"/>
      <c r="N784" s="42"/>
      <c r="O784" s="42"/>
      <c r="P784" s="42"/>
      <c r="Q784" s="42"/>
      <c r="R784" s="42"/>
      <c r="S784" s="42"/>
      <c r="T784" s="42"/>
      <c r="U784" s="42"/>
      <c r="V784" s="42"/>
      <c r="W784" s="42"/>
      <c r="X784" s="42"/>
      <c r="Y784" s="42"/>
      <c r="Z784" s="42"/>
    </row>
    <row r="785">
      <c r="A785" s="133"/>
      <c r="B785" s="134"/>
      <c r="C785" s="63"/>
      <c r="D785" s="63"/>
      <c r="E785" s="135"/>
      <c r="F785" s="42"/>
      <c r="G785" s="42"/>
      <c r="H785" s="42"/>
      <c r="I785" s="42"/>
      <c r="J785" s="42"/>
      <c r="K785" s="42"/>
      <c r="L785" s="42"/>
      <c r="M785" s="42"/>
      <c r="N785" s="42"/>
      <c r="O785" s="42"/>
      <c r="P785" s="42"/>
      <c r="Q785" s="42"/>
      <c r="R785" s="42"/>
      <c r="S785" s="42"/>
      <c r="T785" s="42"/>
      <c r="U785" s="42"/>
      <c r="V785" s="42"/>
      <c r="W785" s="42"/>
      <c r="X785" s="42"/>
      <c r="Y785" s="42"/>
      <c r="Z785" s="42"/>
    </row>
    <row r="786">
      <c r="A786" s="133"/>
      <c r="B786" s="134"/>
      <c r="C786" s="63"/>
      <c r="D786" s="63"/>
      <c r="E786" s="135"/>
      <c r="F786" s="42"/>
      <c r="G786" s="42"/>
      <c r="H786" s="42"/>
      <c r="I786" s="42"/>
      <c r="J786" s="42"/>
      <c r="K786" s="42"/>
      <c r="L786" s="42"/>
      <c r="M786" s="42"/>
      <c r="N786" s="42"/>
      <c r="O786" s="42"/>
      <c r="P786" s="42"/>
      <c r="Q786" s="42"/>
      <c r="R786" s="42"/>
      <c r="S786" s="42"/>
      <c r="T786" s="42"/>
      <c r="U786" s="42"/>
      <c r="V786" s="42"/>
      <c r="W786" s="42"/>
      <c r="X786" s="42"/>
      <c r="Y786" s="42"/>
      <c r="Z786" s="42"/>
    </row>
    <row r="787">
      <c r="A787" s="133"/>
      <c r="B787" s="134"/>
      <c r="C787" s="63"/>
      <c r="D787" s="63"/>
      <c r="E787" s="135"/>
      <c r="F787" s="42"/>
      <c r="G787" s="42"/>
      <c r="H787" s="42"/>
      <c r="I787" s="42"/>
      <c r="J787" s="42"/>
      <c r="K787" s="42"/>
      <c r="L787" s="42"/>
      <c r="M787" s="42"/>
      <c r="N787" s="42"/>
      <c r="O787" s="42"/>
      <c r="P787" s="42"/>
      <c r="Q787" s="42"/>
      <c r="R787" s="42"/>
      <c r="S787" s="42"/>
      <c r="T787" s="42"/>
      <c r="U787" s="42"/>
      <c r="V787" s="42"/>
      <c r="W787" s="42"/>
      <c r="X787" s="42"/>
      <c r="Y787" s="42"/>
      <c r="Z787" s="42"/>
    </row>
    <row r="788">
      <c r="A788" s="133"/>
      <c r="B788" s="134"/>
      <c r="C788" s="63"/>
      <c r="D788" s="63"/>
      <c r="E788" s="135"/>
      <c r="F788" s="42"/>
      <c r="G788" s="42"/>
      <c r="H788" s="42"/>
      <c r="I788" s="42"/>
      <c r="J788" s="42"/>
      <c r="K788" s="42"/>
      <c r="L788" s="42"/>
      <c r="M788" s="42"/>
      <c r="N788" s="42"/>
      <c r="O788" s="42"/>
      <c r="P788" s="42"/>
      <c r="Q788" s="42"/>
      <c r="R788" s="42"/>
      <c r="S788" s="42"/>
      <c r="T788" s="42"/>
      <c r="U788" s="42"/>
      <c r="V788" s="42"/>
      <c r="W788" s="42"/>
      <c r="X788" s="42"/>
      <c r="Y788" s="42"/>
      <c r="Z788" s="42"/>
    </row>
    <row r="789">
      <c r="A789" s="133"/>
      <c r="B789" s="134"/>
      <c r="C789" s="63"/>
      <c r="D789" s="63"/>
      <c r="E789" s="135"/>
      <c r="F789" s="42"/>
      <c r="G789" s="42"/>
      <c r="H789" s="42"/>
      <c r="I789" s="42"/>
      <c r="J789" s="42"/>
      <c r="K789" s="42"/>
      <c r="L789" s="42"/>
      <c r="M789" s="42"/>
      <c r="N789" s="42"/>
      <c r="O789" s="42"/>
      <c r="P789" s="42"/>
      <c r="Q789" s="42"/>
      <c r="R789" s="42"/>
      <c r="S789" s="42"/>
      <c r="T789" s="42"/>
      <c r="U789" s="42"/>
      <c r="V789" s="42"/>
      <c r="W789" s="42"/>
      <c r="X789" s="42"/>
      <c r="Y789" s="42"/>
      <c r="Z789" s="42"/>
    </row>
    <row r="790">
      <c r="A790" s="133"/>
      <c r="B790" s="134"/>
      <c r="C790" s="63"/>
      <c r="D790" s="63"/>
      <c r="E790" s="135"/>
      <c r="F790" s="42"/>
      <c r="G790" s="42"/>
      <c r="H790" s="42"/>
      <c r="I790" s="42"/>
      <c r="J790" s="42"/>
      <c r="K790" s="42"/>
      <c r="L790" s="42"/>
      <c r="M790" s="42"/>
      <c r="N790" s="42"/>
      <c r="O790" s="42"/>
      <c r="P790" s="42"/>
      <c r="Q790" s="42"/>
      <c r="R790" s="42"/>
      <c r="S790" s="42"/>
      <c r="T790" s="42"/>
      <c r="U790" s="42"/>
      <c r="V790" s="42"/>
      <c r="W790" s="42"/>
      <c r="X790" s="42"/>
      <c r="Y790" s="42"/>
      <c r="Z790" s="42"/>
    </row>
    <row r="791">
      <c r="A791" s="133"/>
      <c r="B791" s="134"/>
      <c r="C791" s="63"/>
      <c r="D791" s="63"/>
      <c r="E791" s="135"/>
      <c r="F791" s="42"/>
      <c r="G791" s="42"/>
      <c r="H791" s="42"/>
      <c r="I791" s="42"/>
      <c r="J791" s="42"/>
      <c r="K791" s="42"/>
      <c r="L791" s="42"/>
      <c r="M791" s="42"/>
      <c r="N791" s="42"/>
      <c r="O791" s="42"/>
      <c r="P791" s="42"/>
      <c r="Q791" s="42"/>
      <c r="R791" s="42"/>
      <c r="S791" s="42"/>
      <c r="T791" s="42"/>
      <c r="U791" s="42"/>
      <c r="V791" s="42"/>
      <c r="W791" s="42"/>
      <c r="X791" s="42"/>
      <c r="Y791" s="42"/>
      <c r="Z791" s="42"/>
    </row>
    <row r="792">
      <c r="A792" s="133"/>
      <c r="B792" s="134"/>
      <c r="C792" s="63"/>
      <c r="D792" s="63"/>
      <c r="E792" s="135"/>
      <c r="F792" s="42"/>
      <c r="G792" s="42"/>
      <c r="H792" s="42"/>
      <c r="I792" s="42"/>
      <c r="J792" s="42"/>
      <c r="K792" s="42"/>
      <c r="L792" s="42"/>
      <c r="M792" s="42"/>
      <c r="N792" s="42"/>
      <c r="O792" s="42"/>
      <c r="P792" s="42"/>
      <c r="Q792" s="42"/>
      <c r="R792" s="42"/>
      <c r="S792" s="42"/>
      <c r="T792" s="42"/>
      <c r="U792" s="42"/>
      <c r="V792" s="42"/>
      <c r="W792" s="42"/>
      <c r="X792" s="42"/>
      <c r="Y792" s="42"/>
      <c r="Z792" s="42"/>
    </row>
    <row r="793">
      <c r="A793" s="133"/>
      <c r="B793" s="134"/>
      <c r="C793" s="63"/>
      <c r="D793" s="63"/>
      <c r="E793" s="135"/>
      <c r="F793" s="42"/>
      <c r="G793" s="42"/>
      <c r="H793" s="42"/>
      <c r="I793" s="42"/>
      <c r="J793" s="42"/>
      <c r="K793" s="42"/>
      <c r="L793" s="42"/>
      <c r="M793" s="42"/>
      <c r="N793" s="42"/>
      <c r="O793" s="42"/>
      <c r="P793" s="42"/>
      <c r="Q793" s="42"/>
      <c r="R793" s="42"/>
      <c r="S793" s="42"/>
      <c r="T793" s="42"/>
      <c r="U793" s="42"/>
      <c r="V793" s="42"/>
      <c r="W793" s="42"/>
      <c r="X793" s="42"/>
      <c r="Y793" s="42"/>
      <c r="Z793" s="42"/>
    </row>
    <row r="794">
      <c r="A794" s="133"/>
      <c r="B794" s="134"/>
      <c r="C794" s="63"/>
      <c r="D794" s="63"/>
      <c r="E794" s="135"/>
      <c r="F794" s="42"/>
      <c r="G794" s="42"/>
      <c r="H794" s="42"/>
      <c r="I794" s="42"/>
      <c r="J794" s="42"/>
      <c r="K794" s="42"/>
      <c r="L794" s="42"/>
      <c r="M794" s="42"/>
      <c r="N794" s="42"/>
      <c r="O794" s="42"/>
      <c r="P794" s="42"/>
      <c r="Q794" s="42"/>
      <c r="R794" s="42"/>
      <c r="S794" s="42"/>
      <c r="T794" s="42"/>
      <c r="U794" s="42"/>
      <c r="V794" s="42"/>
      <c r="W794" s="42"/>
      <c r="X794" s="42"/>
      <c r="Y794" s="42"/>
      <c r="Z794" s="42"/>
    </row>
    <row r="795">
      <c r="A795" s="133"/>
      <c r="B795" s="134"/>
      <c r="C795" s="63"/>
      <c r="D795" s="63"/>
      <c r="E795" s="135"/>
      <c r="F795" s="42"/>
      <c r="G795" s="42"/>
      <c r="H795" s="42"/>
      <c r="I795" s="42"/>
      <c r="J795" s="42"/>
      <c r="K795" s="42"/>
      <c r="L795" s="42"/>
      <c r="M795" s="42"/>
      <c r="N795" s="42"/>
      <c r="O795" s="42"/>
      <c r="P795" s="42"/>
      <c r="Q795" s="42"/>
      <c r="R795" s="42"/>
      <c r="S795" s="42"/>
      <c r="T795" s="42"/>
      <c r="U795" s="42"/>
      <c r="V795" s="42"/>
      <c r="W795" s="42"/>
      <c r="X795" s="42"/>
      <c r="Y795" s="42"/>
      <c r="Z795" s="42"/>
    </row>
    <row r="796">
      <c r="A796" s="133"/>
      <c r="B796" s="134"/>
      <c r="C796" s="63"/>
      <c r="D796" s="63"/>
      <c r="E796" s="135"/>
      <c r="F796" s="42"/>
      <c r="G796" s="42"/>
      <c r="H796" s="42"/>
      <c r="I796" s="42"/>
      <c r="J796" s="42"/>
      <c r="K796" s="42"/>
      <c r="L796" s="42"/>
      <c r="M796" s="42"/>
      <c r="N796" s="42"/>
      <c r="O796" s="42"/>
      <c r="P796" s="42"/>
      <c r="Q796" s="42"/>
      <c r="R796" s="42"/>
      <c r="S796" s="42"/>
      <c r="T796" s="42"/>
      <c r="U796" s="42"/>
      <c r="V796" s="42"/>
      <c r="W796" s="42"/>
      <c r="X796" s="42"/>
      <c r="Y796" s="42"/>
      <c r="Z796" s="42"/>
    </row>
    <row r="797">
      <c r="A797" s="133"/>
      <c r="B797" s="134"/>
      <c r="C797" s="63"/>
      <c r="D797" s="63"/>
      <c r="E797" s="135"/>
      <c r="F797" s="42"/>
      <c r="G797" s="42"/>
      <c r="H797" s="42"/>
      <c r="I797" s="42"/>
      <c r="J797" s="42"/>
      <c r="K797" s="42"/>
      <c r="L797" s="42"/>
      <c r="M797" s="42"/>
      <c r="N797" s="42"/>
      <c r="O797" s="42"/>
      <c r="P797" s="42"/>
      <c r="Q797" s="42"/>
      <c r="R797" s="42"/>
      <c r="S797" s="42"/>
      <c r="T797" s="42"/>
      <c r="U797" s="42"/>
      <c r="V797" s="42"/>
      <c r="W797" s="42"/>
      <c r="X797" s="42"/>
      <c r="Y797" s="42"/>
      <c r="Z797" s="42"/>
    </row>
    <row r="798">
      <c r="A798" s="133"/>
      <c r="B798" s="134"/>
      <c r="C798" s="63"/>
      <c r="D798" s="63"/>
      <c r="E798" s="135"/>
      <c r="F798" s="42"/>
      <c r="G798" s="42"/>
      <c r="H798" s="42"/>
      <c r="I798" s="42"/>
      <c r="J798" s="42"/>
      <c r="K798" s="42"/>
      <c r="L798" s="42"/>
      <c r="M798" s="42"/>
      <c r="N798" s="42"/>
      <c r="O798" s="42"/>
      <c r="P798" s="42"/>
      <c r="Q798" s="42"/>
      <c r="R798" s="42"/>
      <c r="S798" s="42"/>
      <c r="T798" s="42"/>
      <c r="U798" s="42"/>
      <c r="V798" s="42"/>
      <c r="W798" s="42"/>
      <c r="X798" s="42"/>
      <c r="Y798" s="42"/>
      <c r="Z798" s="42"/>
    </row>
    <row r="799">
      <c r="A799" s="133"/>
      <c r="B799" s="134"/>
      <c r="C799" s="63"/>
      <c r="D799" s="63"/>
      <c r="E799" s="135"/>
      <c r="F799" s="42"/>
      <c r="G799" s="42"/>
      <c r="H799" s="42"/>
      <c r="I799" s="42"/>
      <c r="J799" s="42"/>
      <c r="K799" s="42"/>
      <c r="L799" s="42"/>
      <c r="M799" s="42"/>
      <c r="N799" s="42"/>
      <c r="O799" s="42"/>
      <c r="P799" s="42"/>
      <c r="Q799" s="42"/>
      <c r="R799" s="42"/>
      <c r="S799" s="42"/>
      <c r="T799" s="42"/>
      <c r="U799" s="42"/>
      <c r="V799" s="42"/>
      <c r="W799" s="42"/>
      <c r="X799" s="42"/>
      <c r="Y799" s="42"/>
      <c r="Z799" s="42"/>
    </row>
    <row r="800">
      <c r="A800" s="133"/>
      <c r="B800" s="134"/>
      <c r="C800" s="63"/>
      <c r="D800" s="63"/>
      <c r="E800" s="135"/>
      <c r="F800" s="42"/>
      <c r="G800" s="42"/>
      <c r="H800" s="42"/>
      <c r="I800" s="42"/>
      <c r="J800" s="42"/>
      <c r="K800" s="42"/>
      <c r="L800" s="42"/>
      <c r="M800" s="42"/>
      <c r="N800" s="42"/>
      <c r="O800" s="42"/>
      <c r="P800" s="42"/>
      <c r="Q800" s="42"/>
      <c r="R800" s="42"/>
      <c r="S800" s="42"/>
      <c r="T800" s="42"/>
      <c r="U800" s="42"/>
      <c r="V800" s="42"/>
      <c r="W800" s="42"/>
      <c r="X800" s="42"/>
      <c r="Y800" s="42"/>
      <c r="Z800" s="42"/>
    </row>
    <row r="801">
      <c r="A801" s="133"/>
      <c r="B801" s="134"/>
      <c r="C801" s="63"/>
      <c r="D801" s="63"/>
      <c r="E801" s="135"/>
      <c r="F801" s="42"/>
      <c r="G801" s="42"/>
      <c r="H801" s="42"/>
      <c r="I801" s="42"/>
      <c r="J801" s="42"/>
      <c r="K801" s="42"/>
      <c r="L801" s="42"/>
      <c r="M801" s="42"/>
      <c r="N801" s="42"/>
      <c r="O801" s="42"/>
      <c r="P801" s="42"/>
      <c r="Q801" s="42"/>
      <c r="R801" s="42"/>
      <c r="S801" s="42"/>
      <c r="T801" s="42"/>
      <c r="U801" s="42"/>
      <c r="V801" s="42"/>
      <c r="W801" s="42"/>
      <c r="X801" s="42"/>
      <c r="Y801" s="42"/>
      <c r="Z801" s="42"/>
    </row>
    <row r="802">
      <c r="A802" s="133"/>
      <c r="B802" s="134"/>
      <c r="C802" s="63"/>
      <c r="D802" s="63"/>
      <c r="E802" s="135"/>
      <c r="F802" s="42"/>
      <c r="G802" s="42"/>
      <c r="H802" s="42"/>
      <c r="I802" s="42"/>
      <c r="J802" s="42"/>
      <c r="K802" s="42"/>
      <c r="L802" s="42"/>
      <c r="M802" s="42"/>
      <c r="N802" s="42"/>
      <c r="O802" s="42"/>
      <c r="P802" s="42"/>
      <c r="Q802" s="42"/>
      <c r="R802" s="42"/>
      <c r="S802" s="42"/>
      <c r="T802" s="42"/>
      <c r="U802" s="42"/>
      <c r="V802" s="42"/>
      <c r="W802" s="42"/>
      <c r="X802" s="42"/>
      <c r="Y802" s="42"/>
      <c r="Z802" s="42"/>
    </row>
    <row r="803">
      <c r="A803" s="133"/>
      <c r="B803" s="134"/>
      <c r="C803" s="63"/>
      <c r="D803" s="63"/>
      <c r="E803" s="135"/>
      <c r="F803" s="42"/>
      <c r="G803" s="42"/>
      <c r="H803" s="42"/>
      <c r="I803" s="42"/>
      <c r="J803" s="42"/>
      <c r="K803" s="42"/>
      <c r="L803" s="42"/>
      <c r="M803" s="42"/>
      <c r="N803" s="42"/>
      <c r="O803" s="42"/>
      <c r="P803" s="42"/>
      <c r="Q803" s="42"/>
      <c r="R803" s="42"/>
      <c r="S803" s="42"/>
      <c r="T803" s="42"/>
      <c r="U803" s="42"/>
      <c r="V803" s="42"/>
      <c r="W803" s="42"/>
      <c r="X803" s="42"/>
      <c r="Y803" s="42"/>
      <c r="Z803" s="42"/>
    </row>
    <row r="804">
      <c r="A804" s="133"/>
      <c r="B804" s="134"/>
      <c r="C804" s="63"/>
      <c r="D804" s="63"/>
      <c r="E804" s="135"/>
      <c r="F804" s="42"/>
      <c r="G804" s="42"/>
      <c r="H804" s="42"/>
      <c r="I804" s="42"/>
      <c r="J804" s="42"/>
      <c r="K804" s="42"/>
      <c r="L804" s="42"/>
      <c r="M804" s="42"/>
      <c r="N804" s="42"/>
      <c r="O804" s="42"/>
      <c r="P804" s="42"/>
      <c r="Q804" s="42"/>
      <c r="R804" s="42"/>
      <c r="S804" s="42"/>
      <c r="T804" s="42"/>
      <c r="U804" s="42"/>
      <c r="V804" s="42"/>
      <c r="W804" s="42"/>
      <c r="X804" s="42"/>
      <c r="Y804" s="42"/>
      <c r="Z804" s="42"/>
    </row>
    <row r="805">
      <c r="A805" s="133"/>
      <c r="B805" s="134"/>
      <c r="C805" s="63"/>
      <c r="D805" s="63"/>
      <c r="E805" s="135"/>
      <c r="F805" s="42"/>
      <c r="G805" s="42"/>
      <c r="H805" s="42"/>
      <c r="I805" s="42"/>
      <c r="J805" s="42"/>
      <c r="K805" s="42"/>
      <c r="L805" s="42"/>
      <c r="M805" s="42"/>
      <c r="N805" s="42"/>
      <c r="O805" s="42"/>
      <c r="P805" s="42"/>
      <c r="Q805" s="42"/>
      <c r="R805" s="42"/>
      <c r="S805" s="42"/>
      <c r="T805" s="42"/>
      <c r="U805" s="42"/>
      <c r="V805" s="42"/>
      <c r="W805" s="42"/>
      <c r="X805" s="42"/>
      <c r="Y805" s="42"/>
      <c r="Z805" s="42"/>
    </row>
    <row r="806">
      <c r="A806" s="133"/>
      <c r="B806" s="134"/>
      <c r="C806" s="63"/>
      <c r="D806" s="63"/>
      <c r="E806" s="135"/>
      <c r="F806" s="42"/>
      <c r="G806" s="42"/>
      <c r="H806" s="42"/>
      <c r="I806" s="42"/>
      <c r="J806" s="42"/>
      <c r="K806" s="42"/>
      <c r="L806" s="42"/>
      <c r="M806" s="42"/>
      <c r="N806" s="42"/>
      <c r="O806" s="42"/>
      <c r="P806" s="42"/>
      <c r="Q806" s="42"/>
      <c r="R806" s="42"/>
      <c r="S806" s="42"/>
      <c r="T806" s="42"/>
      <c r="U806" s="42"/>
      <c r="V806" s="42"/>
      <c r="W806" s="42"/>
      <c r="X806" s="42"/>
      <c r="Y806" s="42"/>
      <c r="Z806" s="42"/>
    </row>
    <row r="807">
      <c r="A807" s="133"/>
      <c r="B807" s="134"/>
      <c r="C807" s="63"/>
      <c r="D807" s="63"/>
      <c r="E807" s="135"/>
      <c r="F807" s="42"/>
      <c r="G807" s="42"/>
      <c r="H807" s="42"/>
      <c r="I807" s="42"/>
      <c r="J807" s="42"/>
      <c r="K807" s="42"/>
      <c r="L807" s="42"/>
      <c r="M807" s="42"/>
      <c r="N807" s="42"/>
      <c r="O807" s="42"/>
      <c r="P807" s="42"/>
      <c r="Q807" s="42"/>
      <c r="R807" s="42"/>
      <c r="S807" s="42"/>
      <c r="T807" s="42"/>
      <c r="U807" s="42"/>
      <c r="V807" s="42"/>
      <c r="W807" s="42"/>
      <c r="X807" s="42"/>
      <c r="Y807" s="42"/>
      <c r="Z807" s="42"/>
    </row>
    <row r="808">
      <c r="A808" s="133"/>
      <c r="B808" s="134"/>
      <c r="C808" s="63"/>
      <c r="D808" s="63"/>
      <c r="E808" s="135"/>
      <c r="F808" s="42"/>
      <c r="G808" s="42"/>
      <c r="H808" s="42"/>
      <c r="I808" s="42"/>
      <c r="J808" s="42"/>
      <c r="K808" s="42"/>
      <c r="L808" s="42"/>
      <c r="M808" s="42"/>
      <c r="N808" s="42"/>
      <c r="O808" s="42"/>
      <c r="P808" s="42"/>
      <c r="Q808" s="42"/>
      <c r="R808" s="42"/>
      <c r="S808" s="42"/>
      <c r="T808" s="42"/>
      <c r="U808" s="42"/>
      <c r="V808" s="42"/>
      <c r="W808" s="42"/>
      <c r="X808" s="42"/>
      <c r="Y808" s="42"/>
      <c r="Z808" s="42"/>
    </row>
    <row r="809">
      <c r="A809" s="133"/>
      <c r="B809" s="134"/>
      <c r="C809" s="63"/>
      <c r="D809" s="63"/>
      <c r="E809" s="135"/>
      <c r="F809" s="42"/>
      <c r="G809" s="42"/>
      <c r="H809" s="42"/>
      <c r="I809" s="42"/>
      <c r="J809" s="42"/>
      <c r="K809" s="42"/>
      <c r="L809" s="42"/>
      <c r="M809" s="42"/>
      <c r="N809" s="42"/>
      <c r="O809" s="42"/>
      <c r="P809" s="42"/>
      <c r="Q809" s="42"/>
      <c r="R809" s="42"/>
      <c r="S809" s="42"/>
      <c r="T809" s="42"/>
      <c r="U809" s="42"/>
      <c r="V809" s="42"/>
      <c r="W809" s="42"/>
      <c r="X809" s="42"/>
      <c r="Y809" s="42"/>
      <c r="Z809" s="42"/>
    </row>
    <row r="810">
      <c r="A810" s="133"/>
      <c r="B810" s="134"/>
      <c r="C810" s="63"/>
      <c r="D810" s="63"/>
      <c r="E810" s="135"/>
      <c r="F810" s="42"/>
      <c r="G810" s="42"/>
      <c r="H810" s="42"/>
      <c r="I810" s="42"/>
      <c r="J810" s="42"/>
      <c r="K810" s="42"/>
      <c r="L810" s="42"/>
      <c r="M810" s="42"/>
      <c r="N810" s="42"/>
      <c r="O810" s="42"/>
      <c r="P810" s="42"/>
      <c r="Q810" s="42"/>
      <c r="R810" s="42"/>
      <c r="S810" s="42"/>
      <c r="T810" s="42"/>
      <c r="U810" s="42"/>
      <c r="V810" s="42"/>
      <c r="W810" s="42"/>
      <c r="X810" s="42"/>
      <c r="Y810" s="42"/>
      <c r="Z810" s="42"/>
    </row>
    <row r="811">
      <c r="A811" s="133"/>
      <c r="B811" s="134"/>
      <c r="C811" s="63"/>
      <c r="D811" s="63"/>
      <c r="E811" s="135"/>
      <c r="F811" s="42"/>
      <c r="G811" s="42"/>
      <c r="H811" s="42"/>
      <c r="I811" s="42"/>
      <c r="J811" s="42"/>
      <c r="K811" s="42"/>
      <c r="L811" s="42"/>
      <c r="M811" s="42"/>
      <c r="N811" s="42"/>
      <c r="O811" s="42"/>
      <c r="P811" s="42"/>
      <c r="Q811" s="42"/>
      <c r="R811" s="42"/>
      <c r="S811" s="42"/>
      <c r="T811" s="42"/>
      <c r="U811" s="42"/>
      <c r="V811" s="42"/>
      <c r="W811" s="42"/>
      <c r="X811" s="42"/>
      <c r="Y811" s="42"/>
      <c r="Z811" s="42"/>
    </row>
    <row r="812">
      <c r="A812" s="133"/>
      <c r="B812" s="134"/>
      <c r="C812" s="63"/>
      <c r="D812" s="63"/>
      <c r="E812" s="135"/>
      <c r="F812" s="42"/>
      <c r="G812" s="42"/>
      <c r="H812" s="42"/>
      <c r="I812" s="42"/>
      <c r="J812" s="42"/>
      <c r="K812" s="42"/>
      <c r="L812" s="42"/>
      <c r="M812" s="42"/>
      <c r="N812" s="42"/>
      <c r="O812" s="42"/>
      <c r="P812" s="42"/>
      <c r="Q812" s="42"/>
      <c r="R812" s="42"/>
      <c r="S812" s="42"/>
      <c r="T812" s="42"/>
      <c r="U812" s="42"/>
      <c r="V812" s="42"/>
      <c r="W812" s="42"/>
      <c r="X812" s="42"/>
      <c r="Y812" s="42"/>
      <c r="Z812" s="42"/>
    </row>
    <row r="813">
      <c r="A813" s="133"/>
      <c r="B813" s="134"/>
      <c r="C813" s="63"/>
      <c r="D813" s="63"/>
      <c r="E813" s="135"/>
      <c r="F813" s="42"/>
      <c r="G813" s="42"/>
      <c r="H813" s="42"/>
      <c r="I813" s="42"/>
      <c r="J813" s="42"/>
      <c r="K813" s="42"/>
      <c r="L813" s="42"/>
      <c r="M813" s="42"/>
      <c r="N813" s="42"/>
      <c r="O813" s="42"/>
      <c r="P813" s="42"/>
      <c r="Q813" s="42"/>
      <c r="R813" s="42"/>
      <c r="S813" s="42"/>
      <c r="T813" s="42"/>
      <c r="U813" s="42"/>
      <c r="V813" s="42"/>
      <c r="W813" s="42"/>
      <c r="X813" s="42"/>
      <c r="Y813" s="42"/>
      <c r="Z813" s="42"/>
    </row>
    <row r="814">
      <c r="A814" s="133"/>
      <c r="B814" s="134"/>
      <c r="C814" s="63"/>
      <c r="D814" s="63"/>
      <c r="E814" s="135"/>
      <c r="F814" s="42"/>
      <c r="G814" s="42"/>
      <c r="H814" s="42"/>
      <c r="I814" s="42"/>
      <c r="J814" s="42"/>
      <c r="K814" s="42"/>
      <c r="L814" s="42"/>
      <c r="M814" s="42"/>
      <c r="N814" s="42"/>
      <c r="O814" s="42"/>
      <c r="P814" s="42"/>
      <c r="Q814" s="42"/>
      <c r="R814" s="42"/>
      <c r="S814" s="42"/>
      <c r="T814" s="42"/>
      <c r="U814" s="42"/>
      <c r="V814" s="42"/>
      <c r="W814" s="42"/>
      <c r="X814" s="42"/>
      <c r="Y814" s="42"/>
      <c r="Z814" s="42"/>
    </row>
    <row r="815">
      <c r="A815" s="133"/>
      <c r="B815" s="134"/>
      <c r="C815" s="63"/>
      <c r="D815" s="63"/>
      <c r="E815" s="135"/>
      <c r="F815" s="42"/>
      <c r="G815" s="42"/>
      <c r="H815" s="42"/>
      <c r="I815" s="42"/>
      <c r="J815" s="42"/>
      <c r="K815" s="42"/>
      <c r="L815" s="42"/>
      <c r="M815" s="42"/>
      <c r="N815" s="42"/>
      <c r="O815" s="42"/>
      <c r="P815" s="42"/>
      <c r="Q815" s="42"/>
      <c r="R815" s="42"/>
      <c r="S815" s="42"/>
      <c r="T815" s="42"/>
      <c r="U815" s="42"/>
      <c r="V815" s="42"/>
      <c r="W815" s="42"/>
      <c r="X815" s="42"/>
      <c r="Y815" s="42"/>
      <c r="Z815" s="42"/>
    </row>
    <row r="816">
      <c r="A816" s="133"/>
      <c r="B816" s="134"/>
      <c r="C816" s="63"/>
      <c r="D816" s="63"/>
      <c r="E816" s="135"/>
      <c r="F816" s="42"/>
      <c r="G816" s="42"/>
      <c r="H816" s="42"/>
      <c r="I816" s="42"/>
      <c r="J816" s="42"/>
      <c r="K816" s="42"/>
      <c r="L816" s="42"/>
      <c r="M816" s="42"/>
      <c r="N816" s="42"/>
      <c r="O816" s="42"/>
      <c r="P816" s="42"/>
      <c r="Q816" s="42"/>
      <c r="R816" s="42"/>
      <c r="S816" s="42"/>
      <c r="T816" s="42"/>
      <c r="U816" s="42"/>
      <c r="V816" s="42"/>
      <c r="W816" s="42"/>
      <c r="X816" s="42"/>
      <c r="Y816" s="42"/>
      <c r="Z816" s="42"/>
    </row>
    <row r="817">
      <c r="A817" s="133"/>
      <c r="B817" s="134"/>
      <c r="C817" s="63"/>
      <c r="D817" s="63"/>
      <c r="E817" s="135"/>
      <c r="F817" s="42"/>
      <c r="G817" s="42"/>
      <c r="H817" s="42"/>
      <c r="I817" s="42"/>
      <c r="J817" s="42"/>
      <c r="K817" s="42"/>
      <c r="L817" s="42"/>
      <c r="M817" s="42"/>
      <c r="N817" s="42"/>
      <c r="O817" s="42"/>
      <c r="P817" s="42"/>
      <c r="Q817" s="42"/>
      <c r="R817" s="42"/>
      <c r="S817" s="42"/>
      <c r="T817" s="42"/>
      <c r="U817" s="42"/>
      <c r="V817" s="42"/>
      <c r="W817" s="42"/>
      <c r="X817" s="42"/>
      <c r="Y817" s="42"/>
      <c r="Z817" s="42"/>
    </row>
    <row r="818">
      <c r="A818" s="133"/>
      <c r="B818" s="134"/>
      <c r="C818" s="63"/>
      <c r="D818" s="63"/>
      <c r="E818" s="135"/>
      <c r="F818" s="42"/>
      <c r="G818" s="42"/>
      <c r="H818" s="42"/>
      <c r="I818" s="42"/>
      <c r="J818" s="42"/>
      <c r="K818" s="42"/>
      <c r="L818" s="42"/>
      <c r="M818" s="42"/>
      <c r="N818" s="42"/>
      <c r="O818" s="42"/>
      <c r="P818" s="42"/>
      <c r="Q818" s="42"/>
      <c r="R818" s="42"/>
      <c r="S818" s="42"/>
      <c r="T818" s="42"/>
      <c r="U818" s="42"/>
      <c r="V818" s="42"/>
      <c r="W818" s="42"/>
      <c r="X818" s="42"/>
      <c r="Y818" s="42"/>
      <c r="Z818" s="42"/>
    </row>
    <row r="819">
      <c r="A819" s="133"/>
      <c r="B819" s="134"/>
      <c r="C819" s="63"/>
      <c r="D819" s="63"/>
      <c r="E819" s="135"/>
      <c r="F819" s="42"/>
      <c r="G819" s="42"/>
      <c r="H819" s="42"/>
      <c r="I819" s="42"/>
      <c r="J819" s="42"/>
      <c r="K819" s="42"/>
      <c r="L819" s="42"/>
      <c r="M819" s="42"/>
      <c r="N819" s="42"/>
      <c r="O819" s="42"/>
      <c r="P819" s="42"/>
      <c r="Q819" s="42"/>
      <c r="R819" s="42"/>
      <c r="S819" s="42"/>
      <c r="T819" s="42"/>
      <c r="U819" s="42"/>
      <c r="V819" s="42"/>
      <c r="W819" s="42"/>
      <c r="X819" s="42"/>
      <c r="Y819" s="42"/>
      <c r="Z819" s="42"/>
    </row>
    <row r="820">
      <c r="A820" s="133"/>
      <c r="B820" s="134"/>
      <c r="C820" s="63"/>
      <c r="D820" s="63"/>
      <c r="E820" s="135"/>
      <c r="F820" s="42"/>
      <c r="G820" s="42"/>
      <c r="H820" s="42"/>
      <c r="I820" s="42"/>
      <c r="J820" s="42"/>
      <c r="K820" s="42"/>
      <c r="L820" s="42"/>
      <c r="M820" s="42"/>
      <c r="N820" s="42"/>
      <c r="O820" s="42"/>
      <c r="P820" s="42"/>
      <c r="Q820" s="42"/>
      <c r="R820" s="42"/>
      <c r="S820" s="42"/>
      <c r="T820" s="42"/>
      <c r="U820" s="42"/>
      <c r="V820" s="42"/>
      <c r="W820" s="42"/>
      <c r="X820" s="42"/>
      <c r="Y820" s="42"/>
      <c r="Z820" s="42"/>
    </row>
    <row r="821">
      <c r="A821" s="133"/>
      <c r="B821" s="134"/>
      <c r="C821" s="63"/>
      <c r="D821" s="63"/>
      <c r="E821" s="135"/>
      <c r="F821" s="42"/>
      <c r="G821" s="42"/>
      <c r="H821" s="42"/>
      <c r="I821" s="42"/>
      <c r="J821" s="42"/>
      <c r="K821" s="42"/>
      <c r="L821" s="42"/>
      <c r="M821" s="42"/>
      <c r="N821" s="42"/>
      <c r="O821" s="42"/>
      <c r="P821" s="42"/>
      <c r="Q821" s="42"/>
      <c r="R821" s="42"/>
      <c r="S821" s="42"/>
      <c r="T821" s="42"/>
      <c r="U821" s="42"/>
      <c r="V821" s="42"/>
      <c r="W821" s="42"/>
      <c r="X821" s="42"/>
      <c r="Y821" s="42"/>
      <c r="Z821" s="42"/>
    </row>
    <row r="822">
      <c r="A822" s="133"/>
      <c r="B822" s="134"/>
      <c r="C822" s="63"/>
      <c r="D822" s="63"/>
      <c r="E822" s="135"/>
      <c r="F822" s="42"/>
      <c r="G822" s="42"/>
      <c r="H822" s="42"/>
      <c r="I822" s="42"/>
      <c r="J822" s="42"/>
      <c r="K822" s="42"/>
      <c r="L822" s="42"/>
      <c r="M822" s="42"/>
      <c r="N822" s="42"/>
      <c r="O822" s="42"/>
      <c r="P822" s="42"/>
      <c r="Q822" s="42"/>
      <c r="R822" s="42"/>
      <c r="S822" s="42"/>
      <c r="T822" s="42"/>
      <c r="U822" s="42"/>
      <c r="V822" s="42"/>
      <c r="W822" s="42"/>
      <c r="X822" s="42"/>
      <c r="Y822" s="42"/>
      <c r="Z822" s="42"/>
    </row>
    <row r="823">
      <c r="A823" s="133"/>
      <c r="B823" s="134"/>
      <c r="C823" s="63"/>
      <c r="D823" s="63"/>
      <c r="E823" s="135"/>
      <c r="F823" s="42"/>
      <c r="G823" s="42"/>
      <c r="H823" s="42"/>
      <c r="I823" s="42"/>
      <c r="J823" s="42"/>
      <c r="K823" s="42"/>
      <c r="L823" s="42"/>
      <c r="M823" s="42"/>
      <c r="N823" s="42"/>
      <c r="O823" s="42"/>
      <c r="P823" s="42"/>
      <c r="Q823" s="42"/>
      <c r="R823" s="42"/>
      <c r="S823" s="42"/>
      <c r="T823" s="42"/>
      <c r="U823" s="42"/>
      <c r="V823" s="42"/>
      <c r="W823" s="42"/>
      <c r="X823" s="42"/>
      <c r="Y823" s="42"/>
      <c r="Z823" s="42"/>
    </row>
    <row r="824">
      <c r="A824" s="133"/>
      <c r="B824" s="134"/>
      <c r="C824" s="63"/>
      <c r="D824" s="63"/>
      <c r="E824" s="135"/>
      <c r="F824" s="42"/>
      <c r="G824" s="42"/>
      <c r="H824" s="42"/>
      <c r="I824" s="42"/>
      <c r="J824" s="42"/>
      <c r="K824" s="42"/>
      <c r="L824" s="42"/>
      <c r="M824" s="42"/>
      <c r="N824" s="42"/>
      <c r="O824" s="42"/>
      <c r="P824" s="42"/>
      <c r="Q824" s="42"/>
      <c r="R824" s="42"/>
      <c r="S824" s="42"/>
      <c r="T824" s="42"/>
      <c r="U824" s="42"/>
      <c r="V824" s="42"/>
      <c r="W824" s="42"/>
      <c r="X824" s="42"/>
      <c r="Y824" s="42"/>
      <c r="Z824" s="42"/>
    </row>
    <row r="825">
      <c r="A825" s="133"/>
      <c r="B825" s="134"/>
      <c r="C825" s="63"/>
      <c r="D825" s="63"/>
      <c r="E825" s="135"/>
      <c r="F825" s="42"/>
      <c r="G825" s="42"/>
      <c r="H825" s="42"/>
      <c r="I825" s="42"/>
      <c r="J825" s="42"/>
      <c r="K825" s="42"/>
      <c r="L825" s="42"/>
      <c r="M825" s="42"/>
      <c r="N825" s="42"/>
      <c r="O825" s="42"/>
      <c r="P825" s="42"/>
      <c r="Q825" s="42"/>
      <c r="R825" s="42"/>
      <c r="S825" s="42"/>
      <c r="T825" s="42"/>
      <c r="U825" s="42"/>
      <c r="V825" s="42"/>
      <c r="W825" s="42"/>
      <c r="X825" s="42"/>
      <c r="Y825" s="42"/>
      <c r="Z825" s="42"/>
    </row>
    <row r="826">
      <c r="A826" s="133"/>
      <c r="B826" s="134"/>
      <c r="C826" s="63"/>
      <c r="D826" s="63"/>
      <c r="E826" s="135"/>
      <c r="F826" s="42"/>
      <c r="G826" s="42"/>
      <c r="H826" s="42"/>
      <c r="I826" s="42"/>
      <c r="J826" s="42"/>
      <c r="K826" s="42"/>
      <c r="L826" s="42"/>
      <c r="M826" s="42"/>
      <c r="N826" s="42"/>
      <c r="O826" s="42"/>
      <c r="P826" s="42"/>
      <c r="Q826" s="42"/>
      <c r="R826" s="42"/>
      <c r="S826" s="42"/>
      <c r="T826" s="42"/>
      <c r="U826" s="42"/>
      <c r="V826" s="42"/>
      <c r="W826" s="42"/>
      <c r="X826" s="42"/>
      <c r="Y826" s="42"/>
      <c r="Z826" s="42"/>
    </row>
    <row r="827">
      <c r="A827" s="133"/>
      <c r="B827" s="134"/>
      <c r="C827" s="63"/>
      <c r="D827" s="63"/>
      <c r="E827" s="135"/>
      <c r="F827" s="42"/>
      <c r="G827" s="42"/>
      <c r="H827" s="42"/>
      <c r="I827" s="42"/>
      <c r="J827" s="42"/>
      <c r="K827" s="42"/>
      <c r="L827" s="42"/>
      <c r="M827" s="42"/>
      <c r="N827" s="42"/>
      <c r="O827" s="42"/>
      <c r="P827" s="42"/>
      <c r="Q827" s="42"/>
      <c r="R827" s="42"/>
      <c r="S827" s="42"/>
      <c r="T827" s="42"/>
      <c r="U827" s="42"/>
      <c r="V827" s="42"/>
      <c r="W827" s="42"/>
      <c r="X827" s="42"/>
      <c r="Y827" s="42"/>
      <c r="Z827" s="42"/>
    </row>
    <row r="828">
      <c r="A828" s="133"/>
      <c r="B828" s="134"/>
      <c r="C828" s="63"/>
      <c r="D828" s="63"/>
      <c r="E828" s="135"/>
      <c r="F828" s="42"/>
      <c r="G828" s="42"/>
      <c r="H828" s="42"/>
      <c r="I828" s="42"/>
      <c r="J828" s="42"/>
      <c r="K828" s="42"/>
      <c r="L828" s="42"/>
      <c r="M828" s="42"/>
      <c r="N828" s="42"/>
      <c r="O828" s="42"/>
      <c r="P828" s="42"/>
      <c r="Q828" s="42"/>
      <c r="R828" s="42"/>
      <c r="S828" s="42"/>
      <c r="T828" s="42"/>
      <c r="U828" s="42"/>
      <c r="V828" s="42"/>
      <c r="W828" s="42"/>
      <c r="X828" s="42"/>
      <c r="Y828" s="42"/>
      <c r="Z828" s="42"/>
    </row>
    <row r="829">
      <c r="A829" s="133"/>
      <c r="B829" s="134"/>
      <c r="C829" s="63"/>
      <c r="D829" s="63"/>
      <c r="E829" s="135"/>
      <c r="F829" s="42"/>
      <c r="G829" s="42"/>
      <c r="H829" s="42"/>
      <c r="I829" s="42"/>
      <c r="J829" s="42"/>
      <c r="K829" s="42"/>
      <c r="L829" s="42"/>
      <c r="M829" s="42"/>
      <c r="N829" s="42"/>
      <c r="O829" s="42"/>
      <c r="P829" s="42"/>
      <c r="Q829" s="42"/>
      <c r="R829" s="42"/>
      <c r="S829" s="42"/>
      <c r="T829" s="42"/>
      <c r="U829" s="42"/>
      <c r="V829" s="42"/>
      <c r="W829" s="42"/>
      <c r="X829" s="42"/>
      <c r="Y829" s="42"/>
      <c r="Z829" s="42"/>
    </row>
    <row r="830">
      <c r="A830" s="133"/>
      <c r="B830" s="134"/>
      <c r="C830" s="63"/>
      <c r="D830" s="63"/>
      <c r="E830" s="135"/>
      <c r="F830" s="42"/>
      <c r="G830" s="42"/>
      <c r="H830" s="42"/>
      <c r="I830" s="42"/>
      <c r="J830" s="42"/>
      <c r="K830" s="42"/>
      <c r="L830" s="42"/>
      <c r="M830" s="42"/>
      <c r="N830" s="42"/>
      <c r="O830" s="42"/>
      <c r="P830" s="42"/>
      <c r="Q830" s="42"/>
      <c r="R830" s="42"/>
      <c r="S830" s="42"/>
      <c r="T830" s="42"/>
      <c r="U830" s="42"/>
      <c r="V830" s="42"/>
      <c r="W830" s="42"/>
      <c r="X830" s="42"/>
      <c r="Y830" s="42"/>
      <c r="Z830" s="42"/>
    </row>
    <row r="831">
      <c r="A831" s="133"/>
      <c r="B831" s="134"/>
      <c r="C831" s="63"/>
      <c r="D831" s="63"/>
      <c r="E831" s="135"/>
      <c r="F831" s="42"/>
      <c r="G831" s="42"/>
      <c r="H831" s="42"/>
      <c r="I831" s="42"/>
      <c r="J831" s="42"/>
      <c r="K831" s="42"/>
      <c r="L831" s="42"/>
      <c r="M831" s="42"/>
      <c r="N831" s="42"/>
      <c r="O831" s="42"/>
      <c r="P831" s="42"/>
      <c r="Q831" s="42"/>
      <c r="R831" s="42"/>
      <c r="S831" s="42"/>
      <c r="T831" s="42"/>
      <c r="U831" s="42"/>
      <c r="V831" s="42"/>
      <c r="W831" s="42"/>
      <c r="X831" s="42"/>
      <c r="Y831" s="42"/>
      <c r="Z831" s="42"/>
    </row>
    <row r="832">
      <c r="A832" s="133"/>
      <c r="B832" s="134"/>
      <c r="C832" s="63"/>
      <c r="D832" s="63"/>
      <c r="E832" s="135"/>
      <c r="F832" s="42"/>
      <c r="G832" s="42"/>
      <c r="H832" s="42"/>
      <c r="I832" s="42"/>
      <c r="J832" s="42"/>
      <c r="K832" s="42"/>
      <c r="L832" s="42"/>
      <c r="M832" s="42"/>
      <c r="N832" s="42"/>
      <c r="O832" s="42"/>
      <c r="P832" s="42"/>
      <c r="Q832" s="42"/>
      <c r="R832" s="42"/>
      <c r="S832" s="42"/>
      <c r="T832" s="42"/>
      <c r="U832" s="42"/>
      <c r="V832" s="42"/>
      <c r="W832" s="42"/>
      <c r="X832" s="42"/>
      <c r="Y832" s="42"/>
      <c r="Z832" s="42"/>
    </row>
    <row r="833">
      <c r="A833" s="133"/>
      <c r="B833" s="134"/>
      <c r="C833" s="63"/>
      <c r="D833" s="63"/>
      <c r="E833" s="135"/>
      <c r="F833" s="42"/>
      <c r="G833" s="42"/>
      <c r="H833" s="42"/>
      <c r="I833" s="42"/>
      <c r="J833" s="42"/>
      <c r="K833" s="42"/>
      <c r="L833" s="42"/>
      <c r="M833" s="42"/>
      <c r="N833" s="42"/>
      <c r="O833" s="42"/>
      <c r="P833" s="42"/>
      <c r="Q833" s="42"/>
      <c r="R833" s="42"/>
      <c r="S833" s="42"/>
      <c r="T833" s="42"/>
      <c r="U833" s="42"/>
      <c r="V833" s="42"/>
      <c r="W833" s="42"/>
      <c r="X833" s="42"/>
      <c r="Y833" s="42"/>
      <c r="Z833" s="42"/>
    </row>
    <row r="834">
      <c r="A834" s="133"/>
      <c r="B834" s="134"/>
      <c r="C834" s="63"/>
      <c r="D834" s="63"/>
      <c r="E834" s="135"/>
      <c r="F834" s="42"/>
      <c r="G834" s="42"/>
      <c r="H834" s="42"/>
      <c r="I834" s="42"/>
      <c r="J834" s="42"/>
      <c r="K834" s="42"/>
      <c r="L834" s="42"/>
      <c r="M834" s="42"/>
      <c r="N834" s="42"/>
      <c r="O834" s="42"/>
      <c r="P834" s="42"/>
      <c r="Q834" s="42"/>
      <c r="R834" s="42"/>
      <c r="S834" s="42"/>
      <c r="T834" s="42"/>
      <c r="U834" s="42"/>
      <c r="V834" s="42"/>
      <c r="W834" s="42"/>
      <c r="X834" s="42"/>
      <c r="Y834" s="42"/>
      <c r="Z834" s="42"/>
    </row>
    <row r="835">
      <c r="A835" s="133"/>
      <c r="B835" s="134"/>
      <c r="C835" s="63"/>
      <c r="D835" s="63"/>
      <c r="E835" s="135"/>
      <c r="F835" s="42"/>
      <c r="G835" s="42"/>
      <c r="H835" s="42"/>
      <c r="I835" s="42"/>
      <c r="J835" s="42"/>
      <c r="K835" s="42"/>
      <c r="L835" s="42"/>
      <c r="M835" s="42"/>
      <c r="N835" s="42"/>
      <c r="O835" s="42"/>
      <c r="P835" s="42"/>
      <c r="Q835" s="42"/>
      <c r="R835" s="42"/>
      <c r="S835" s="42"/>
      <c r="T835" s="42"/>
      <c r="U835" s="42"/>
      <c r="V835" s="42"/>
      <c r="W835" s="42"/>
      <c r="X835" s="42"/>
      <c r="Y835" s="42"/>
      <c r="Z835" s="42"/>
    </row>
    <row r="836">
      <c r="A836" s="133"/>
      <c r="B836" s="134"/>
      <c r="C836" s="63"/>
      <c r="D836" s="63"/>
      <c r="E836" s="135"/>
      <c r="F836" s="42"/>
      <c r="G836" s="42"/>
      <c r="H836" s="42"/>
      <c r="I836" s="42"/>
      <c r="J836" s="42"/>
      <c r="K836" s="42"/>
      <c r="L836" s="42"/>
      <c r="M836" s="42"/>
      <c r="N836" s="42"/>
      <c r="O836" s="42"/>
      <c r="P836" s="42"/>
      <c r="Q836" s="42"/>
      <c r="R836" s="42"/>
      <c r="S836" s="42"/>
      <c r="T836" s="42"/>
      <c r="U836" s="42"/>
      <c r="V836" s="42"/>
      <c r="W836" s="42"/>
      <c r="X836" s="42"/>
      <c r="Y836" s="42"/>
      <c r="Z836" s="42"/>
    </row>
    <row r="837">
      <c r="A837" s="133"/>
      <c r="B837" s="134"/>
      <c r="C837" s="63"/>
      <c r="D837" s="63"/>
      <c r="E837" s="135"/>
      <c r="F837" s="42"/>
      <c r="G837" s="42"/>
      <c r="H837" s="42"/>
      <c r="I837" s="42"/>
      <c r="J837" s="42"/>
      <c r="K837" s="42"/>
      <c r="L837" s="42"/>
      <c r="M837" s="42"/>
      <c r="N837" s="42"/>
      <c r="O837" s="42"/>
      <c r="P837" s="42"/>
      <c r="Q837" s="42"/>
      <c r="R837" s="42"/>
      <c r="S837" s="42"/>
      <c r="T837" s="42"/>
      <c r="U837" s="42"/>
      <c r="V837" s="42"/>
      <c r="W837" s="42"/>
      <c r="X837" s="42"/>
      <c r="Y837" s="42"/>
      <c r="Z837" s="42"/>
    </row>
    <row r="838">
      <c r="A838" s="133"/>
      <c r="B838" s="134"/>
      <c r="C838" s="63"/>
      <c r="D838" s="63"/>
      <c r="E838" s="135"/>
      <c r="F838" s="42"/>
      <c r="G838" s="42"/>
      <c r="H838" s="42"/>
      <c r="I838" s="42"/>
      <c r="J838" s="42"/>
      <c r="K838" s="42"/>
      <c r="L838" s="42"/>
      <c r="M838" s="42"/>
      <c r="N838" s="42"/>
      <c r="O838" s="42"/>
      <c r="P838" s="42"/>
      <c r="Q838" s="42"/>
      <c r="R838" s="42"/>
      <c r="S838" s="42"/>
      <c r="T838" s="42"/>
      <c r="U838" s="42"/>
      <c r="V838" s="42"/>
      <c r="W838" s="42"/>
      <c r="X838" s="42"/>
      <c r="Y838" s="42"/>
      <c r="Z838" s="42"/>
    </row>
    <row r="839">
      <c r="A839" s="133"/>
      <c r="B839" s="134"/>
      <c r="C839" s="63"/>
      <c r="D839" s="63"/>
      <c r="E839" s="135"/>
      <c r="F839" s="42"/>
      <c r="G839" s="42"/>
      <c r="H839" s="42"/>
      <c r="I839" s="42"/>
      <c r="J839" s="42"/>
      <c r="K839" s="42"/>
      <c r="L839" s="42"/>
      <c r="M839" s="42"/>
      <c r="N839" s="42"/>
      <c r="O839" s="42"/>
      <c r="P839" s="42"/>
      <c r="Q839" s="42"/>
      <c r="R839" s="42"/>
      <c r="S839" s="42"/>
      <c r="T839" s="42"/>
      <c r="U839" s="42"/>
      <c r="V839" s="42"/>
      <c r="W839" s="42"/>
      <c r="X839" s="42"/>
      <c r="Y839" s="42"/>
      <c r="Z839" s="42"/>
    </row>
    <row r="840">
      <c r="A840" s="133"/>
      <c r="B840" s="134"/>
      <c r="C840" s="63"/>
      <c r="D840" s="63"/>
      <c r="E840" s="135"/>
      <c r="F840" s="42"/>
      <c r="G840" s="42"/>
      <c r="H840" s="42"/>
      <c r="I840" s="42"/>
      <c r="J840" s="42"/>
      <c r="K840" s="42"/>
      <c r="L840" s="42"/>
      <c r="M840" s="42"/>
      <c r="N840" s="42"/>
      <c r="O840" s="42"/>
      <c r="P840" s="42"/>
      <c r="Q840" s="42"/>
      <c r="R840" s="42"/>
      <c r="S840" s="42"/>
      <c r="T840" s="42"/>
      <c r="U840" s="42"/>
      <c r="V840" s="42"/>
      <c r="W840" s="42"/>
      <c r="X840" s="42"/>
      <c r="Y840" s="42"/>
      <c r="Z840" s="42"/>
    </row>
    <row r="841">
      <c r="A841" s="133"/>
      <c r="B841" s="134"/>
      <c r="C841" s="63"/>
      <c r="D841" s="63"/>
      <c r="E841" s="135"/>
      <c r="F841" s="42"/>
      <c r="G841" s="42"/>
      <c r="H841" s="42"/>
      <c r="I841" s="42"/>
      <c r="J841" s="42"/>
      <c r="K841" s="42"/>
      <c r="L841" s="42"/>
      <c r="M841" s="42"/>
      <c r="N841" s="42"/>
      <c r="O841" s="42"/>
      <c r="P841" s="42"/>
      <c r="Q841" s="42"/>
      <c r="R841" s="42"/>
      <c r="S841" s="42"/>
      <c r="T841" s="42"/>
      <c r="U841" s="42"/>
      <c r="V841" s="42"/>
      <c r="W841" s="42"/>
      <c r="X841" s="42"/>
      <c r="Y841" s="42"/>
      <c r="Z841" s="42"/>
    </row>
    <row r="842">
      <c r="A842" s="133"/>
      <c r="B842" s="134"/>
      <c r="C842" s="63"/>
      <c r="D842" s="63"/>
      <c r="E842" s="135"/>
      <c r="F842" s="42"/>
      <c r="G842" s="42"/>
      <c r="H842" s="42"/>
      <c r="I842" s="42"/>
      <c r="J842" s="42"/>
      <c r="K842" s="42"/>
      <c r="L842" s="42"/>
      <c r="M842" s="42"/>
      <c r="N842" s="42"/>
      <c r="O842" s="42"/>
      <c r="P842" s="42"/>
      <c r="Q842" s="42"/>
      <c r="R842" s="42"/>
      <c r="S842" s="42"/>
      <c r="T842" s="42"/>
      <c r="U842" s="42"/>
      <c r="V842" s="42"/>
      <c r="W842" s="42"/>
      <c r="X842" s="42"/>
      <c r="Y842" s="42"/>
      <c r="Z842" s="42"/>
    </row>
    <row r="843">
      <c r="A843" s="133"/>
      <c r="B843" s="134"/>
      <c r="C843" s="63"/>
      <c r="D843" s="63"/>
      <c r="E843" s="135"/>
      <c r="F843" s="42"/>
      <c r="G843" s="42"/>
      <c r="H843" s="42"/>
      <c r="I843" s="42"/>
      <c r="J843" s="42"/>
      <c r="K843" s="42"/>
      <c r="L843" s="42"/>
      <c r="M843" s="42"/>
      <c r="N843" s="42"/>
      <c r="O843" s="42"/>
      <c r="P843" s="42"/>
      <c r="Q843" s="42"/>
      <c r="R843" s="42"/>
      <c r="S843" s="42"/>
      <c r="T843" s="42"/>
      <c r="U843" s="42"/>
      <c r="V843" s="42"/>
      <c r="W843" s="42"/>
      <c r="X843" s="42"/>
      <c r="Y843" s="42"/>
      <c r="Z843" s="42"/>
    </row>
    <row r="844">
      <c r="A844" s="133"/>
      <c r="B844" s="134"/>
      <c r="C844" s="63"/>
      <c r="D844" s="63"/>
      <c r="E844" s="135"/>
      <c r="F844" s="42"/>
      <c r="G844" s="42"/>
      <c r="H844" s="42"/>
      <c r="I844" s="42"/>
      <c r="J844" s="42"/>
      <c r="K844" s="42"/>
      <c r="L844" s="42"/>
      <c r="M844" s="42"/>
      <c r="N844" s="42"/>
      <c r="O844" s="42"/>
      <c r="P844" s="42"/>
      <c r="Q844" s="42"/>
      <c r="R844" s="42"/>
      <c r="S844" s="42"/>
      <c r="T844" s="42"/>
      <c r="U844" s="42"/>
      <c r="V844" s="42"/>
      <c r="W844" s="42"/>
      <c r="X844" s="42"/>
      <c r="Y844" s="42"/>
      <c r="Z844" s="42"/>
    </row>
    <row r="845">
      <c r="A845" s="133"/>
      <c r="B845" s="134"/>
      <c r="C845" s="63"/>
      <c r="D845" s="63"/>
      <c r="E845" s="135"/>
      <c r="F845" s="42"/>
      <c r="G845" s="42"/>
      <c r="H845" s="42"/>
      <c r="I845" s="42"/>
      <c r="J845" s="42"/>
      <c r="K845" s="42"/>
      <c r="L845" s="42"/>
      <c r="M845" s="42"/>
      <c r="N845" s="42"/>
      <c r="O845" s="42"/>
      <c r="P845" s="42"/>
      <c r="Q845" s="42"/>
      <c r="R845" s="42"/>
      <c r="S845" s="42"/>
      <c r="T845" s="42"/>
      <c r="U845" s="42"/>
      <c r="V845" s="42"/>
      <c r="W845" s="42"/>
      <c r="X845" s="42"/>
      <c r="Y845" s="42"/>
      <c r="Z845" s="42"/>
    </row>
    <row r="846">
      <c r="A846" s="133"/>
      <c r="B846" s="134"/>
      <c r="C846" s="63"/>
      <c r="D846" s="63"/>
      <c r="E846" s="135"/>
      <c r="F846" s="42"/>
      <c r="G846" s="42"/>
      <c r="H846" s="42"/>
      <c r="I846" s="42"/>
      <c r="J846" s="42"/>
      <c r="K846" s="42"/>
      <c r="L846" s="42"/>
      <c r="M846" s="42"/>
      <c r="N846" s="42"/>
      <c r="O846" s="42"/>
      <c r="P846" s="42"/>
      <c r="Q846" s="42"/>
      <c r="R846" s="42"/>
      <c r="S846" s="42"/>
      <c r="T846" s="42"/>
      <c r="U846" s="42"/>
      <c r="V846" s="42"/>
      <c r="W846" s="42"/>
      <c r="X846" s="42"/>
      <c r="Y846" s="42"/>
      <c r="Z846" s="42"/>
    </row>
    <row r="847">
      <c r="A847" s="133"/>
      <c r="B847" s="134"/>
      <c r="C847" s="63"/>
      <c r="D847" s="63"/>
      <c r="E847" s="135"/>
      <c r="F847" s="42"/>
      <c r="G847" s="42"/>
      <c r="H847" s="42"/>
      <c r="I847" s="42"/>
      <c r="J847" s="42"/>
      <c r="K847" s="42"/>
      <c r="L847" s="42"/>
      <c r="M847" s="42"/>
      <c r="N847" s="42"/>
      <c r="O847" s="42"/>
      <c r="P847" s="42"/>
      <c r="Q847" s="42"/>
      <c r="R847" s="42"/>
      <c r="S847" s="42"/>
      <c r="T847" s="42"/>
      <c r="U847" s="42"/>
      <c r="V847" s="42"/>
      <c r="W847" s="42"/>
      <c r="X847" s="42"/>
      <c r="Y847" s="42"/>
      <c r="Z847" s="42"/>
    </row>
    <row r="848">
      <c r="A848" s="133"/>
      <c r="B848" s="134"/>
      <c r="C848" s="63"/>
      <c r="D848" s="63"/>
      <c r="E848" s="135"/>
      <c r="F848" s="42"/>
      <c r="G848" s="42"/>
      <c r="H848" s="42"/>
      <c r="I848" s="42"/>
      <c r="J848" s="42"/>
      <c r="K848" s="42"/>
      <c r="L848" s="42"/>
      <c r="M848" s="42"/>
      <c r="N848" s="42"/>
      <c r="O848" s="42"/>
      <c r="P848" s="42"/>
      <c r="Q848" s="42"/>
      <c r="R848" s="42"/>
      <c r="S848" s="42"/>
      <c r="T848" s="42"/>
      <c r="U848" s="42"/>
      <c r="V848" s="42"/>
      <c r="W848" s="42"/>
      <c r="X848" s="42"/>
      <c r="Y848" s="42"/>
      <c r="Z848" s="42"/>
    </row>
    <row r="849">
      <c r="A849" s="133"/>
      <c r="B849" s="134"/>
      <c r="C849" s="63"/>
      <c r="D849" s="63"/>
      <c r="E849" s="135"/>
      <c r="F849" s="42"/>
      <c r="G849" s="42"/>
      <c r="H849" s="42"/>
      <c r="I849" s="42"/>
      <c r="J849" s="42"/>
      <c r="K849" s="42"/>
      <c r="L849" s="42"/>
      <c r="M849" s="42"/>
      <c r="N849" s="42"/>
      <c r="O849" s="42"/>
      <c r="P849" s="42"/>
      <c r="Q849" s="42"/>
      <c r="R849" s="42"/>
      <c r="S849" s="42"/>
      <c r="T849" s="42"/>
      <c r="U849" s="42"/>
      <c r="V849" s="42"/>
      <c r="W849" s="42"/>
      <c r="X849" s="42"/>
      <c r="Y849" s="42"/>
      <c r="Z849" s="42"/>
    </row>
    <row r="850">
      <c r="A850" s="133"/>
      <c r="B850" s="134"/>
      <c r="C850" s="63"/>
      <c r="D850" s="63"/>
      <c r="E850" s="135"/>
      <c r="F850" s="42"/>
      <c r="G850" s="42"/>
      <c r="H850" s="42"/>
      <c r="I850" s="42"/>
      <c r="J850" s="42"/>
      <c r="K850" s="42"/>
      <c r="L850" s="42"/>
      <c r="M850" s="42"/>
      <c r="N850" s="42"/>
      <c r="O850" s="42"/>
      <c r="P850" s="42"/>
      <c r="Q850" s="42"/>
      <c r="R850" s="42"/>
      <c r="S850" s="42"/>
      <c r="T850" s="42"/>
      <c r="U850" s="42"/>
      <c r="V850" s="42"/>
      <c r="W850" s="42"/>
      <c r="X850" s="42"/>
      <c r="Y850" s="42"/>
      <c r="Z850" s="42"/>
    </row>
    <row r="851">
      <c r="A851" s="133"/>
      <c r="B851" s="134"/>
      <c r="C851" s="63"/>
      <c r="D851" s="63"/>
      <c r="E851" s="135"/>
      <c r="F851" s="42"/>
      <c r="G851" s="42"/>
      <c r="H851" s="42"/>
      <c r="I851" s="42"/>
      <c r="J851" s="42"/>
      <c r="K851" s="42"/>
      <c r="L851" s="42"/>
      <c r="M851" s="42"/>
      <c r="N851" s="42"/>
      <c r="O851" s="42"/>
      <c r="P851" s="42"/>
      <c r="Q851" s="42"/>
      <c r="R851" s="42"/>
      <c r="S851" s="42"/>
      <c r="T851" s="42"/>
      <c r="U851" s="42"/>
      <c r="V851" s="42"/>
      <c r="W851" s="42"/>
      <c r="X851" s="42"/>
      <c r="Y851" s="42"/>
      <c r="Z851" s="42"/>
    </row>
    <row r="852">
      <c r="A852" s="133"/>
      <c r="B852" s="134"/>
      <c r="C852" s="63"/>
      <c r="D852" s="63"/>
      <c r="E852" s="135"/>
      <c r="F852" s="42"/>
      <c r="G852" s="42"/>
      <c r="H852" s="42"/>
      <c r="I852" s="42"/>
      <c r="J852" s="42"/>
      <c r="K852" s="42"/>
      <c r="L852" s="42"/>
      <c r="M852" s="42"/>
      <c r="N852" s="42"/>
      <c r="O852" s="42"/>
      <c r="P852" s="42"/>
      <c r="Q852" s="42"/>
      <c r="R852" s="42"/>
      <c r="S852" s="42"/>
      <c r="T852" s="42"/>
      <c r="U852" s="42"/>
      <c r="V852" s="42"/>
      <c r="W852" s="42"/>
      <c r="X852" s="42"/>
      <c r="Y852" s="42"/>
      <c r="Z852" s="42"/>
    </row>
    <row r="853">
      <c r="A853" s="133"/>
      <c r="B853" s="134"/>
      <c r="C853" s="63"/>
      <c r="D853" s="63"/>
      <c r="E853" s="135"/>
      <c r="F853" s="42"/>
      <c r="G853" s="42"/>
      <c r="H853" s="42"/>
      <c r="I853" s="42"/>
      <c r="J853" s="42"/>
      <c r="K853" s="42"/>
      <c r="L853" s="42"/>
      <c r="M853" s="42"/>
      <c r="N853" s="42"/>
      <c r="O853" s="42"/>
      <c r="P853" s="42"/>
      <c r="Q853" s="42"/>
      <c r="R853" s="42"/>
      <c r="S853" s="42"/>
      <c r="T853" s="42"/>
      <c r="U853" s="42"/>
      <c r="V853" s="42"/>
      <c r="W853" s="42"/>
      <c r="X853" s="42"/>
      <c r="Y853" s="42"/>
      <c r="Z853" s="42"/>
    </row>
    <row r="854">
      <c r="A854" s="133"/>
      <c r="B854" s="134"/>
      <c r="C854" s="63"/>
      <c r="D854" s="63"/>
      <c r="E854" s="135"/>
      <c r="F854" s="42"/>
      <c r="G854" s="42"/>
      <c r="H854" s="42"/>
      <c r="I854" s="42"/>
      <c r="J854" s="42"/>
      <c r="K854" s="42"/>
      <c r="L854" s="42"/>
      <c r="M854" s="42"/>
      <c r="N854" s="42"/>
      <c r="O854" s="42"/>
      <c r="P854" s="42"/>
      <c r="Q854" s="42"/>
      <c r="R854" s="42"/>
      <c r="S854" s="42"/>
      <c r="T854" s="42"/>
      <c r="U854" s="42"/>
      <c r="V854" s="42"/>
      <c r="W854" s="42"/>
      <c r="X854" s="42"/>
      <c r="Y854" s="42"/>
      <c r="Z854" s="42"/>
    </row>
    <row r="855">
      <c r="A855" s="133"/>
      <c r="B855" s="134"/>
      <c r="C855" s="63"/>
      <c r="D855" s="63"/>
      <c r="E855" s="135"/>
      <c r="F855" s="42"/>
      <c r="G855" s="42"/>
      <c r="H855" s="42"/>
      <c r="I855" s="42"/>
      <c r="J855" s="42"/>
      <c r="K855" s="42"/>
      <c r="L855" s="42"/>
      <c r="M855" s="42"/>
      <c r="N855" s="42"/>
      <c r="O855" s="42"/>
      <c r="P855" s="42"/>
      <c r="Q855" s="42"/>
      <c r="R855" s="42"/>
      <c r="S855" s="42"/>
      <c r="T855" s="42"/>
      <c r="U855" s="42"/>
      <c r="V855" s="42"/>
      <c r="W855" s="42"/>
      <c r="X855" s="42"/>
      <c r="Y855" s="42"/>
      <c r="Z855" s="42"/>
    </row>
    <row r="856">
      <c r="A856" s="133"/>
      <c r="B856" s="134"/>
      <c r="C856" s="63"/>
      <c r="D856" s="63"/>
      <c r="E856" s="135"/>
      <c r="F856" s="42"/>
      <c r="G856" s="42"/>
      <c r="H856" s="42"/>
      <c r="I856" s="42"/>
      <c r="J856" s="42"/>
      <c r="K856" s="42"/>
      <c r="L856" s="42"/>
      <c r="M856" s="42"/>
      <c r="N856" s="42"/>
      <c r="O856" s="42"/>
      <c r="P856" s="42"/>
      <c r="Q856" s="42"/>
      <c r="R856" s="42"/>
      <c r="S856" s="42"/>
      <c r="T856" s="42"/>
      <c r="U856" s="42"/>
      <c r="V856" s="42"/>
      <c r="W856" s="42"/>
      <c r="X856" s="42"/>
      <c r="Y856" s="42"/>
      <c r="Z856" s="42"/>
    </row>
    <row r="857">
      <c r="A857" s="133"/>
      <c r="B857" s="134"/>
      <c r="C857" s="63"/>
      <c r="D857" s="63"/>
      <c r="E857" s="135"/>
      <c r="F857" s="42"/>
      <c r="G857" s="42"/>
      <c r="H857" s="42"/>
      <c r="I857" s="42"/>
      <c r="J857" s="42"/>
      <c r="K857" s="42"/>
      <c r="L857" s="42"/>
      <c r="M857" s="42"/>
      <c r="N857" s="42"/>
      <c r="O857" s="42"/>
      <c r="P857" s="42"/>
      <c r="Q857" s="42"/>
      <c r="R857" s="42"/>
      <c r="S857" s="42"/>
      <c r="T857" s="42"/>
      <c r="U857" s="42"/>
      <c r="V857" s="42"/>
      <c r="W857" s="42"/>
      <c r="X857" s="42"/>
      <c r="Y857" s="42"/>
      <c r="Z857" s="42"/>
    </row>
    <row r="858">
      <c r="A858" s="133"/>
      <c r="B858" s="134"/>
      <c r="C858" s="63"/>
      <c r="D858" s="63"/>
      <c r="E858" s="135"/>
      <c r="F858" s="42"/>
      <c r="G858" s="42"/>
      <c r="H858" s="42"/>
      <c r="I858" s="42"/>
      <c r="J858" s="42"/>
      <c r="K858" s="42"/>
      <c r="L858" s="42"/>
      <c r="M858" s="42"/>
      <c r="N858" s="42"/>
      <c r="O858" s="42"/>
      <c r="P858" s="42"/>
      <c r="Q858" s="42"/>
      <c r="R858" s="42"/>
      <c r="S858" s="42"/>
      <c r="T858" s="42"/>
      <c r="U858" s="42"/>
      <c r="V858" s="42"/>
      <c r="W858" s="42"/>
      <c r="X858" s="42"/>
      <c r="Y858" s="42"/>
      <c r="Z858" s="42"/>
    </row>
    <row r="859">
      <c r="A859" s="133"/>
      <c r="B859" s="134"/>
      <c r="C859" s="63"/>
      <c r="D859" s="63"/>
      <c r="E859" s="135"/>
      <c r="F859" s="42"/>
      <c r="G859" s="42"/>
      <c r="H859" s="42"/>
      <c r="I859" s="42"/>
      <c r="J859" s="42"/>
      <c r="K859" s="42"/>
      <c r="L859" s="42"/>
      <c r="M859" s="42"/>
      <c r="N859" s="42"/>
      <c r="O859" s="42"/>
      <c r="P859" s="42"/>
      <c r="Q859" s="42"/>
      <c r="R859" s="42"/>
      <c r="S859" s="42"/>
      <c r="T859" s="42"/>
      <c r="U859" s="42"/>
      <c r="V859" s="42"/>
      <c r="W859" s="42"/>
      <c r="X859" s="42"/>
      <c r="Y859" s="42"/>
      <c r="Z859" s="42"/>
    </row>
    <row r="860">
      <c r="A860" s="133"/>
      <c r="B860" s="134"/>
      <c r="C860" s="63"/>
      <c r="D860" s="63"/>
      <c r="E860" s="135"/>
      <c r="F860" s="42"/>
      <c r="G860" s="42"/>
      <c r="H860" s="42"/>
      <c r="I860" s="42"/>
      <c r="J860" s="42"/>
      <c r="K860" s="42"/>
      <c r="L860" s="42"/>
      <c r="M860" s="42"/>
      <c r="N860" s="42"/>
      <c r="O860" s="42"/>
      <c r="P860" s="42"/>
      <c r="Q860" s="42"/>
      <c r="R860" s="42"/>
      <c r="S860" s="42"/>
      <c r="T860" s="42"/>
      <c r="U860" s="42"/>
      <c r="V860" s="42"/>
      <c r="W860" s="42"/>
      <c r="X860" s="42"/>
      <c r="Y860" s="42"/>
      <c r="Z860" s="42"/>
    </row>
    <row r="861">
      <c r="A861" s="133"/>
      <c r="B861" s="134"/>
      <c r="C861" s="63"/>
      <c r="D861" s="63"/>
      <c r="E861" s="135"/>
      <c r="F861" s="42"/>
      <c r="G861" s="42"/>
      <c r="H861" s="42"/>
      <c r="I861" s="42"/>
      <c r="J861" s="42"/>
      <c r="K861" s="42"/>
      <c r="L861" s="42"/>
      <c r="M861" s="42"/>
      <c r="N861" s="42"/>
      <c r="O861" s="42"/>
      <c r="P861" s="42"/>
      <c r="Q861" s="42"/>
      <c r="R861" s="42"/>
      <c r="S861" s="42"/>
      <c r="T861" s="42"/>
      <c r="U861" s="42"/>
      <c r="V861" s="42"/>
      <c r="W861" s="42"/>
      <c r="X861" s="42"/>
      <c r="Y861" s="42"/>
      <c r="Z861" s="42"/>
    </row>
    <row r="862">
      <c r="A862" s="133"/>
      <c r="B862" s="134"/>
      <c r="C862" s="63"/>
      <c r="D862" s="63"/>
      <c r="E862" s="135"/>
      <c r="F862" s="42"/>
      <c r="G862" s="42"/>
      <c r="H862" s="42"/>
      <c r="I862" s="42"/>
      <c r="J862" s="42"/>
      <c r="K862" s="42"/>
      <c r="L862" s="42"/>
      <c r="M862" s="42"/>
      <c r="N862" s="42"/>
      <c r="O862" s="42"/>
      <c r="P862" s="42"/>
      <c r="Q862" s="42"/>
      <c r="R862" s="42"/>
      <c r="S862" s="42"/>
      <c r="T862" s="42"/>
      <c r="U862" s="42"/>
      <c r="V862" s="42"/>
      <c r="W862" s="42"/>
      <c r="X862" s="42"/>
      <c r="Y862" s="42"/>
      <c r="Z862" s="42"/>
    </row>
    <row r="863">
      <c r="A863" s="133"/>
      <c r="B863" s="134"/>
      <c r="C863" s="63"/>
      <c r="D863" s="63"/>
      <c r="E863" s="135"/>
      <c r="F863" s="42"/>
      <c r="G863" s="42"/>
      <c r="H863" s="42"/>
      <c r="I863" s="42"/>
      <c r="J863" s="42"/>
      <c r="K863" s="42"/>
      <c r="L863" s="42"/>
      <c r="M863" s="42"/>
      <c r="N863" s="42"/>
      <c r="O863" s="42"/>
      <c r="P863" s="42"/>
      <c r="Q863" s="42"/>
      <c r="R863" s="42"/>
      <c r="S863" s="42"/>
      <c r="T863" s="42"/>
      <c r="U863" s="42"/>
      <c r="V863" s="42"/>
      <c r="W863" s="42"/>
      <c r="X863" s="42"/>
      <c r="Y863" s="42"/>
      <c r="Z863" s="42"/>
    </row>
    <row r="864">
      <c r="A864" s="133"/>
      <c r="B864" s="134"/>
      <c r="C864" s="63"/>
      <c r="D864" s="63"/>
      <c r="E864" s="135"/>
      <c r="F864" s="42"/>
      <c r="G864" s="42"/>
      <c r="H864" s="42"/>
      <c r="I864" s="42"/>
      <c r="J864" s="42"/>
      <c r="K864" s="42"/>
      <c r="L864" s="42"/>
      <c r="M864" s="42"/>
      <c r="N864" s="42"/>
      <c r="O864" s="42"/>
      <c r="P864" s="42"/>
      <c r="Q864" s="42"/>
      <c r="R864" s="42"/>
      <c r="S864" s="42"/>
      <c r="T864" s="42"/>
      <c r="U864" s="42"/>
      <c r="V864" s="42"/>
      <c r="W864" s="42"/>
      <c r="X864" s="42"/>
      <c r="Y864" s="42"/>
      <c r="Z864" s="42"/>
    </row>
    <row r="865">
      <c r="A865" s="133"/>
      <c r="B865" s="134"/>
      <c r="C865" s="63"/>
      <c r="D865" s="63"/>
      <c r="E865" s="135"/>
      <c r="F865" s="42"/>
      <c r="G865" s="42"/>
      <c r="H865" s="42"/>
      <c r="I865" s="42"/>
      <c r="J865" s="42"/>
      <c r="K865" s="42"/>
      <c r="L865" s="42"/>
      <c r="M865" s="42"/>
      <c r="N865" s="42"/>
      <c r="O865" s="42"/>
      <c r="P865" s="42"/>
      <c r="Q865" s="42"/>
      <c r="R865" s="42"/>
      <c r="S865" s="42"/>
      <c r="T865" s="42"/>
      <c r="U865" s="42"/>
      <c r="V865" s="42"/>
      <c r="W865" s="42"/>
      <c r="X865" s="42"/>
      <c r="Y865" s="42"/>
      <c r="Z865" s="42"/>
    </row>
    <row r="866">
      <c r="A866" s="133"/>
      <c r="B866" s="134"/>
      <c r="C866" s="63"/>
      <c r="D866" s="63"/>
      <c r="E866" s="135"/>
      <c r="F866" s="42"/>
      <c r="G866" s="42"/>
      <c r="H866" s="42"/>
      <c r="I866" s="42"/>
      <c r="J866" s="42"/>
      <c r="K866" s="42"/>
      <c r="L866" s="42"/>
      <c r="M866" s="42"/>
      <c r="N866" s="42"/>
      <c r="O866" s="42"/>
      <c r="P866" s="42"/>
      <c r="Q866" s="42"/>
      <c r="R866" s="42"/>
      <c r="S866" s="42"/>
      <c r="T866" s="42"/>
      <c r="U866" s="42"/>
      <c r="V866" s="42"/>
      <c r="W866" s="42"/>
      <c r="X866" s="42"/>
      <c r="Y866" s="42"/>
      <c r="Z866" s="42"/>
    </row>
    <row r="867">
      <c r="A867" s="133"/>
      <c r="B867" s="134"/>
      <c r="C867" s="63"/>
      <c r="D867" s="63"/>
      <c r="E867" s="135"/>
      <c r="F867" s="42"/>
      <c r="G867" s="42"/>
      <c r="H867" s="42"/>
      <c r="I867" s="42"/>
      <c r="J867" s="42"/>
      <c r="K867" s="42"/>
      <c r="L867" s="42"/>
      <c r="M867" s="42"/>
      <c r="N867" s="42"/>
      <c r="O867" s="42"/>
      <c r="P867" s="42"/>
      <c r="Q867" s="42"/>
      <c r="R867" s="42"/>
      <c r="S867" s="42"/>
      <c r="T867" s="42"/>
      <c r="U867" s="42"/>
      <c r="V867" s="42"/>
      <c r="W867" s="42"/>
      <c r="X867" s="42"/>
      <c r="Y867" s="42"/>
      <c r="Z867" s="42"/>
    </row>
    <row r="868">
      <c r="A868" s="133"/>
      <c r="B868" s="134"/>
      <c r="C868" s="63"/>
      <c r="D868" s="63"/>
      <c r="E868" s="135"/>
      <c r="F868" s="42"/>
      <c r="G868" s="42"/>
      <c r="H868" s="42"/>
      <c r="I868" s="42"/>
      <c r="J868" s="42"/>
      <c r="K868" s="42"/>
      <c r="L868" s="42"/>
      <c r="M868" s="42"/>
      <c r="N868" s="42"/>
      <c r="O868" s="42"/>
      <c r="P868" s="42"/>
      <c r="Q868" s="42"/>
      <c r="R868" s="42"/>
      <c r="S868" s="42"/>
      <c r="T868" s="42"/>
      <c r="U868" s="42"/>
      <c r="V868" s="42"/>
      <c r="W868" s="42"/>
      <c r="X868" s="42"/>
      <c r="Y868" s="42"/>
      <c r="Z868" s="42"/>
    </row>
    <row r="869">
      <c r="A869" s="133"/>
      <c r="B869" s="134"/>
      <c r="C869" s="63"/>
      <c r="D869" s="63"/>
      <c r="E869" s="135"/>
      <c r="F869" s="42"/>
      <c r="G869" s="42"/>
      <c r="H869" s="42"/>
      <c r="I869" s="42"/>
      <c r="J869" s="42"/>
      <c r="K869" s="42"/>
      <c r="L869" s="42"/>
      <c r="M869" s="42"/>
      <c r="N869" s="42"/>
      <c r="O869" s="42"/>
      <c r="P869" s="42"/>
      <c r="Q869" s="42"/>
      <c r="R869" s="42"/>
      <c r="S869" s="42"/>
      <c r="T869" s="42"/>
      <c r="U869" s="42"/>
      <c r="V869" s="42"/>
      <c r="W869" s="42"/>
      <c r="X869" s="42"/>
      <c r="Y869" s="42"/>
      <c r="Z869" s="42"/>
    </row>
    <row r="870">
      <c r="A870" s="133"/>
      <c r="B870" s="134"/>
      <c r="C870" s="63"/>
      <c r="D870" s="63"/>
      <c r="E870" s="135"/>
      <c r="F870" s="42"/>
      <c r="G870" s="42"/>
      <c r="H870" s="42"/>
      <c r="I870" s="42"/>
      <c r="J870" s="42"/>
      <c r="K870" s="42"/>
      <c r="L870" s="42"/>
      <c r="M870" s="42"/>
      <c r="N870" s="42"/>
      <c r="O870" s="42"/>
      <c r="P870" s="42"/>
      <c r="Q870" s="42"/>
      <c r="R870" s="42"/>
      <c r="S870" s="42"/>
      <c r="T870" s="42"/>
      <c r="U870" s="42"/>
      <c r="V870" s="42"/>
      <c r="W870" s="42"/>
      <c r="X870" s="42"/>
      <c r="Y870" s="42"/>
      <c r="Z870" s="42"/>
    </row>
    <row r="871">
      <c r="A871" s="133"/>
      <c r="B871" s="134"/>
      <c r="C871" s="63"/>
      <c r="D871" s="63"/>
      <c r="E871" s="135"/>
      <c r="F871" s="42"/>
      <c r="G871" s="42"/>
      <c r="H871" s="42"/>
      <c r="I871" s="42"/>
      <c r="J871" s="42"/>
      <c r="K871" s="42"/>
      <c r="L871" s="42"/>
      <c r="M871" s="42"/>
      <c r="N871" s="42"/>
      <c r="O871" s="42"/>
      <c r="P871" s="42"/>
      <c r="Q871" s="42"/>
      <c r="R871" s="42"/>
      <c r="S871" s="42"/>
      <c r="T871" s="42"/>
      <c r="U871" s="42"/>
      <c r="V871" s="42"/>
      <c r="W871" s="42"/>
      <c r="X871" s="42"/>
      <c r="Y871" s="42"/>
      <c r="Z871" s="42"/>
    </row>
    <row r="872">
      <c r="A872" s="133"/>
      <c r="B872" s="134"/>
      <c r="C872" s="63"/>
      <c r="D872" s="63"/>
      <c r="E872" s="135"/>
      <c r="F872" s="42"/>
      <c r="G872" s="42"/>
      <c r="H872" s="42"/>
      <c r="I872" s="42"/>
      <c r="J872" s="42"/>
      <c r="K872" s="42"/>
      <c r="L872" s="42"/>
      <c r="M872" s="42"/>
      <c r="N872" s="42"/>
      <c r="O872" s="42"/>
      <c r="P872" s="42"/>
      <c r="Q872" s="42"/>
      <c r="R872" s="42"/>
      <c r="S872" s="42"/>
      <c r="T872" s="42"/>
      <c r="U872" s="42"/>
      <c r="V872" s="42"/>
      <c r="W872" s="42"/>
      <c r="X872" s="42"/>
      <c r="Y872" s="42"/>
      <c r="Z872" s="42"/>
    </row>
    <row r="873">
      <c r="A873" s="133"/>
      <c r="B873" s="134"/>
      <c r="C873" s="63"/>
      <c r="D873" s="63"/>
      <c r="E873" s="135"/>
      <c r="F873" s="42"/>
      <c r="G873" s="42"/>
      <c r="H873" s="42"/>
      <c r="I873" s="42"/>
      <c r="J873" s="42"/>
      <c r="K873" s="42"/>
      <c r="L873" s="42"/>
      <c r="M873" s="42"/>
      <c r="N873" s="42"/>
      <c r="O873" s="42"/>
      <c r="P873" s="42"/>
      <c r="Q873" s="42"/>
      <c r="R873" s="42"/>
      <c r="S873" s="42"/>
      <c r="T873" s="42"/>
      <c r="U873" s="42"/>
      <c r="V873" s="42"/>
      <c r="W873" s="42"/>
      <c r="X873" s="42"/>
      <c r="Y873" s="42"/>
      <c r="Z873" s="42"/>
    </row>
    <row r="874">
      <c r="A874" s="133"/>
      <c r="B874" s="134"/>
      <c r="C874" s="63"/>
      <c r="D874" s="63"/>
      <c r="E874" s="135"/>
      <c r="F874" s="42"/>
      <c r="G874" s="42"/>
      <c r="H874" s="42"/>
      <c r="I874" s="42"/>
      <c r="J874" s="42"/>
      <c r="K874" s="42"/>
      <c r="L874" s="42"/>
      <c r="M874" s="42"/>
      <c r="N874" s="42"/>
      <c r="O874" s="42"/>
      <c r="P874" s="42"/>
      <c r="Q874" s="42"/>
      <c r="R874" s="42"/>
      <c r="S874" s="42"/>
      <c r="T874" s="42"/>
      <c r="U874" s="42"/>
      <c r="V874" s="42"/>
      <c r="W874" s="42"/>
      <c r="X874" s="42"/>
      <c r="Y874" s="42"/>
      <c r="Z874" s="42"/>
    </row>
    <row r="875">
      <c r="A875" s="133"/>
      <c r="B875" s="134"/>
      <c r="C875" s="63"/>
      <c r="D875" s="63"/>
      <c r="E875" s="135"/>
      <c r="F875" s="42"/>
      <c r="G875" s="42"/>
      <c r="H875" s="42"/>
      <c r="I875" s="42"/>
      <c r="J875" s="42"/>
      <c r="K875" s="42"/>
      <c r="L875" s="42"/>
      <c r="M875" s="42"/>
      <c r="N875" s="42"/>
      <c r="O875" s="42"/>
      <c r="P875" s="42"/>
      <c r="Q875" s="42"/>
      <c r="R875" s="42"/>
      <c r="S875" s="42"/>
      <c r="T875" s="42"/>
      <c r="U875" s="42"/>
      <c r="V875" s="42"/>
      <c r="W875" s="42"/>
      <c r="X875" s="42"/>
      <c r="Y875" s="42"/>
      <c r="Z875" s="42"/>
    </row>
    <row r="876">
      <c r="A876" s="133"/>
      <c r="B876" s="134"/>
      <c r="C876" s="63"/>
      <c r="D876" s="63"/>
      <c r="E876" s="135"/>
      <c r="F876" s="42"/>
      <c r="G876" s="42"/>
      <c r="H876" s="42"/>
      <c r="I876" s="42"/>
      <c r="J876" s="42"/>
      <c r="K876" s="42"/>
      <c r="L876" s="42"/>
      <c r="M876" s="42"/>
      <c r="N876" s="42"/>
      <c r="O876" s="42"/>
      <c r="P876" s="42"/>
      <c r="Q876" s="42"/>
      <c r="R876" s="42"/>
      <c r="S876" s="42"/>
      <c r="T876" s="42"/>
      <c r="U876" s="42"/>
      <c r="V876" s="42"/>
      <c r="W876" s="42"/>
      <c r="X876" s="42"/>
      <c r="Y876" s="42"/>
      <c r="Z876" s="42"/>
    </row>
    <row r="877">
      <c r="A877" s="133"/>
      <c r="B877" s="134"/>
      <c r="C877" s="63"/>
      <c r="D877" s="63"/>
      <c r="E877" s="135"/>
      <c r="F877" s="42"/>
      <c r="G877" s="42"/>
      <c r="H877" s="42"/>
      <c r="I877" s="42"/>
      <c r="J877" s="42"/>
      <c r="K877" s="42"/>
      <c r="L877" s="42"/>
      <c r="M877" s="42"/>
      <c r="N877" s="42"/>
      <c r="O877" s="42"/>
      <c r="P877" s="42"/>
      <c r="Q877" s="42"/>
      <c r="R877" s="42"/>
      <c r="S877" s="42"/>
      <c r="T877" s="42"/>
      <c r="U877" s="42"/>
      <c r="V877" s="42"/>
      <c r="W877" s="42"/>
      <c r="X877" s="42"/>
      <c r="Y877" s="42"/>
      <c r="Z877" s="42"/>
    </row>
    <row r="878">
      <c r="A878" s="133"/>
      <c r="B878" s="134"/>
      <c r="C878" s="63"/>
      <c r="D878" s="63"/>
      <c r="E878" s="135"/>
      <c r="F878" s="42"/>
      <c r="G878" s="42"/>
      <c r="H878" s="42"/>
      <c r="I878" s="42"/>
      <c r="J878" s="42"/>
      <c r="K878" s="42"/>
      <c r="L878" s="42"/>
      <c r="M878" s="42"/>
      <c r="N878" s="42"/>
      <c r="O878" s="42"/>
      <c r="P878" s="42"/>
      <c r="Q878" s="42"/>
      <c r="R878" s="42"/>
      <c r="S878" s="42"/>
      <c r="T878" s="42"/>
      <c r="U878" s="42"/>
      <c r="V878" s="42"/>
      <c r="W878" s="42"/>
      <c r="X878" s="42"/>
      <c r="Y878" s="42"/>
      <c r="Z878" s="42"/>
    </row>
    <row r="879">
      <c r="A879" s="133"/>
      <c r="B879" s="134"/>
      <c r="C879" s="63"/>
      <c r="D879" s="63"/>
      <c r="E879" s="135"/>
      <c r="F879" s="42"/>
      <c r="G879" s="42"/>
      <c r="H879" s="42"/>
      <c r="I879" s="42"/>
      <c r="J879" s="42"/>
      <c r="K879" s="42"/>
      <c r="L879" s="42"/>
      <c r="M879" s="42"/>
      <c r="N879" s="42"/>
      <c r="O879" s="42"/>
      <c r="P879" s="42"/>
      <c r="Q879" s="42"/>
      <c r="R879" s="42"/>
      <c r="S879" s="42"/>
      <c r="T879" s="42"/>
      <c r="U879" s="42"/>
      <c r="V879" s="42"/>
      <c r="W879" s="42"/>
      <c r="X879" s="42"/>
      <c r="Y879" s="42"/>
      <c r="Z879" s="42"/>
    </row>
    <row r="880">
      <c r="A880" s="133"/>
      <c r="B880" s="134"/>
      <c r="C880" s="63"/>
      <c r="D880" s="63"/>
      <c r="E880" s="135"/>
      <c r="F880" s="42"/>
      <c r="G880" s="42"/>
      <c r="H880" s="42"/>
      <c r="I880" s="42"/>
      <c r="J880" s="42"/>
      <c r="K880" s="42"/>
      <c r="L880" s="42"/>
      <c r="M880" s="42"/>
      <c r="N880" s="42"/>
      <c r="O880" s="42"/>
      <c r="P880" s="42"/>
      <c r="Q880" s="42"/>
      <c r="R880" s="42"/>
      <c r="S880" s="42"/>
      <c r="T880" s="42"/>
      <c r="U880" s="42"/>
      <c r="V880" s="42"/>
      <c r="W880" s="42"/>
      <c r="X880" s="42"/>
      <c r="Y880" s="42"/>
      <c r="Z880" s="42"/>
    </row>
    <row r="881">
      <c r="A881" s="133"/>
      <c r="B881" s="134"/>
      <c r="C881" s="63"/>
      <c r="D881" s="63"/>
      <c r="E881" s="135"/>
      <c r="F881" s="42"/>
      <c r="G881" s="42"/>
      <c r="H881" s="42"/>
      <c r="I881" s="42"/>
      <c r="J881" s="42"/>
      <c r="K881" s="42"/>
      <c r="L881" s="42"/>
      <c r="M881" s="42"/>
      <c r="N881" s="42"/>
      <c r="O881" s="42"/>
      <c r="P881" s="42"/>
      <c r="Q881" s="42"/>
      <c r="R881" s="42"/>
      <c r="S881" s="42"/>
      <c r="T881" s="42"/>
      <c r="U881" s="42"/>
      <c r="V881" s="42"/>
      <c r="W881" s="42"/>
      <c r="X881" s="42"/>
      <c r="Y881" s="42"/>
      <c r="Z881" s="42"/>
    </row>
    <row r="882">
      <c r="A882" s="133"/>
      <c r="B882" s="134"/>
      <c r="C882" s="63"/>
      <c r="D882" s="63"/>
      <c r="E882" s="135"/>
      <c r="F882" s="42"/>
      <c r="G882" s="42"/>
      <c r="H882" s="42"/>
      <c r="I882" s="42"/>
      <c r="J882" s="42"/>
      <c r="K882" s="42"/>
      <c r="L882" s="42"/>
      <c r="M882" s="42"/>
      <c r="N882" s="42"/>
      <c r="O882" s="42"/>
      <c r="P882" s="42"/>
      <c r="Q882" s="42"/>
      <c r="R882" s="42"/>
      <c r="S882" s="42"/>
      <c r="T882" s="42"/>
      <c r="U882" s="42"/>
      <c r="V882" s="42"/>
      <c r="W882" s="42"/>
      <c r="X882" s="42"/>
      <c r="Y882" s="42"/>
      <c r="Z882" s="42"/>
    </row>
    <row r="883">
      <c r="A883" s="133"/>
      <c r="B883" s="134"/>
      <c r="C883" s="63"/>
      <c r="D883" s="63"/>
      <c r="E883" s="135"/>
      <c r="F883" s="42"/>
      <c r="G883" s="42"/>
      <c r="H883" s="42"/>
      <c r="I883" s="42"/>
      <c r="J883" s="42"/>
      <c r="K883" s="42"/>
      <c r="L883" s="42"/>
      <c r="M883" s="42"/>
      <c r="N883" s="42"/>
      <c r="O883" s="42"/>
      <c r="P883" s="42"/>
      <c r="Q883" s="42"/>
      <c r="R883" s="42"/>
      <c r="S883" s="42"/>
      <c r="T883" s="42"/>
      <c r="U883" s="42"/>
      <c r="V883" s="42"/>
      <c r="W883" s="42"/>
      <c r="X883" s="42"/>
      <c r="Y883" s="42"/>
      <c r="Z883" s="42"/>
    </row>
    <row r="884">
      <c r="A884" s="133"/>
      <c r="B884" s="134"/>
      <c r="C884" s="63"/>
      <c r="D884" s="63"/>
      <c r="E884" s="135"/>
      <c r="F884" s="42"/>
      <c r="G884" s="42"/>
      <c r="H884" s="42"/>
      <c r="I884" s="42"/>
      <c r="J884" s="42"/>
      <c r="K884" s="42"/>
      <c r="L884" s="42"/>
      <c r="M884" s="42"/>
      <c r="N884" s="42"/>
      <c r="O884" s="42"/>
      <c r="P884" s="42"/>
      <c r="Q884" s="42"/>
      <c r="R884" s="42"/>
      <c r="S884" s="42"/>
      <c r="T884" s="42"/>
      <c r="U884" s="42"/>
      <c r="V884" s="42"/>
      <c r="W884" s="42"/>
      <c r="X884" s="42"/>
      <c r="Y884" s="42"/>
      <c r="Z884" s="42"/>
    </row>
    <row r="885">
      <c r="A885" s="133"/>
      <c r="B885" s="134"/>
      <c r="C885" s="63"/>
      <c r="D885" s="63"/>
      <c r="E885" s="135"/>
      <c r="F885" s="42"/>
      <c r="G885" s="42"/>
      <c r="H885" s="42"/>
      <c r="I885" s="42"/>
      <c r="J885" s="42"/>
      <c r="K885" s="42"/>
      <c r="L885" s="42"/>
      <c r="M885" s="42"/>
      <c r="N885" s="42"/>
      <c r="O885" s="42"/>
      <c r="P885" s="42"/>
      <c r="Q885" s="42"/>
      <c r="R885" s="42"/>
      <c r="S885" s="42"/>
      <c r="T885" s="42"/>
      <c r="U885" s="42"/>
      <c r="V885" s="42"/>
      <c r="W885" s="42"/>
      <c r="X885" s="42"/>
      <c r="Y885" s="42"/>
      <c r="Z885" s="42"/>
    </row>
    <row r="886">
      <c r="A886" s="133"/>
      <c r="B886" s="134"/>
      <c r="C886" s="63"/>
      <c r="D886" s="63"/>
      <c r="E886" s="135"/>
      <c r="F886" s="42"/>
      <c r="G886" s="42"/>
      <c r="H886" s="42"/>
      <c r="I886" s="42"/>
      <c r="J886" s="42"/>
      <c r="K886" s="42"/>
      <c r="L886" s="42"/>
      <c r="M886" s="42"/>
      <c r="N886" s="42"/>
      <c r="O886" s="42"/>
      <c r="P886" s="42"/>
      <c r="Q886" s="42"/>
      <c r="R886" s="42"/>
      <c r="S886" s="42"/>
      <c r="T886" s="42"/>
      <c r="U886" s="42"/>
      <c r="V886" s="42"/>
      <c r="W886" s="42"/>
      <c r="X886" s="42"/>
      <c r="Y886" s="42"/>
      <c r="Z886" s="42"/>
    </row>
    <row r="887">
      <c r="A887" s="133"/>
      <c r="B887" s="134"/>
      <c r="C887" s="63"/>
      <c r="D887" s="63"/>
      <c r="E887" s="135"/>
      <c r="F887" s="42"/>
      <c r="G887" s="42"/>
      <c r="H887" s="42"/>
      <c r="I887" s="42"/>
      <c r="J887" s="42"/>
      <c r="K887" s="42"/>
      <c r="L887" s="42"/>
      <c r="M887" s="42"/>
      <c r="N887" s="42"/>
      <c r="O887" s="42"/>
      <c r="P887" s="42"/>
      <c r="Q887" s="42"/>
      <c r="R887" s="42"/>
      <c r="S887" s="42"/>
      <c r="T887" s="42"/>
      <c r="U887" s="42"/>
      <c r="V887" s="42"/>
      <c r="W887" s="42"/>
      <c r="X887" s="42"/>
      <c r="Y887" s="42"/>
      <c r="Z887" s="42"/>
    </row>
    <row r="888">
      <c r="A888" s="133"/>
      <c r="B888" s="134"/>
      <c r="C888" s="63"/>
      <c r="D888" s="63"/>
      <c r="E888" s="135"/>
      <c r="F888" s="42"/>
      <c r="G888" s="42"/>
      <c r="H888" s="42"/>
      <c r="I888" s="42"/>
      <c r="J888" s="42"/>
      <c r="K888" s="42"/>
      <c r="L888" s="42"/>
      <c r="M888" s="42"/>
      <c r="N888" s="42"/>
      <c r="O888" s="42"/>
      <c r="P888" s="42"/>
      <c r="Q888" s="42"/>
      <c r="R888" s="42"/>
      <c r="S888" s="42"/>
      <c r="T888" s="42"/>
      <c r="U888" s="42"/>
      <c r="V888" s="42"/>
      <c r="W888" s="42"/>
      <c r="X888" s="42"/>
      <c r="Y888" s="42"/>
      <c r="Z888" s="42"/>
    </row>
    <row r="889">
      <c r="A889" s="133"/>
      <c r="B889" s="134"/>
      <c r="C889" s="63"/>
      <c r="D889" s="63"/>
      <c r="E889" s="135"/>
      <c r="F889" s="42"/>
      <c r="G889" s="42"/>
      <c r="H889" s="42"/>
      <c r="I889" s="42"/>
      <c r="J889" s="42"/>
      <c r="K889" s="42"/>
      <c r="L889" s="42"/>
      <c r="M889" s="42"/>
      <c r="N889" s="42"/>
      <c r="O889" s="42"/>
      <c r="P889" s="42"/>
      <c r="Q889" s="42"/>
      <c r="R889" s="42"/>
      <c r="S889" s="42"/>
      <c r="T889" s="42"/>
      <c r="U889" s="42"/>
      <c r="V889" s="42"/>
      <c r="W889" s="42"/>
      <c r="X889" s="42"/>
      <c r="Y889" s="42"/>
      <c r="Z889" s="42"/>
    </row>
    <row r="890">
      <c r="A890" s="133"/>
      <c r="B890" s="134"/>
      <c r="C890" s="63"/>
      <c r="D890" s="63"/>
      <c r="E890" s="135"/>
      <c r="F890" s="42"/>
      <c r="G890" s="42"/>
      <c r="H890" s="42"/>
      <c r="I890" s="42"/>
      <c r="J890" s="42"/>
      <c r="K890" s="42"/>
      <c r="L890" s="42"/>
      <c r="M890" s="42"/>
      <c r="N890" s="42"/>
      <c r="O890" s="42"/>
      <c r="P890" s="42"/>
      <c r="Q890" s="42"/>
      <c r="R890" s="42"/>
      <c r="S890" s="42"/>
      <c r="T890" s="42"/>
      <c r="U890" s="42"/>
      <c r="V890" s="42"/>
      <c r="W890" s="42"/>
      <c r="X890" s="42"/>
      <c r="Y890" s="42"/>
      <c r="Z890" s="42"/>
    </row>
    <row r="891">
      <c r="A891" s="133"/>
      <c r="B891" s="134"/>
      <c r="C891" s="63"/>
      <c r="D891" s="63"/>
      <c r="E891" s="135"/>
      <c r="F891" s="42"/>
      <c r="G891" s="42"/>
      <c r="H891" s="42"/>
      <c r="I891" s="42"/>
      <c r="J891" s="42"/>
      <c r="K891" s="42"/>
      <c r="L891" s="42"/>
      <c r="M891" s="42"/>
      <c r="N891" s="42"/>
      <c r="O891" s="42"/>
      <c r="P891" s="42"/>
      <c r="Q891" s="42"/>
      <c r="R891" s="42"/>
      <c r="S891" s="42"/>
      <c r="T891" s="42"/>
      <c r="U891" s="42"/>
      <c r="V891" s="42"/>
      <c r="W891" s="42"/>
      <c r="X891" s="42"/>
      <c r="Y891" s="42"/>
      <c r="Z891" s="42"/>
    </row>
    <row r="892">
      <c r="A892" s="133"/>
      <c r="B892" s="134"/>
      <c r="C892" s="63"/>
      <c r="D892" s="63"/>
      <c r="E892" s="135"/>
      <c r="F892" s="42"/>
      <c r="G892" s="42"/>
      <c r="H892" s="42"/>
      <c r="I892" s="42"/>
      <c r="J892" s="42"/>
      <c r="K892" s="42"/>
      <c r="L892" s="42"/>
      <c r="M892" s="42"/>
      <c r="N892" s="42"/>
      <c r="O892" s="42"/>
      <c r="P892" s="42"/>
      <c r="Q892" s="42"/>
      <c r="R892" s="42"/>
      <c r="S892" s="42"/>
      <c r="T892" s="42"/>
      <c r="U892" s="42"/>
      <c r="V892" s="42"/>
      <c r="W892" s="42"/>
      <c r="X892" s="42"/>
      <c r="Y892" s="42"/>
      <c r="Z892" s="42"/>
    </row>
    <row r="893">
      <c r="A893" s="133"/>
      <c r="B893" s="134"/>
      <c r="C893" s="63"/>
      <c r="D893" s="63"/>
      <c r="E893" s="135"/>
      <c r="F893" s="42"/>
      <c r="G893" s="42"/>
      <c r="H893" s="42"/>
      <c r="I893" s="42"/>
      <c r="J893" s="42"/>
      <c r="K893" s="42"/>
      <c r="L893" s="42"/>
      <c r="M893" s="42"/>
      <c r="N893" s="42"/>
      <c r="O893" s="42"/>
      <c r="P893" s="42"/>
      <c r="Q893" s="42"/>
      <c r="R893" s="42"/>
      <c r="S893" s="42"/>
      <c r="T893" s="42"/>
      <c r="U893" s="42"/>
      <c r="V893" s="42"/>
      <c r="W893" s="42"/>
      <c r="X893" s="42"/>
      <c r="Y893" s="42"/>
      <c r="Z893" s="42"/>
    </row>
    <row r="894">
      <c r="A894" s="133"/>
      <c r="B894" s="134"/>
      <c r="C894" s="63"/>
      <c r="D894" s="63"/>
      <c r="E894" s="135"/>
      <c r="F894" s="42"/>
      <c r="G894" s="42"/>
      <c r="H894" s="42"/>
      <c r="I894" s="42"/>
      <c r="J894" s="42"/>
      <c r="K894" s="42"/>
      <c r="L894" s="42"/>
      <c r="M894" s="42"/>
      <c r="N894" s="42"/>
      <c r="O894" s="42"/>
      <c r="P894" s="42"/>
      <c r="Q894" s="42"/>
      <c r="R894" s="42"/>
      <c r="S894" s="42"/>
      <c r="T894" s="42"/>
      <c r="U894" s="42"/>
      <c r="V894" s="42"/>
      <c r="W894" s="42"/>
      <c r="X894" s="42"/>
      <c r="Y894" s="42"/>
      <c r="Z894" s="42"/>
    </row>
    <row r="895">
      <c r="A895" s="133"/>
      <c r="B895" s="134"/>
      <c r="C895" s="63"/>
      <c r="D895" s="63"/>
      <c r="E895" s="135"/>
      <c r="F895" s="42"/>
      <c r="G895" s="42"/>
      <c r="H895" s="42"/>
      <c r="I895" s="42"/>
      <c r="J895" s="42"/>
      <c r="K895" s="42"/>
      <c r="L895" s="42"/>
      <c r="M895" s="42"/>
      <c r="N895" s="42"/>
      <c r="O895" s="42"/>
      <c r="P895" s="42"/>
      <c r="Q895" s="42"/>
      <c r="R895" s="42"/>
      <c r="S895" s="42"/>
      <c r="T895" s="42"/>
      <c r="U895" s="42"/>
      <c r="V895" s="42"/>
      <c r="W895" s="42"/>
      <c r="X895" s="42"/>
      <c r="Y895" s="42"/>
      <c r="Z895" s="42"/>
    </row>
    <row r="896">
      <c r="A896" s="133"/>
      <c r="B896" s="134"/>
      <c r="C896" s="63"/>
      <c r="D896" s="63"/>
      <c r="E896" s="135"/>
      <c r="F896" s="42"/>
      <c r="G896" s="42"/>
      <c r="H896" s="42"/>
      <c r="I896" s="42"/>
      <c r="J896" s="42"/>
      <c r="K896" s="42"/>
      <c r="L896" s="42"/>
      <c r="M896" s="42"/>
      <c r="N896" s="42"/>
      <c r="O896" s="42"/>
      <c r="P896" s="42"/>
      <c r="Q896" s="42"/>
      <c r="R896" s="42"/>
      <c r="S896" s="42"/>
      <c r="T896" s="42"/>
      <c r="U896" s="42"/>
      <c r="V896" s="42"/>
      <c r="W896" s="42"/>
      <c r="X896" s="42"/>
      <c r="Y896" s="42"/>
      <c r="Z896" s="42"/>
    </row>
    <row r="897">
      <c r="A897" s="133"/>
      <c r="B897" s="134"/>
      <c r="C897" s="63"/>
      <c r="D897" s="63"/>
      <c r="E897" s="135"/>
      <c r="F897" s="42"/>
      <c r="G897" s="42"/>
      <c r="H897" s="42"/>
      <c r="I897" s="42"/>
      <c r="J897" s="42"/>
      <c r="K897" s="42"/>
      <c r="L897" s="42"/>
      <c r="M897" s="42"/>
      <c r="N897" s="42"/>
      <c r="O897" s="42"/>
      <c r="P897" s="42"/>
      <c r="Q897" s="42"/>
      <c r="R897" s="42"/>
      <c r="S897" s="42"/>
      <c r="T897" s="42"/>
      <c r="U897" s="42"/>
      <c r="V897" s="42"/>
      <c r="W897" s="42"/>
      <c r="X897" s="42"/>
      <c r="Y897" s="42"/>
      <c r="Z897" s="42"/>
    </row>
    <row r="898">
      <c r="A898" s="133"/>
      <c r="B898" s="134"/>
      <c r="C898" s="63"/>
      <c r="D898" s="63"/>
      <c r="E898" s="135"/>
      <c r="F898" s="42"/>
      <c r="G898" s="42"/>
      <c r="H898" s="42"/>
      <c r="I898" s="42"/>
      <c r="J898" s="42"/>
      <c r="K898" s="42"/>
      <c r="L898" s="42"/>
      <c r="M898" s="42"/>
      <c r="N898" s="42"/>
      <c r="O898" s="42"/>
      <c r="P898" s="42"/>
      <c r="Q898" s="42"/>
      <c r="R898" s="42"/>
      <c r="S898" s="42"/>
      <c r="T898" s="42"/>
      <c r="U898" s="42"/>
      <c r="V898" s="42"/>
      <c r="W898" s="42"/>
      <c r="X898" s="42"/>
      <c r="Y898" s="42"/>
      <c r="Z898" s="42"/>
    </row>
    <row r="899">
      <c r="A899" s="133"/>
      <c r="B899" s="134"/>
      <c r="C899" s="63"/>
      <c r="D899" s="63"/>
      <c r="E899" s="135"/>
      <c r="F899" s="42"/>
      <c r="G899" s="42"/>
      <c r="H899" s="42"/>
      <c r="I899" s="42"/>
      <c r="J899" s="42"/>
      <c r="K899" s="42"/>
      <c r="L899" s="42"/>
      <c r="M899" s="42"/>
      <c r="N899" s="42"/>
      <c r="O899" s="42"/>
      <c r="P899" s="42"/>
      <c r="Q899" s="42"/>
      <c r="R899" s="42"/>
      <c r="S899" s="42"/>
      <c r="T899" s="42"/>
      <c r="U899" s="42"/>
      <c r="V899" s="42"/>
      <c r="W899" s="42"/>
      <c r="X899" s="42"/>
      <c r="Y899" s="42"/>
      <c r="Z899" s="42"/>
    </row>
    <row r="900">
      <c r="A900" s="133"/>
      <c r="B900" s="134"/>
      <c r="C900" s="63"/>
      <c r="D900" s="63"/>
      <c r="E900" s="135"/>
      <c r="F900" s="42"/>
      <c r="G900" s="42"/>
      <c r="H900" s="42"/>
      <c r="I900" s="42"/>
      <c r="J900" s="42"/>
      <c r="K900" s="42"/>
      <c r="L900" s="42"/>
      <c r="M900" s="42"/>
      <c r="N900" s="42"/>
      <c r="O900" s="42"/>
      <c r="P900" s="42"/>
      <c r="Q900" s="42"/>
      <c r="R900" s="42"/>
      <c r="S900" s="42"/>
      <c r="T900" s="42"/>
      <c r="U900" s="42"/>
      <c r="V900" s="42"/>
      <c r="W900" s="42"/>
      <c r="X900" s="42"/>
      <c r="Y900" s="42"/>
      <c r="Z900" s="42"/>
    </row>
    <row r="901">
      <c r="A901" s="133"/>
      <c r="B901" s="134"/>
      <c r="C901" s="63"/>
      <c r="D901" s="63"/>
      <c r="E901" s="135"/>
      <c r="F901" s="42"/>
      <c r="G901" s="42"/>
      <c r="H901" s="42"/>
      <c r="I901" s="42"/>
      <c r="J901" s="42"/>
      <c r="K901" s="42"/>
      <c r="L901" s="42"/>
      <c r="M901" s="42"/>
      <c r="N901" s="42"/>
      <c r="O901" s="42"/>
      <c r="P901" s="42"/>
      <c r="Q901" s="42"/>
      <c r="R901" s="42"/>
      <c r="S901" s="42"/>
      <c r="T901" s="42"/>
      <c r="U901" s="42"/>
      <c r="V901" s="42"/>
      <c r="W901" s="42"/>
      <c r="X901" s="42"/>
      <c r="Y901" s="42"/>
      <c r="Z901" s="42"/>
    </row>
    <row r="902">
      <c r="A902" s="133"/>
      <c r="B902" s="134"/>
      <c r="C902" s="63"/>
      <c r="D902" s="63"/>
      <c r="E902" s="135"/>
      <c r="F902" s="42"/>
      <c r="G902" s="42"/>
      <c r="H902" s="42"/>
      <c r="I902" s="42"/>
      <c r="J902" s="42"/>
      <c r="K902" s="42"/>
      <c r="L902" s="42"/>
      <c r="M902" s="42"/>
      <c r="N902" s="42"/>
      <c r="O902" s="42"/>
      <c r="P902" s="42"/>
      <c r="Q902" s="42"/>
      <c r="R902" s="42"/>
      <c r="S902" s="42"/>
      <c r="T902" s="42"/>
      <c r="U902" s="42"/>
      <c r="V902" s="42"/>
      <c r="W902" s="42"/>
      <c r="X902" s="42"/>
      <c r="Y902" s="42"/>
      <c r="Z902" s="42"/>
    </row>
    <row r="903">
      <c r="A903" s="133"/>
      <c r="B903" s="134"/>
      <c r="C903" s="63"/>
      <c r="D903" s="63"/>
      <c r="E903" s="135"/>
      <c r="F903" s="42"/>
      <c r="G903" s="42"/>
      <c r="H903" s="42"/>
      <c r="I903" s="42"/>
      <c r="J903" s="42"/>
      <c r="K903" s="42"/>
      <c r="L903" s="42"/>
      <c r="M903" s="42"/>
      <c r="N903" s="42"/>
      <c r="O903" s="42"/>
      <c r="P903" s="42"/>
      <c r="Q903" s="42"/>
      <c r="R903" s="42"/>
      <c r="S903" s="42"/>
      <c r="T903" s="42"/>
      <c r="U903" s="42"/>
      <c r="V903" s="42"/>
      <c r="W903" s="42"/>
      <c r="X903" s="42"/>
      <c r="Y903" s="42"/>
      <c r="Z903" s="42"/>
    </row>
    <row r="904">
      <c r="A904" s="133"/>
      <c r="B904" s="134"/>
      <c r="C904" s="63"/>
      <c r="D904" s="63"/>
      <c r="E904" s="135"/>
      <c r="F904" s="42"/>
      <c r="G904" s="42"/>
      <c r="H904" s="42"/>
      <c r="I904" s="42"/>
      <c r="J904" s="42"/>
      <c r="K904" s="42"/>
      <c r="L904" s="42"/>
      <c r="M904" s="42"/>
      <c r="N904" s="42"/>
      <c r="O904" s="42"/>
      <c r="P904" s="42"/>
      <c r="Q904" s="42"/>
      <c r="R904" s="42"/>
      <c r="S904" s="42"/>
      <c r="T904" s="42"/>
      <c r="U904" s="42"/>
      <c r="V904" s="42"/>
      <c r="W904" s="42"/>
      <c r="X904" s="42"/>
      <c r="Y904" s="42"/>
      <c r="Z904" s="42"/>
    </row>
    <row r="905">
      <c r="A905" s="133"/>
      <c r="B905" s="134"/>
      <c r="C905" s="63"/>
      <c r="D905" s="63"/>
      <c r="E905" s="135"/>
      <c r="F905" s="42"/>
      <c r="G905" s="42"/>
      <c r="H905" s="42"/>
      <c r="I905" s="42"/>
      <c r="J905" s="42"/>
      <c r="K905" s="42"/>
      <c r="L905" s="42"/>
      <c r="M905" s="42"/>
      <c r="N905" s="42"/>
      <c r="O905" s="42"/>
      <c r="P905" s="42"/>
      <c r="Q905" s="42"/>
      <c r="R905" s="42"/>
      <c r="S905" s="42"/>
      <c r="T905" s="42"/>
      <c r="U905" s="42"/>
      <c r="V905" s="42"/>
      <c r="W905" s="42"/>
      <c r="X905" s="42"/>
      <c r="Y905" s="42"/>
      <c r="Z905" s="42"/>
    </row>
    <row r="906">
      <c r="A906" s="133"/>
      <c r="B906" s="134"/>
      <c r="C906" s="63"/>
      <c r="D906" s="63"/>
      <c r="E906" s="135"/>
      <c r="F906" s="42"/>
      <c r="G906" s="42"/>
      <c r="H906" s="42"/>
      <c r="I906" s="42"/>
      <c r="J906" s="42"/>
      <c r="K906" s="42"/>
      <c r="L906" s="42"/>
      <c r="M906" s="42"/>
      <c r="N906" s="42"/>
      <c r="O906" s="42"/>
      <c r="P906" s="42"/>
      <c r="Q906" s="42"/>
      <c r="R906" s="42"/>
      <c r="S906" s="42"/>
      <c r="T906" s="42"/>
      <c r="U906" s="42"/>
      <c r="V906" s="42"/>
      <c r="W906" s="42"/>
      <c r="X906" s="42"/>
      <c r="Y906" s="42"/>
      <c r="Z906" s="42"/>
    </row>
    <row r="907">
      <c r="A907" s="133"/>
      <c r="B907" s="134"/>
      <c r="C907" s="63"/>
      <c r="D907" s="63"/>
      <c r="E907" s="135"/>
      <c r="F907" s="42"/>
      <c r="G907" s="42"/>
      <c r="H907" s="42"/>
      <c r="I907" s="42"/>
      <c r="J907" s="42"/>
      <c r="K907" s="42"/>
      <c r="L907" s="42"/>
      <c r="M907" s="42"/>
      <c r="N907" s="42"/>
      <c r="O907" s="42"/>
      <c r="P907" s="42"/>
      <c r="Q907" s="42"/>
      <c r="R907" s="42"/>
      <c r="S907" s="42"/>
      <c r="T907" s="42"/>
      <c r="U907" s="42"/>
      <c r="V907" s="42"/>
      <c r="W907" s="42"/>
      <c r="X907" s="42"/>
      <c r="Y907" s="42"/>
      <c r="Z907" s="42"/>
    </row>
    <row r="908">
      <c r="A908" s="133"/>
      <c r="B908" s="134"/>
      <c r="C908" s="63"/>
      <c r="D908" s="63"/>
      <c r="E908" s="135"/>
      <c r="F908" s="42"/>
      <c r="G908" s="42"/>
      <c r="H908" s="42"/>
      <c r="I908" s="42"/>
      <c r="J908" s="42"/>
      <c r="K908" s="42"/>
      <c r="L908" s="42"/>
      <c r="M908" s="42"/>
      <c r="N908" s="42"/>
      <c r="O908" s="42"/>
      <c r="P908" s="42"/>
      <c r="Q908" s="42"/>
      <c r="R908" s="42"/>
      <c r="S908" s="42"/>
      <c r="T908" s="42"/>
      <c r="U908" s="42"/>
      <c r="V908" s="42"/>
      <c r="W908" s="42"/>
      <c r="X908" s="42"/>
      <c r="Y908" s="42"/>
      <c r="Z908" s="42"/>
    </row>
    <row r="909">
      <c r="A909" s="133"/>
      <c r="B909" s="134"/>
      <c r="C909" s="63"/>
      <c r="D909" s="63"/>
      <c r="E909" s="135"/>
      <c r="F909" s="42"/>
      <c r="G909" s="42"/>
      <c r="H909" s="42"/>
      <c r="I909" s="42"/>
      <c r="J909" s="42"/>
      <c r="K909" s="42"/>
      <c r="L909" s="42"/>
      <c r="M909" s="42"/>
      <c r="N909" s="42"/>
      <c r="O909" s="42"/>
      <c r="P909" s="42"/>
      <c r="Q909" s="42"/>
      <c r="R909" s="42"/>
      <c r="S909" s="42"/>
      <c r="T909" s="42"/>
      <c r="U909" s="42"/>
      <c r="V909" s="42"/>
      <c r="W909" s="42"/>
      <c r="X909" s="42"/>
      <c r="Y909" s="42"/>
      <c r="Z909" s="42"/>
    </row>
    <row r="910">
      <c r="A910" s="133"/>
      <c r="B910" s="134"/>
      <c r="C910" s="63"/>
      <c r="D910" s="63"/>
      <c r="E910" s="135"/>
      <c r="F910" s="42"/>
      <c r="G910" s="42"/>
      <c r="H910" s="42"/>
      <c r="I910" s="42"/>
      <c r="J910" s="42"/>
      <c r="K910" s="42"/>
      <c r="L910" s="42"/>
      <c r="M910" s="42"/>
      <c r="N910" s="42"/>
      <c r="O910" s="42"/>
      <c r="P910" s="42"/>
      <c r="Q910" s="42"/>
      <c r="R910" s="42"/>
      <c r="S910" s="42"/>
      <c r="T910" s="42"/>
      <c r="U910" s="42"/>
      <c r="V910" s="42"/>
      <c r="W910" s="42"/>
      <c r="X910" s="42"/>
      <c r="Y910" s="42"/>
      <c r="Z910" s="42"/>
    </row>
    <row r="911">
      <c r="A911" s="133"/>
      <c r="B911" s="134"/>
      <c r="C911" s="63"/>
      <c r="D911" s="63"/>
      <c r="E911" s="135"/>
      <c r="F911" s="42"/>
      <c r="G911" s="42"/>
      <c r="H911" s="42"/>
      <c r="I911" s="42"/>
      <c r="J911" s="42"/>
      <c r="K911" s="42"/>
      <c r="L911" s="42"/>
      <c r="M911" s="42"/>
      <c r="N911" s="42"/>
      <c r="O911" s="42"/>
      <c r="P911" s="42"/>
      <c r="Q911" s="42"/>
      <c r="R911" s="42"/>
      <c r="S911" s="42"/>
      <c r="T911" s="42"/>
      <c r="U911" s="42"/>
      <c r="V911" s="42"/>
      <c r="W911" s="42"/>
      <c r="X911" s="42"/>
      <c r="Y911" s="42"/>
      <c r="Z911" s="42"/>
    </row>
    <row r="912">
      <c r="A912" s="133"/>
      <c r="B912" s="134"/>
      <c r="C912" s="63"/>
      <c r="D912" s="63"/>
      <c r="E912" s="135"/>
      <c r="F912" s="42"/>
      <c r="G912" s="42"/>
      <c r="H912" s="42"/>
      <c r="I912" s="42"/>
      <c r="J912" s="42"/>
      <c r="K912" s="42"/>
      <c r="L912" s="42"/>
      <c r="M912" s="42"/>
      <c r="N912" s="42"/>
      <c r="O912" s="42"/>
      <c r="P912" s="42"/>
      <c r="Q912" s="42"/>
      <c r="R912" s="42"/>
      <c r="S912" s="42"/>
      <c r="T912" s="42"/>
      <c r="U912" s="42"/>
      <c r="V912" s="42"/>
      <c r="W912" s="42"/>
      <c r="X912" s="42"/>
      <c r="Y912" s="42"/>
      <c r="Z912" s="42"/>
    </row>
    <row r="913">
      <c r="A913" s="133"/>
      <c r="B913" s="134"/>
      <c r="C913" s="63"/>
      <c r="D913" s="63"/>
      <c r="E913" s="135"/>
      <c r="F913" s="42"/>
      <c r="G913" s="42"/>
      <c r="H913" s="42"/>
      <c r="I913" s="42"/>
      <c r="J913" s="42"/>
      <c r="K913" s="42"/>
      <c r="L913" s="42"/>
      <c r="M913" s="42"/>
      <c r="N913" s="42"/>
      <c r="O913" s="42"/>
      <c r="P913" s="42"/>
      <c r="Q913" s="42"/>
      <c r="R913" s="42"/>
      <c r="S913" s="42"/>
      <c r="T913" s="42"/>
      <c r="U913" s="42"/>
      <c r="V913" s="42"/>
      <c r="W913" s="42"/>
      <c r="X913" s="42"/>
      <c r="Y913" s="42"/>
      <c r="Z913" s="42"/>
    </row>
    <row r="914">
      <c r="A914" s="133"/>
      <c r="B914" s="134"/>
      <c r="C914" s="63"/>
      <c r="D914" s="63"/>
      <c r="E914" s="135"/>
      <c r="F914" s="42"/>
      <c r="G914" s="42"/>
      <c r="H914" s="42"/>
      <c r="I914" s="42"/>
      <c r="J914" s="42"/>
      <c r="K914" s="42"/>
      <c r="L914" s="42"/>
      <c r="M914" s="42"/>
      <c r="N914" s="42"/>
      <c r="O914" s="42"/>
      <c r="P914" s="42"/>
      <c r="Q914" s="42"/>
      <c r="R914" s="42"/>
      <c r="S914" s="42"/>
      <c r="T914" s="42"/>
      <c r="U914" s="42"/>
      <c r="V914" s="42"/>
      <c r="W914" s="42"/>
      <c r="X914" s="42"/>
      <c r="Y914" s="42"/>
      <c r="Z914" s="42"/>
    </row>
    <row r="915">
      <c r="A915" s="133"/>
      <c r="B915" s="134"/>
      <c r="C915" s="63"/>
      <c r="D915" s="63"/>
      <c r="E915" s="135"/>
      <c r="F915" s="42"/>
      <c r="G915" s="42"/>
      <c r="H915" s="42"/>
      <c r="I915" s="42"/>
      <c r="J915" s="42"/>
      <c r="K915" s="42"/>
      <c r="L915" s="42"/>
      <c r="M915" s="42"/>
      <c r="N915" s="42"/>
      <c r="O915" s="42"/>
      <c r="P915" s="42"/>
      <c r="Q915" s="42"/>
      <c r="R915" s="42"/>
      <c r="S915" s="42"/>
      <c r="T915" s="42"/>
      <c r="U915" s="42"/>
      <c r="V915" s="42"/>
      <c r="W915" s="42"/>
      <c r="X915" s="42"/>
      <c r="Y915" s="42"/>
      <c r="Z915" s="42"/>
    </row>
    <row r="916">
      <c r="A916" s="133"/>
      <c r="B916" s="134"/>
      <c r="C916" s="63"/>
      <c r="D916" s="63"/>
      <c r="E916" s="135"/>
      <c r="F916" s="42"/>
      <c r="G916" s="42"/>
      <c r="H916" s="42"/>
      <c r="I916" s="42"/>
      <c r="J916" s="42"/>
      <c r="K916" s="42"/>
      <c r="L916" s="42"/>
      <c r="M916" s="42"/>
      <c r="N916" s="42"/>
      <c r="O916" s="42"/>
      <c r="P916" s="42"/>
      <c r="Q916" s="42"/>
      <c r="R916" s="42"/>
      <c r="S916" s="42"/>
      <c r="T916" s="42"/>
      <c r="U916" s="42"/>
      <c r="V916" s="42"/>
      <c r="W916" s="42"/>
      <c r="X916" s="42"/>
      <c r="Y916" s="42"/>
      <c r="Z916" s="42"/>
    </row>
    <row r="917">
      <c r="A917" s="133"/>
      <c r="B917" s="134"/>
      <c r="C917" s="63"/>
      <c r="D917" s="63"/>
      <c r="E917" s="135"/>
      <c r="F917" s="42"/>
      <c r="G917" s="42"/>
      <c r="H917" s="42"/>
      <c r="I917" s="42"/>
      <c r="J917" s="42"/>
      <c r="K917" s="42"/>
      <c r="L917" s="42"/>
      <c r="M917" s="42"/>
      <c r="N917" s="42"/>
      <c r="O917" s="42"/>
      <c r="P917" s="42"/>
      <c r="Q917" s="42"/>
      <c r="R917" s="42"/>
      <c r="S917" s="42"/>
      <c r="T917" s="42"/>
      <c r="U917" s="42"/>
      <c r="V917" s="42"/>
      <c r="W917" s="42"/>
      <c r="X917" s="42"/>
      <c r="Y917" s="42"/>
      <c r="Z917" s="42"/>
    </row>
    <row r="918">
      <c r="A918" s="133"/>
      <c r="B918" s="134"/>
      <c r="C918" s="63"/>
      <c r="D918" s="63"/>
      <c r="E918" s="135"/>
      <c r="F918" s="42"/>
      <c r="G918" s="42"/>
      <c r="H918" s="42"/>
      <c r="I918" s="42"/>
      <c r="J918" s="42"/>
      <c r="K918" s="42"/>
      <c r="L918" s="42"/>
      <c r="M918" s="42"/>
      <c r="N918" s="42"/>
      <c r="O918" s="42"/>
      <c r="P918" s="42"/>
      <c r="Q918" s="42"/>
      <c r="R918" s="42"/>
      <c r="S918" s="42"/>
      <c r="T918" s="42"/>
      <c r="U918" s="42"/>
      <c r="V918" s="42"/>
      <c r="W918" s="42"/>
      <c r="X918" s="42"/>
      <c r="Y918" s="42"/>
      <c r="Z918" s="42"/>
    </row>
    <row r="919">
      <c r="A919" s="133"/>
      <c r="B919" s="134"/>
      <c r="C919" s="63"/>
      <c r="D919" s="63"/>
      <c r="E919" s="135"/>
      <c r="F919" s="42"/>
      <c r="G919" s="42"/>
      <c r="H919" s="42"/>
      <c r="I919" s="42"/>
      <c r="J919" s="42"/>
      <c r="K919" s="42"/>
      <c r="L919" s="42"/>
      <c r="M919" s="42"/>
      <c r="N919" s="42"/>
      <c r="O919" s="42"/>
      <c r="P919" s="42"/>
      <c r="Q919" s="42"/>
      <c r="R919" s="42"/>
      <c r="S919" s="42"/>
      <c r="T919" s="42"/>
      <c r="U919" s="42"/>
      <c r="V919" s="42"/>
      <c r="W919" s="42"/>
      <c r="X919" s="42"/>
      <c r="Y919" s="42"/>
      <c r="Z919" s="42"/>
    </row>
    <row r="920">
      <c r="A920" s="133"/>
      <c r="B920" s="134"/>
      <c r="C920" s="63"/>
      <c r="D920" s="63"/>
      <c r="E920" s="135"/>
      <c r="F920" s="42"/>
      <c r="G920" s="42"/>
      <c r="H920" s="42"/>
      <c r="I920" s="42"/>
      <c r="J920" s="42"/>
      <c r="K920" s="42"/>
      <c r="L920" s="42"/>
      <c r="M920" s="42"/>
      <c r="N920" s="42"/>
      <c r="O920" s="42"/>
      <c r="P920" s="42"/>
      <c r="Q920" s="42"/>
      <c r="R920" s="42"/>
      <c r="S920" s="42"/>
      <c r="T920" s="42"/>
      <c r="U920" s="42"/>
      <c r="V920" s="42"/>
      <c r="W920" s="42"/>
      <c r="X920" s="42"/>
      <c r="Y920" s="42"/>
      <c r="Z920" s="42"/>
    </row>
    <row r="921">
      <c r="A921" s="133"/>
      <c r="B921" s="134"/>
      <c r="C921" s="63"/>
      <c r="D921" s="63"/>
      <c r="E921" s="135"/>
      <c r="F921" s="42"/>
      <c r="G921" s="42"/>
      <c r="H921" s="42"/>
      <c r="I921" s="42"/>
      <c r="J921" s="42"/>
      <c r="K921" s="42"/>
      <c r="L921" s="42"/>
      <c r="M921" s="42"/>
      <c r="N921" s="42"/>
      <c r="O921" s="42"/>
      <c r="P921" s="42"/>
      <c r="Q921" s="42"/>
      <c r="R921" s="42"/>
      <c r="S921" s="42"/>
      <c r="T921" s="42"/>
      <c r="U921" s="42"/>
      <c r="V921" s="42"/>
      <c r="W921" s="42"/>
      <c r="X921" s="42"/>
      <c r="Y921" s="42"/>
      <c r="Z921" s="42"/>
    </row>
    <row r="922">
      <c r="A922" s="133"/>
      <c r="B922" s="134"/>
      <c r="C922" s="63"/>
      <c r="D922" s="63"/>
      <c r="E922" s="135"/>
      <c r="F922" s="42"/>
      <c r="G922" s="42"/>
      <c r="H922" s="42"/>
      <c r="I922" s="42"/>
      <c r="J922" s="42"/>
      <c r="K922" s="42"/>
      <c r="L922" s="42"/>
      <c r="M922" s="42"/>
      <c r="N922" s="42"/>
      <c r="O922" s="42"/>
      <c r="P922" s="42"/>
      <c r="Q922" s="42"/>
      <c r="R922" s="42"/>
      <c r="S922" s="42"/>
      <c r="T922" s="42"/>
      <c r="U922" s="42"/>
      <c r="V922" s="42"/>
      <c r="W922" s="42"/>
      <c r="X922" s="42"/>
      <c r="Y922" s="42"/>
      <c r="Z922" s="42"/>
    </row>
    <row r="923">
      <c r="A923" s="133"/>
      <c r="B923" s="134"/>
      <c r="C923" s="63"/>
      <c r="D923" s="63"/>
      <c r="E923" s="135"/>
      <c r="F923" s="42"/>
      <c r="G923" s="42"/>
      <c r="H923" s="42"/>
      <c r="I923" s="42"/>
      <c r="J923" s="42"/>
      <c r="K923" s="42"/>
      <c r="L923" s="42"/>
      <c r="M923" s="42"/>
      <c r="N923" s="42"/>
      <c r="O923" s="42"/>
      <c r="P923" s="42"/>
      <c r="Q923" s="42"/>
      <c r="R923" s="42"/>
      <c r="S923" s="42"/>
      <c r="T923" s="42"/>
      <c r="U923" s="42"/>
      <c r="V923" s="42"/>
      <c r="W923" s="42"/>
      <c r="X923" s="42"/>
      <c r="Y923" s="42"/>
      <c r="Z923" s="42"/>
    </row>
    <row r="924">
      <c r="A924" s="133"/>
      <c r="B924" s="134"/>
      <c r="C924" s="63"/>
      <c r="D924" s="63"/>
      <c r="E924" s="135"/>
      <c r="F924" s="42"/>
      <c r="G924" s="42"/>
      <c r="H924" s="42"/>
      <c r="I924" s="42"/>
      <c r="J924" s="42"/>
      <c r="K924" s="42"/>
      <c r="L924" s="42"/>
      <c r="M924" s="42"/>
      <c r="N924" s="42"/>
      <c r="O924" s="42"/>
      <c r="P924" s="42"/>
      <c r="Q924" s="42"/>
      <c r="R924" s="42"/>
      <c r="S924" s="42"/>
      <c r="T924" s="42"/>
      <c r="U924" s="42"/>
      <c r="V924" s="42"/>
      <c r="W924" s="42"/>
      <c r="X924" s="42"/>
      <c r="Y924" s="42"/>
      <c r="Z924" s="42"/>
    </row>
    <row r="925">
      <c r="A925" s="133"/>
      <c r="B925" s="134"/>
      <c r="C925" s="63"/>
      <c r="D925" s="63"/>
      <c r="E925" s="135"/>
      <c r="F925" s="42"/>
      <c r="G925" s="42"/>
      <c r="H925" s="42"/>
      <c r="I925" s="42"/>
      <c r="J925" s="42"/>
      <c r="K925" s="42"/>
      <c r="L925" s="42"/>
      <c r="M925" s="42"/>
      <c r="N925" s="42"/>
      <c r="O925" s="42"/>
      <c r="P925" s="42"/>
      <c r="Q925" s="42"/>
      <c r="R925" s="42"/>
      <c r="S925" s="42"/>
      <c r="T925" s="42"/>
      <c r="U925" s="42"/>
      <c r="V925" s="42"/>
      <c r="W925" s="42"/>
      <c r="X925" s="42"/>
      <c r="Y925" s="42"/>
      <c r="Z925" s="42"/>
    </row>
    <row r="926">
      <c r="A926" s="133"/>
      <c r="B926" s="134"/>
      <c r="C926" s="63"/>
      <c r="D926" s="63"/>
      <c r="E926" s="135"/>
      <c r="F926" s="42"/>
      <c r="G926" s="42"/>
      <c r="H926" s="42"/>
      <c r="I926" s="42"/>
      <c r="J926" s="42"/>
      <c r="K926" s="42"/>
      <c r="L926" s="42"/>
      <c r="M926" s="42"/>
      <c r="N926" s="42"/>
      <c r="O926" s="42"/>
      <c r="P926" s="42"/>
      <c r="Q926" s="42"/>
      <c r="R926" s="42"/>
      <c r="S926" s="42"/>
      <c r="T926" s="42"/>
      <c r="U926" s="42"/>
      <c r="V926" s="42"/>
      <c r="W926" s="42"/>
      <c r="X926" s="42"/>
      <c r="Y926" s="42"/>
      <c r="Z926" s="42"/>
    </row>
    <row r="927">
      <c r="A927" s="133"/>
      <c r="B927" s="134"/>
      <c r="C927" s="63"/>
      <c r="D927" s="63"/>
      <c r="E927" s="135"/>
      <c r="F927" s="42"/>
      <c r="G927" s="42"/>
      <c r="H927" s="42"/>
      <c r="I927" s="42"/>
      <c r="J927" s="42"/>
      <c r="K927" s="42"/>
      <c r="L927" s="42"/>
      <c r="M927" s="42"/>
      <c r="N927" s="42"/>
      <c r="O927" s="42"/>
      <c r="P927" s="42"/>
      <c r="Q927" s="42"/>
      <c r="R927" s="42"/>
      <c r="S927" s="42"/>
      <c r="T927" s="42"/>
      <c r="U927" s="42"/>
      <c r="V927" s="42"/>
      <c r="W927" s="42"/>
      <c r="X927" s="42"/>
      <c r="Y927" s="42"/>
      <c r="Z927" s="42"/>
    </row>
    <row r="928">
      <c r="A928" s="133"/>
      <c r="B928" s="134"/>
      <c r="C928" s="63"/>
      <c r="D928" s="63"/>
      <c r="E928" s="135"/>
      <c r="F928" s="42"/>
      <c r="G928" s="42"/>
      <c r="H928" s="42"/>
      <c r="I928" s="42"/>
      <c r="J928" s="42"/>
      <c r="K928" s="42"/>
      <c r="L928" s="42"/>
      <c r="M928" s="42"/>
      <c r="N928" s="42"/>
      <c r="O928" s="42"/>
      <c r="P928" s="42"/>
      <c r="Q928" s="42"/>
      <c r="R928" s="42"/>
      <c r="S928" s="42"/>
      <c r="T928" s="42"/>
      <c r="U928" s="42"/>
      <c r="V928" s="42"/>
      <c r="W928" s="42"/>
      <c r="X928" s="42"/>
      <c r="Y928" s="42"/>
      <c r="Z928" s="42"/>
    </row>
    <row r="929">
      <c r="A929" s="133"/>
      <c r="B929" s="134"/>
      <c r="C929" s="63"/>
      <c r="D929" s="63"/>
      <c r="E929" s="135"/>
      <c r="F929" s="42"/>
      <c r="G929" s="42"/>
      <c r="H929" s="42"/>
      <c r="I929" s="42"/>
      <c r="J929" s="42"/>
      <c r="K929" s="42"/>
      <c r="L929" s="42"/>
      <c r="M929" s="42"/>
      <c r="N929" s="42"/>
      <c r="O929" s="42"/>
      <c r="P929" s="42"/>
      <c r="Q929" s="42"/>
      <c r="R929" s="42"/>
      <c r="S929" s="42"/>
      <c r="T929" s="42"/>
      <c r="U929" s="42"/>
      <c r="V929" s="42"/>
      <c r="W929" s="42"/>
      <c r="X929" s="42"/>
      <c r="Y929" s="42"/>
      <c r="Z929" s="42"/>
    </row>
    <row r="930">
      <c r="A930" s="133"/>
      <c r="B930" s="134"/>
      <c r="C930" s="63"/>
      <c r="D930" s="63"/>
      <c r="E930" s="135"/>
      <c r="F930" s="42"/>
      <c r="G930" s="42"/>
      <c r="H930" s="42"/>
      <c r="I930" s="42"/>
      <c r="J930" s="42"/>
      <c r="K930" s="42"/>
      <c r="L930" s="42"/>
      <c r="M930" s="42"/>
      <c r="N930" s="42"/>
      <c r="O930" s="42"/>
      <c r="P930" s="42"/>
      <c r="Q930" s="42"/>
      <c r="R930" s="42"/>
      <c r="S930" s="42"/>
      <c r="T930" s="42"/>
      <c r="U930" s="42"/>
      <c r="V930" s="42"/>
      <c r="W930" s="42"/>
      <c r="X930" s="42"/>
      <c r="Y930" s="42"/>
      <c r="Z930" s="42"/>
    </row>
    <row r="931">
      <c r="A931" s="133"/>
      <c r="B931" s="134"/>
      <c r="C931" s="63"/>
      <c r="D931" s="63"/>
      <c r="E931" s="135"/>
      <c r="F931" s="42"/>
      <c r="G931" s="42"/>
      <c r="H931" s="42"/>
      <c r="I931" s="42"/>
      <c r="J931" s="42"/>
      <c r="K931" s="42"/>
      <c r="L931" s="42"/>
      <c r="M931" s="42"/>
      <c r="N931" s="42"/>
      <c r="O931" s="42"/>
      <c r="P931" s="42"/>
      <c r="Q931" s="42"/>
      <c r="R931" s="42"/>
      <c r="S931" s="42"/>
      <c r="T931" s="42"/>
      <c r="U931" s="42"/>
      <c r="V931" s="42"/>
      <c r="W931" s="42"/>
      <c r="X931" s="42"/>
      <c r="Y931" s="42"/>
      <c r="Z931" s="42"/>
    </row>
    <row r="932">
      <c r="A932" s="133"/>
      <c r="B932" s="134"/>
      <c r="C932" s="63"/>
      <c r="D932" s="63"/>
      <c r="E932" s="135"/>
      <c r="F932" s="42"/>
      <c r="G932" s="42"/>
      <c r="H932" s="42"/>
      <c r="I932" s="42"/>
      <c r="J932" s="42"/>
      <c r="K932" s="42"/>
      <c r="L932" s="42"/>
      <c r="M932" s="42"/>
      <c r="N932" s="42"/>
      <c r="O932" s="42"/>
      <c r="P932" s="42"/>
      <c r="Q932" s="42"/>
      <c r="R932" s="42"/>
      <c r="S932" s="42"/>
      <c r="T932" s="42"/>
      <c r="U932" s="42"/>
      <c r="V932" s="42"/>
      <c r="W932" s="42"/>
      <c r="X932" s="42"/>
      <c r="Y932" s="42"/>
      <c r="Z932" s="42"/>
    </row>
    <row r="933">
      <c r="A933" s="133"/>
      <c r="B933" s="134"/>
      <c r="C933" s="63"/>
      <c r="D933" s="63"/>
      <c r="E933" s="135"/>
      <c r="F933" s="42"/>
      <c r="G933" s="42"/>
      <c r="H933" s="42"/>
      <c r="I933" s="42"/>
      <c r="J933" s="42"/>
      <c r="K933" s="42"/>
      <c r="L933" s="42"/>
      <c r="M933" s="42"/>
      <c r="N933" s="42"/>
      <c r="O933" s="42"/>
      <c r="P933" s="42"/>
      <c r="Q933" s="42"/>
      <c r="R933" s="42"/>
      <c r="S933" s="42"/>
      <c r="T933" s="42"/>
      <c r="U933" s="42"/>
      <c r="V933" s="42"/>
      <c r="W933" s="42"/>
      <c r="X933" s="42"/>
      <c r="Y933" s="42"/>
      <c r="Z933" s="42"/>
    </row>
    <row r="934">
      <c r="A934" s="133"/>
      <c r="B934" s="134"/>
      <c r="C934" s="63"/>
      <c r="D934" s="63"/>
      <c r="E934" s="135"/>
      <c r="F934" s="42"/>
      <c r="G934" s="42"/>
      <c r="H934" s="42"/>
      <c r="I934" s="42"/>
      <c r="J934" s="42"/>
      <c r="K934" s="42"/>
      <c r="L934" s="42"/>
      <c r="M934" s="42"/>
      <c r="N934" s="42"/>
      <c r="O934" s="42"/>
      <c r="P934" s="42"/>
      <c r="Q934" s="42"/>
      <c r="R934" s="42"/>
      <c r="S934" s="42"/>
      <c r="T934" s="42"/>
      <c r="U934" s="42"/>
      <c r="V934" s="42"/>
      <c r="W934" s="42"/>
      <c r="X934" s="42"/>
      <c r="Y934" s="42"/>
      <c r="Z934" s="42"/>
    </row>
    <row r="935">
      <c r="A935" s="133"/>
      <c r="B935" s="134"/>
      <c r="C935" s="63"/>
      <c r="D935" s="63"/>
      <c r="E935" s="135"/>
      <c r="F935" s="42"/>
      <c r="G935" s="42"/>
      <c r="H935" s="42"/>
      <c r="I935" s="42"/>
      <c r="J935" s="42"/>
      <c r="K935" s="42"/>
      <c r="L935" s="42"/>
      <c r="M935" s="42"/>
      <c r="N935" s="42"/>
      <c r="O935" s="42"/>
      <c r="P935" s="42"/>
      <c r="Q935" s="42"/>
      <c r="R935" s="42"/>
      <c r="S935" s="42"/>
      <c r="T935" s="42"/>
      <c r="U935" s="42"/>
      <c r="V935" s="42"/>
      <c r="W935" s="42"/>
      <c r="X935" s="42"/>
      <c r="Y935" s="42"/>
      <c r="Z935" s="42"/>
    </row>
    <row r="936">
      <c r="A936" s="133"/>
      <c r="B936" s="134"/>
      <c r="C936" s="63"/>
      <c r="D936" s="63"/>
      <c r="E936" s="135"/>
      <c r="F936" s="42"/>
      <c r="G936" s="42"/>
      <c r="H936" s="42"/>
      <c r="I936" s="42"/>
      <c r="J936" s="42"/>
      <c r="K936" s="42"/>
      <c r="L936" s="42"/>
      <c r="M936" s="42"/>
      <c r="N936" s="42"/>
      <c r="O936" s="42"/>
      <c r="P936" s="42"/>
      <c r="Q936" s="42"/>
      <c r="R936" s="42"/>
      <c r="S936" s="42"/>
      <c r="T936" s="42"/>
      <c r="U936" s="42"/>
      <c r="V936" s="42"/>
      <c r="W936" s="42"/>
      <c r="X936" s="42"/>
      <c r="Y936" s="42"/>
      <c r="Z936" s="42"/>
    </row>
    <row r="937">
      <c r="A937" s="133"/>
      <c r="B937" s="134"/>
      <c r="C937" s="63"/>
      <c r="D937" s="63"/>
      <c r="E937" s="135"/>
      <c r="F937" s="42"/>
      <c r="G937" s="42"/>
      <c r="H937" s="42"/>
      <c r="I937" s="42"/>
      <c r="J937" s="42"/>
      <c r="K937" s="42"/>
      <c r="L937" s="42"/>
      <c r="M937" s="42"/>
      <c r="N937" s="42"/>
      <c r="O937" s="42"/>
      <c r="P937" s="42"/>
      <c r="Q937" s="42"/>
      <c r="R937" s="42"/>
      <c r="S937" s="42"/>
      <c r="T937" s="42"/>
      <c r="U937" s="42"/>
      <c r="V937" s="42"/>
      <c r="W937" s="42"/>
      <c r="X937" s="42"/>
      <c r="Y937" s="42"/>
      <c r="Z937" s="42"/>
    </row>
    <row r="938">
      <c r="A938" s="133"/>
      <c r="B938" s="134"/>
      <c r="C938" s="63"/>
      <c r="D938" s="63"/>
      <c r="E938" s="135"/>
      <c r="F938" s="42"/>
      <c r="G938" s="42"/>
      <c r="H938" s="42"/>
      <c r="I938" s="42"/>
      <c r="J938" s="42"/>
      <c r="K938" s="42"/>
      <c r="L938" s="42"/>
      <c r="M938" s="42"/>
      <c r="N938" s="42"/>
      <c r="O938" s="42"/>
      <c r="P938" s="42"/>
      <c r="Q938" s="42"/>
      <c r="R938" s="42"/>
      <c r="S938" s="42"/>
      <c r="T938" s="42"/>
      <c r="U938" s="42"/>
      <c r="V938" s="42"/>
      <c r="W938" s="42"/>
      <c r="X938" s="42"/>
      <c r="Y938" s="42"/>
      <c r="Z938" s="42"/>
    </row>
    <row r="939">
      <c r="A939" s="133"/>
      <c r="B939" s="134"/>
      <c r="C939" s="63"/>
      <c r="D939" s="63"/>
      <c r="E939" s="135"/>
      <c r="F939" s="42"/>
      <c r="G939" s="42"/>
      <c r="H939" s="42"/>
      <c r="I939" s="42"/>
      <c r="J939" s="42"/>
      <c r="K939" s="42"/>
      <c r="L939" s="42"/>
      <c r="M939" s="42"/>
      <c r="N939" s="42"/>
      <c r="O939" s="42"/>
      <c r="P939" s="42"/>
      <c r="Q939" s="42"/>
      <c r="R939" s="42"/>
      <c r="S939" s="42"/>
      <c r="T939" s="42"/>
      <c r="U939" s="42"/>
      <c r="V939" s="42"/>
      <c r="W939" s="42"/>
      <c r="X939" s="42"/>
      <c r="Y939" s="42"/>
      <c r="Z939" s="42"/>
    </row>
    <row r="940">
      <c r="A940" s="133"/>
      <c r="B940" s="134"/>
      <c r="C940" s="63"/>
      <c r="D940" s="63"/>
      <c r="E940" s="135"/>
      <c r="F940" s="42"/>
      <c r="G940" s="42"/>
      <c r="H940" s="42"/>
      <c r="I940" s="42"/>
      <c r="J940" s="42"/>
      <c r="K940" s="42"/>
      <c r="L940" s="42"/>
      <c r="M940" s="42"/>
      <c r="N940" s="42"/>
      <c r="O940" s="42"/>
      <c r="P940" s="42"/>
      <c r="Q940" s="42"/>
      <c r="R940" s="42"/>
      <c r="S940" s="42"/>
      <c r="T940" s="42"/>
      <c r="U940" s="42"/>
      <c r="V940" s="42"/>
      <c r="W940" s="42"/>
      <c r="X940" s="42"/>
      <c r="Y940" s="42"/>
      <c r="Z940" s="42"/>
    </row>
    <row r="941">
      <c r="A941" s="133"/>
      <c r="B941" s="134"/>
      <c r="C941" s="63"/>
      <c r="D941" s="63"/>
      <c r="E941" s="135"/>
      <c r="F941" s="42"/>
      <c r="G941" s="42"/>
      <c r="H941" s="42"/>
      <c r="I941" s="42"/>
      <c r="J941" s="42"/>
      <c r="K941" s="42"/>
      <c r="L941" s="42"/>
      <c r="M941" s="42"/>
      <c r="N941" s="42"/>
      <c r="O941" s="42"/>
      <c r="P941" s="42"/>
      <c r="Q941" s="42"/>
      <c r="R941" s="42"/>
      <c r="S941" s="42"/>
      <c r="T941" s="42"/>
      <c r="U941" s="42"/>
      <c r="V941" s="42"/>
      <c r="W941" s="42"/>
      <c r="X941" s="42"/>
      <c r="Y941" s="42"/>
      <c r="Z941" s="42"/>
    </row>
    <row r="942">
      <c r="A942" s="133"/>
      <c r="B942" s="134"/>
      <c r="C942" s="63"/>
      <c r="D942" s="63"/>
      <c r="E942" s="135"/>
      <c r="F942" s="42"/>
      <c r="G942" s="42"/>
      <c r="H942" s="42"/>
      <c r="I942" s="42"/>
      <c r="J942" s="42"/>
      <c r="K942" s="42"/>
      <c r="L942" s="42"/>
      <c r="M942" s="42"/>
      <c r="N942" s="42"/>
      <c r="O942" s="42"/>
      <c r="P942" s="42"/>
      <c r="Q942" s="42"/>
      <c r="R942" s="42"/>
      <c r="S942" s="42"/>
      <c r="T942" s="42"/>
      <c r="U942" s="42"/>
      <c r="V942" s="42"/>
      <c r="W942" s="42"/>
      <c r="X942" s="42"/>
      <c r="Y942" s="42"/>
      <c r="Z942" s="42"/>
    </row>
    <row r="943">
      <c r="A943" s="133"/>
      <c r="B943" s="134"/>
      <c r="C943" s="63"/>
      <c r="D943" s="63"/>
      <c r="E943" s="135"/>
      <c r="F943" s="42"/>
      <c r="G943" s="42"/>
      <c r="H943" s="42"/>
      <c r="I943" s="42"/>
      <c r="J943" s="42"/>
      <c r="K943" s="42"/>
      <c r="L943" s="42"/>
      <c r="M943" s="42"/>
      <c r="N943" s="42"/>
      <c r="O943" s="42"/>
      <c r="P943" s="42"/>
      <c r="Q943" s="42"/>
      <c r="R943" s="42"/>
      <c r="S943" s="42"/>
      <c r="T943" s="42"/>
      <c r="U943" s="42"/>
      <c r="V943" s="42"/>
      <c r="W943" s="42"/>
      <c r="X943" s="42"/>
      <c r="Y943" s="42"/>
      <c r="Z943" s="42"/>
    </row>
    <row r="944">
      <c r="A944" s="133"/>
      <c r="B944" s="134"/>
      <c r="C944" s="63"/>
      <c r="D944" s="63"/>
      <c r="E944" s="135"/>
      <c r="F944" s="42"/>
      <c r="G944" s="42"/>
      <c r="H944" s="42"/>
      <c r="I944" s="42"/>
      <c r="J944" s="42"/>
      <c r="K944" s="42"/>
      <c r="L944" s="42"/>
      <c r="M944" s="42"/>
      <c r="N944" s="42"/>
      <c r="O944" s="42"/>
      <c r="P944" s="42"/>
      <c r="Q944" s="42"/>
      <c r="R944" s="42"/>
      <c r="S944" s="42"/>
      <c r="T944" s="42"/>
      <c r="U944" s="42"/>
      <c r="V944" s="42"/>
      <c r="W944" s="42"/>
      <c r="X944" s="42"/>
      <c r="Y944" s="42"/>
      <c r="Z944" s="42"/>
    </row>
    <row r="945">
      <c r="A945" s="133"/>
      <c r="B945" s="134"/>
      <c r="C945" s="63"/>
      <c r="D945" s="63"/>
      <c r="E945" s="135"/>
      <c r="F945" s="42"/>
      <c r="G945" s="42"/>
      <c r="H945" s="42"/>
      <c r="I945" s="42"/>
      <c r="J945" s="42"/>
      <c r="K945" s="42"/>
      <c r="L945" s="42"/>
      <c r="M945" s="42"/>
      <c r="N945" s="42"/>
      <c r="O945" s="42"/>
      <c r="P945" s="42"/>
      <c r="Q945" s="42"/>
      <c r="R945" s="42"/>
      <c r="S945" s="42"/>
      <c r="T945" s="42"/>
      <c r="U945" s="42"/>
      <c r="V945" s="42"/>
      <c r="W945" s="42"/>
      <c r="X945" s="42"/>
      <c r="Y945" s="42"/>
      <c r="Z945" s="42"/>
    </row>
    <row r="946">
      <c r="A946" s="133"/>
      <c r="B946" s="134"/>
      <c r="C946" s="63"/>
      <c r="D946" s="63"/>
      <c r="E946" s="135"/>
      <c r="F946" s="42"/>
      <c r="G946" s="42"/>
      <c r="H946" s="42"/>
      <c r="I946" s="42"/>
      <c r="J946" s="42"/>
      <c r="K946" s="42"/>
      <c r="L946" s="42"/>
      <c r="M946" s="42"/>
      <c r="N946" s="42"/>
      <c r="O946" s="42"/>
      <c r="P946" s="42"/>
      <c r="Q946" s="42"/>
      <c r="R946" s="42"/>
      <c r="S946" s="42"/>
      <c r="T946" s="42"/>
      <c r="U946" s="42"/>
      <c r="V946" s="42"/>
      <c r="W946" s="42"/>
      <c r="X946" s="42"/>
      <c r="Y946" s="42"/>
      <c r="Z946" s="42"/>
    </row>
    <row r="947">
      <c r="A947" s="133"/>
      <c r="B947" s="134"/>
      <c r="C947" s="63"/>
      <c r="D947" s="63"/>
      <c r="E947" s="135"/>
      <c r="F947" s="42"/>
      <c r="G947" s="42"/>
      <c r="H947" s="42"/>
      <c r="I947" s="42"/>
      <c r="J947" s="42"/>
      <c r="K947" s="42"/>
      <c r="L947" s="42"/>
      <c r="M947" s="42"/>
      <c r="N947" s="42"/>
      <c r="O947" s="42"/>
      <c r="P947" s="42"/>
      <c r="Q947" s="42"/>
      <c r="R947" s="42"/>
      <c r="S947" s="42"/>
      <c r="T947" s="42"/>
      <c r="U947" s="42"/>
      <c r="V947" s="42"/>
      <c r="W947" s="42"/>
      <c r="X947" s="42"/>
      <c r="Y947" s="42"/>
      <c r="Z947" s="42"/>
    </row>
    <row r="948">
      <c r="A948" s="133"/>
      <c r="B948" s="134"/>
      <c r="C948" s="63"/>
      <c r="D948" s="63"/>
      <c r="E948" s="135"/>
      <c r="F948" s="42"/>
      <c r="G948" s="42"/>
      <c r="H948" s="42"/>
      <c r="I948" s="42"/>
      <c r="J948" s="42"/>
      <c r="K948" s="42"/>
      <c r="L948" s="42"/>
      <c r="M948" s="42"/>
      <c r="N948" s="42"/>
      <c r="O948" s="42"/>
      <c r="P948" s="42"/>
      <c r="Q948" s="42"/>
      <c r="R948" s="42"/>
      <c r="S948" s="42"/>
      <c r="T948" s="42"/>
      <c r="U948" s="42"/>
      <c r="V948" s="42"/>
      <c r="W948" s="42"/>
      <c r="X948" s="42"/>
      <c r="Y948" s="42"/>
      <c r="Z948" s="42"/>
    </row>
    <row r="949">
      <c r="A949" s="133"/>
      <c r="B949" s="134"/>
      <c r="C949" s="63"/>
      <c r="D949" s="63"/>
      <c r="E949" s="135"/>
      <c r="F949" s="42"/>
      <c r="G949" s="42"/>
      <c r="H949" s="42"/>
      <c r="I949" s="42"/>
      <c r="J949" s="42"/>
      <c r="K949" s="42"/>
      <c r="L949" s="42"/>
      <c r="M949" s="42"/>
      <c r="N949" s="42"/>
      <c r="O949" s="42"/>
      <c r="P949" s="42"/>
      <c r="Q949" s="42"/>
      <c r="R949" s="42"/>
      <c r="S949" s="42"/>
      <c r="T949" s="42"/>
      <c r="U949" s="42"/>
      <c r="V949" s="42"/>
      <c r="W949" s="42"/>
      <c r="X949" s="42"/>
      <c r="Y949" s="42"/>
      <c r="Z949" s="42"/>
    </row>
    <row r="950">
      <c r="A950" s="133"/>
      <c r="B950" s="134"/>
      <c r="C950" s="63"/>
      <c r="D950" s="63"/>
      <c r="E950" s="135"/>
      <c r="F950" s="42"/>
      <c r="G950" s="42"/>
      <c r="H950" s="42"/>
      <c r="I950" s="42"/>
      <c r="J950" s="42"/>
      <c r="K950" s="42"/>
      <c r="L950" s="42"/>
      <c r="M950" s="42"/>
      <c r="N950" s="42"/>
      <c r="O950" s="42"/>
      <c r="P950" s="42"/>
      <c r="Q950" s="42"/>
      <c r="R950" s="42"/>
      <c r="S950" s="42"/>
      <c r="T950" s="42"/>
      <c r="U950" s="42"/>
      <c r="V950" s="42"/>
      <c r="W950" s="42"/>
      <c r="X950" s="42"/>
      <c r="Y950" s="42"/>
      <c r="Z950" s="42"/>
    </row>
    <row r="951">
      <c r="A951" s="133"/>
      <c r="B951" s="134"/>
      <c r="C951" s="63"/>
      <c r="D951" s="63"/>
      <c r="E951" s="135"/>
      <c r="F951" s="42"/>
      <c r="G951" s="42"/>
      <c r="H951" s="42"/>
      <c r="I951" s="42"/>
      <c r="J951" s="42"/>
      <c r="K951" s="42"/>
      <c r="L951" s="42"/>
      <c r="M951" s="42"/>
      <c r="N951" s="42"/>
      <c r="O951" s="42"/>
      <c r="P951" s="42"/>
      <c r="Q951" s="42"/>
      <c r="R951" s="42"/>
      <c r="S951" s="42"/>
      <c r="T951" s="42"/>
      <c r="U951" s="42"/>
      <c r="V951" s="42"/>
      <c r="W951" s="42"/>
      <c r="X951" s="42"/>
      <c r="Y951" s="42"/>
      <c r="Z951" s="42"/>
    </row>
    <row r="952">
      <c r="A952" s="133"/>
      <c r="B952" s="134"/>
      <c r="C952" s="63"/>
      <c r="D952" s="63"/>
      <c r="E952" s="135"/>
      <c r="F952" s="42"/>
      <c r="G952" s="42"/>
      <c r="H952" s="42"/>
      <c r="I952" s="42"/>
      <c r="J952" s="42"/>
      <c r="K952" s="42"/>
      <c r="L952" s="42"/>
      <c r="M952" s="42"/>
      <c r="N952" s="42"/>
      <c r="O952" s="42"/>
      <c r="P952" s="42"/>
      <c r="Q952" s="42"/>
      <c r="R952" s="42"/>
      <c r="S952" s="42"/>
      <c r="T952" s="42"/>
      <c r="U952" s="42"/>
      <c r="V952" s="42"/>
      <c r="W952" s="42"/>
      <c r="X952" s="42"/>
      <c r="Y952" s="42"/>
      <c r="Z952" s="42"/>
    </row>
    <row r="953">
      <c r="A953" s="133"/>
      <c r="B953" s="134"/>
      <c r="C953" s="63"/>
      <c r="D953" s="63"/>
      <c r="E953" s="135"/>
      <c r="F953" s="42"/>
      <c r="G953" s="42"/>
      <c r="H953" s="42"/>
      <c r="I953" s="42"/>
      <c r="J953" s="42"/>
      <c r="K953" s="42"/>
      <c r="L953" s="42"/>
      <c r="M953" s="42"/>
      <c r="N953" s="42"/>
      <c r="O953" s="42"/>
      <c r="P953" s="42"/>
      <c r="Q953" s="42"/>
      <c r="R953" s="42"/>
      <c r="S953" s="42"/>
      <c r="T953" s="42"/>
      <c r="U953" s="42"/>
      <c r="V953" s="42"/>
      <c r="W953" s="42"/>
      <c r="X953" s="42"/>
      <c r="Y953" s="42"/>
      <c r="Z953" s="42"/>
    </row>
    <row r="954">
      <c r="A954" s="133"/>
      <c r="B954" s="134"/>
      <c r="C954" s="63"/>
      <c r="D954" s="63"/>
      <c r="E954" s="135"/>
      <c r="F954" s="42"/>
      <c r="G954" s="42"/>
      <c r="H954" s="42"/>
      <c r="I954" s="42"/>
      <c r="J954" s="42"/>
      <c r="K954" s="42"/>
      <c r="L954" s="42"/>
      <c r="M954" s="42"/>
      <c r="N954" s="42"/>
      <c r="O954" s="42"/>
      <c r="P954" s="42"/>
      <c r="Q954" s="42"/>
      <c r="R954" s="42"/>
      <c r="S954" s="42"/>
      <c r="T954" s="42"/>
      <c r="U954" s="42"/>
      <c r="V954" s="42"/>
      <c r="W954" s="42"/>
      <c r="X954" s="42"/>
      <c r="Y954" s="42"/>
      <c r="Z954" s="42"/>
    </row>
    <row r="955">
      <c r="A955" s="133"/>
      <c r="B955" s="134"/>
      <c r="C955" s="63"/>
      <c r="D955" s="63"/>
      <c r="E955" s="135"/>
      <c r="F955" s="42"/>
      <c r="G955" s="42"/>
      <c r="H955" s="42"/>
      <c r="I955" s="42"/>
      <c r="J955" s="42"/>
      <c r="K955" s="42"/>
      <c r="L955" s="42"/>
      <c r="M955" s="42"/>
      <c r="N955" s="42"/>
      <c r="O955" s="42"/>
      <c r="P955" s="42"/>
      <c r="Q955" s="42"/>
      <c r="R955" s="42"/>
      <c r="S955" s="42"/>
      <c r="T955" s="42"/>
      <c r="U955" s="42"/>
      <c r="V955" s="42"/>
      <c r="W955" s="42"/>
      <c r="X955" s="42"/>
      <c r="Y955" s="42"/>
      <c r="Z955" s="42"/>
    </row>
    <row r="956">
      <c r="A956" s="133"/>
      <c r="B956" s="134"/>
      <c r="C956" s="63"/>
      <c r="D956" s="63"/>
      <c r="E956" s="135"/>
      <c r="F956" s="42"/>
      <c r="G956" s="42"/>
      <c r="H956" s="42"/>
      <c r="I956" s="42"/>
      <c r="J956" s="42"/>
      <c r="K956" s="42"/>
      <c r="L956" s="42"/>
      <c r="M956" s="42"/>
      <c r="N956" s="42"/>
      <c r="O956" s="42"/>
      <c r="P956" s="42"/>
      <c r="Q956" s="42"/>
      <c r="R956" s="42"/>
      <c r="S956" s="42"/>
      <c r="T956" s="42"/>
      <c r="U956" s="42"/>
      <c r="V956" s="42"/>
      <c r="W956" s="42"/>
      <c r="X956" s="42"/>
      <c r="Y956" s="42"/>
      <c r="Z956" s="42"/>
    </row>
    <row r="957">
      <c r="A957" s="133"/>
      <c r="B957" s="134"/>
      <c r="C957" s="63"/>
      <c r="D957" s="63"/>
      <c r="E957" s="135"/>
      <c r="F957" s="42"/>
      <c r="G957" s="42"/>
      <c r="H957" s="42"/>
      <c r="I957" s="42"/>
      <c r="J957" s="42"/>
      <c r="K957" s="42"/>
      <c r="L957" s="42"/>
      <c r="M957" s="42"/>
      <c r="N957" s="42"/>
      <c r="O957" s="42"/>
      <c r="P957" s="42"/>
      <c r="Q957" s="42"/>
      <c r="R957" s="42"/>
      <c r="S957" s="42"/>
      <c r="T957" s="42"/>
      <c r="U957" s="42"/>
      <c r="V957" s="42"/>
      <c r="W957" s="42"/>
      <c r="X957" s="42"/>
      <c r="Y957" s="42"/>
      <c r="Z957" s="42"/>
    </row>
    <row r="958">
      <c r="A958" s="133"/>
      <c r="B958" s="134"/>
      <c r="C958" s="63"/>
      <c r="D958" s="63"/>
      <c r="E958" s="135"/>
      <c r="F958" s="42"/>
      <c r="G958" s="42"/>
      <c r="H958" s="42"/>
      <c r="I958" s="42"/>
      <c r="J958" s="42"/>
      <c r="K958" s="42"/>
      <c r="L958" s="42"/>
      <c r="M958" s="42"/>
      <c r="N958" s="42"/>
      <c r="O958" s="42"/>
      <c r="P958" s="42"/>
      <c r="Q958" s="42"/>
      <c r="R958" s="42"/>
      <c r="S958" s="42"/>
      <c r="T958" s="42"/>
      <c r="U958" s="42"/>
      <c r="V958" s="42"/>
      <c r="W958" s="42"/>
      <c r="X958" s="42"/>
      <c r="Y958" s="42"/>
      <c r="Z958" s="42"/>
    </row>
    <row r="959">
      <c r="A959" s="133"/>
      <c r="B959" s="134"/>
      <c r="C959" s="63"/>
      <c r="D959" s="63"/>
      <c r="E959" s="135"/>
      <c r="F959" s="42"/>
      <c r="G959" s="42"/>
      <c r="H959" s="42"/>
      <c r="I959" s="42"/>
      <c r="J959" s="42"/>
      <c r="K959" s="42"/>
      <c r="L959" s="42"/>
      <c r="M959" s="42"/>
      <c r="N959" s="42"/>
      <c r="O959" s="42"/>
      <c r="P959" s="42"/>
      <c r="Q959" s="42"/>
      <c r="R959" s="42"/>
      <c r="S959" s="42"/>
      <c r="T959" s="42"/>
      <c r="U959" s="42"/>
      <c r="V959" s="42"/>
      <c r="W959" s="42"/>
      <c r="X959" s="42"/>
      <c r="Y959" s="42"/>
      <c r="Z959" s="42"/>
    </row>
    <row r="960">
      <c r="A960" s="133"/>
      <c r="B960" s="134"/>
      <c r="C960" s="63"/>
      <c r="D960" s="63"/>
      <c r="E960" s="135"/>
      <c r="F960" s="42"/>
      <c r="G960" s="42"/>
      <c r="H960" s="42"/>
      <c r="I960" s="42"/>
      <c r="J960" s="42"/>
      <c r="K960" s="42"/>
      <c r="L960" s="42"/>
      <c r="M960" s="42"/>
      <c r="N960" s="42"/>
      <c r="O960" s="42"/>
      <c r="P960" s="42"/>
      <c r="Q960" s="42"/>
      <c r="R960" s="42"/>
      <c r="S960" s="42"/>
      <c r="T960" s="42"/>
      <c r="U960" s="42"/>
      <c r="V960" s="42"/>
      <c r="W960" s="42"/>
      <c r="X960" s="42"/>
      <c r="Y960" s="42"/>
      <c r="Z960" s="42"/>
    </row>
    <row r="961">
      <c r="A961" s="133"/>
      <c r="B961" s="134"/>
      <c r="C961" s="63"/>
      <c r="D961" s="63"/>
      <c r="E961" s="135"/>
      <c r="F961" s="42"/>
      <c r="G961" s="42"/>
      <c r="H961" s="42"/>
      <c r="I961" s="42"/>
      <c r="J961" s="42"/>
      <c r="K961" s="42"/>
      <c r="L961" s="42"/>
      <c r="M961" s="42"/>
      <c r="N961" s="42"/>
      <c r="O961" s="42"/>
      <c r="P961" s="42"/>
      <c r="Q961" s="42"/>
      <c r="R961" s="42"/>
      <c r="S961" s="42"/>
      <c r="T961" s="42"/>
      <c r="U961" s="42"/>
      <c r="V961" s="42"/>
      <c r="W961" s="42"/>
      <c r="X961" s="42"/>
      <c r="Y961" s="42"/>
      <c r="Z961" s="42"/>
    </row>
    <row r="962">
      <c r="A962" s="133"/>
      <c r="B962" s="134"/>
      <c r="C962" s="63"/>
      <c r="D962" s="63"/>
      <c r="E962" s="135"/>
      <c r="F962" s="42"/>
      <c r="G962" s="42"/>
      <c r="H962" s="42"/>
      <c r="I962" s="42"/>
      <c r="J962" s="42"/>
      <c r="K962" s="42"/>
      <c r="L962" s="42"/>
      <c r="M962" s="42"/>
      <c r="N962" s="42"/>
      <c r="O962" s="42"/>
      <c r="P962" s="42"/>
      <c r="Q962" s="42"/>
      <c r="R962" s="42"/>
      <c r="S962" s="42"/>
      <c r="T962" s="42"/>
      <c r="U962" s="42"/>
      <c r="V962" s="42"/>
      <c r="W962" s="42"/>
      <c r="X962" s="42"/>
      <c r="Y962" s="42"/>
      <c r="Z962" s="42"/>
    </row>
    <row r="963">
      <c r="A963" s="133"/>
      <c r="B963" s="134"/>
      <c r="C963" s="63"/>
      <c r="D963" s="63"/>
      <c r="E963" s="135"/>
      <c r="F963" s="42"/>
      <c r="G963" s="42"/>
      <c r="H963" s="42"/>
      <c r="I963" s="42"/>
      <c r="J963" s="42"/>
      <c r="K963" s="42"/>
      <c r="L963" s="42"/>
      <c r="M963" s="42"/>
      <c r="N963" s="42"/>
      <c r="O963" s="42"/>
      <c r="P963" s="42"/>
      <c r="Q963" s="42"/>
      <c r="R963" s="42"/>
      <c r="S963" s="42"/>
      <c r="T963" s="42"/>
      <c r="U963" s="42"/>
      <c r="V963" s="42"/>
      <c r="W963" s="42"/>
      <c r="X963" s="42"/>
      <c r="Y963" s="42"/>
      <c r="Z963" s="42"/>
    </row>
    <row r="964">
      <c r="A964" s="133"/>
      <c r="B964" s="134"/>
      <c r="C964" s="63"/>
      <c r="D964" s="63"/>
      <c r="E964" s="135"/>
      <c r="F964" s="42"/>
      <c r="G964" s="42"/>
      <c r="H964" s="42"/>
      <c r="I964" s="42"/>
      <c r="J964" s="42"/>
      <c r="K964" s="42"/>
      <c r="L964" s="42"/>
      <c r="M964" s="42"/>
      <c r="N964" s="42"/>
      <c r="O964" s="42"/>
      <c r="P964" s="42"/>
      <c r="Q964" s="42"/>
      <c r="R964" s="42"/>
      <c r="S964" s="42"/>
      <c r="T964" s="42"/>
      <c r="U964" s="42"/>
      <c r="V964" s="42"/>
      <c r="W964" s="42"/>
      <c r="X964" s="42"/>
      <c r="Y964" s="42"/>
      <c r="Z964" s="42"/>
    </row>
    <row r="965">
      <c r="A965" s="133"/>
      <c r="B965" s="134"/>
      <c r="C965" s="63"/>
      <c r="D965" s="63"/>
      <c r="E965" s="135"/>
      <c r="F965" s="42"/>
      <c r="G965" s="42"/>
      <c r="H965" s="42"/>
      <c r="I965" s="42"/>
      <c r="J965" s="42"/>
      <c r="K965" s="42"/>
      <c r="L965" s="42"/>
      <c r="M965" s="42"/>
      <c r="N965" s="42"/>
      <c r="O965" s="42"/>
      <c r="P965" s="42"/>
      <c r="Q965" s="42"/>
      <c r="R965" s="42"/>
      <c r="S965" s="42"/>
      <c r="T965" s="42"/>
      <c r="U965" s="42"/>
      <c r="V965" s="42"/>
      <c r="W965" s="42"/>
      <c r="X965" s="42"/>
      <c r="Y965" s="42"/>
      <c r="Z965" s="42"/>
    </row>
    <row r="966">
      <c r="A966" s="133"/>
      <c r="B966" s="134"/>
      <c r="C966" s="63"/>
      <c r="D966" s="63"/>
      <c r="E966" s="135"/>
      <c r="F966" s="42"/>
      <c r="G966" s="42"/>
      <c r="H966" s="42"/>
      <c r="I966" s="42"/>
      <c r="J966" s="42"/>
      <c r="K966" s="42"/>
      <c r="L966" s="42"/>
      <c r="M966" s="42"/>
      <c r="N966" s="42"/>
      <c r="O966" s="42"/>
      <c r="P966" s="42"/>
      <c r="Q966" s="42"/>
      <c r="R966" s="42"/>
      <c r="S966" s="42"/>
      <c r="T966" s="42"/>
      <c r="U966" s="42"/>
      <c r="V966" s="42"/>
      <c r="W966" s="42"/>
      <c r="X966" s="42"/>
      <c r="Y966" s="42"/>
      <c r="Z966" s="42"/>
    </row>
    <row r="967">
      <c r="A967" s="133"/>
      <c r="B967" s="134"/>
      <c r="C967" s="63"/>
      <c r="D967" s="63"/>
      <c r="E967" s="135"/>
      <c r="F967" s="42"/>
      <c r="G967" s="42"/>
      <c r="H967" s="42"/>
      <c r="I967" s="42"/>
      <c r="J967" s="42"/>
      <c r="K967" s="42"/>
      <c r="L967" s="42"/>
      <c r="M967" s="42"/>
      <c r="N967" s="42"/>
      <c r="O967" s="42"/>
      <c r="P967" s="42"/>
      <c r="Q967" s="42"/>
      <c r="R967" s="42"/>
      <c r="S967" s="42"/>
      <c r="T967" s="42"/>
      <c r="U967" s="42"/>
      <c r="V967" s="42"/>
      <c r="W967" s="42"/>
      <c r="X967" s="42"/>
      <c r="Y967" s="42"/>
      <c r="Z967" s="42"/>
    </row>
    <row r="968">
      <c r="A968" s="133"/>
      <c r="B968" s="134"/>
      <c r="C968" s="63"/>
      <c r="D968" s="63"/>
      <c r="E968" s="135"/>
      <c r="F968" s="42"/>
      <c r="G968" s="42"/>
      <c r="H968" s="42"/>
      <c r="I968" s="42"/>
      <c r="J968" s="42"/>
      <c r="K968" s="42"/>
      <c r="L968" s="42"/>
      <c r="M968" s="42"/>
      <c r="N968" s="42"/>
      <c r="O968" s="42"/>
      <c r="P968" s="42"/>
      <c r="Q968" s="42"/>
      <c r="R968" s="42"/>
      <c r="S968" s="42"/>
      <c r="T968" s="42"/>
      <c r="U968" s="42"/>
      <c r="V968" s="42"/>
      <c r="W968" s="42"/>
      <c r="X968" s="42"/>
      <c r="Y968" s="42"/>
      <c r="Z968" s="42"/>
    </row>
    <row r="969">
      <c r="A969" s="133"/>
      <c r="B969" s="134"/>
      <c r="C969" s="63"/>
      <c r="D969" s="63"/>
      <c r="E969" s="135"/>
      <c r="F969" s="42"/>
      <c r="G969" s="42"/>
      <c r="H969" s="42"/>
      <c r="I969" s="42"/>
      <c r="J969" s="42"/>
      <c r="K969" s="42"/>
      <c r="L969" s="42"/>
      <c r="M969" s="42"/>
      <c r="N969" s="42"/>
      <c r="O969" s="42"/>
      <c r="P969" s="42"/>
      <c r="Q969" s="42"/>
      <c r="R969" s="42"/>
      <c r="S969" s="42"/>
      <c r="T969" s="42"/>
      <c r="U969" s="42"/>
      <c r="V969" s="42"/>
      <c r="W969" s="42"/>
      <c r="X969" s="42"/>
      <c r="Y969" s="42"/>
      <c r="Z969" s="42"/>
    </row>
    <row r="970">
      <c r="A970" s="133"/>
      <c r="B970" s="134"/>
      <c r="C970" s="63"/>
      <c r="D970" s="63"/>
      <c r="E970" s="135"/>
      <c r="F970" s="42"/>
      <c r="G970" s="42"/>
      <c r="H970" s="42"/>
      <c r="I970" s="42"/>
      <c r="J970" s="42"/>
      <c r="K970" s="42"/>
      <c r="L970" s="42"/>
      <c r="M970" s="42"/>
      <c r="N970" s="42"/>
      <c r="O970" s="42"/>
      <c r="P970" s="42"/>
      <c r="Q970" s="42"/>
      <c r="R970" s="42"/>
      <c r="S970" s="42"/>
      <c r="T970" s="42"/>
      <c r="U970" s="42"/>
      <c r="V970" s="42"/>
      <c r="W970" s="42"/>
      <c r="X970" s="42"/>
      <c r="Y970" s="42"/>
      <c r="Z970" s="42"/>
    </row>
    <row r="971">
      <c r="A971" s="133"/>
      <c r="B971" s="134"/>
      <c r="C971" s="63"/>
      <c r="D971" s="63"/>
      <c r="E971" s="135"/>
      <c r="F971" s="42"/>
      <c r="G971" s="42"/>
      <c r="H971" s="42"/>
      <c r="I971" s="42"/>
      <c r="J971" s="42"/>
      <c r="K971" s="42"/>
      <c r="L971" s="42"/>
      <c r="M971" s="42"/>
      <c r="N971" s="42"/>
      <c r="O971" s="42"/>
      <c r="P971" s="42"/>
      <c r="Q971" s="42"/>
      <c r="R971" s="42"/>
      <c r="S971" s="42"/>
      <c r="T971" s="42"/>
      <c r="U971" s="42"/>
      <c r="V971" s="42"/>
      <c r="W971" s="42"/>
      <c r="X971" s="42"/>
      <c r="Y971" s="42"/>
      <c r="Z971" s="42"/>
    </row>
    <row r="972">
      <c r="A972" s="133"/>
      <c r="B972" s="134"/>
      <c r="C972" s="63"/>
      <c r="D972" s="63"/>
      <c r="E972" s="135"/>
      <c r="F972" s="42"/>
      <c r="G972" s="42"/>
      <c r="H972" s="42"/>
      <c r="I972" s="42"/>
      <c r="J972" s="42"/>
      <c r="K972" s="42"/>
      <c r="L972" s="42"/>
      <c r="M972" s="42"/>
      <c r="N972" s="42"/>
      <c r="O972" s="42"/>
      <c r="P972" s="42"/>
      <c r="Q972" s="42"/>
      <c r="R972" s="42"/>
      <c r="S972" s="42"/>
      <c r="T972" s="42"/>
      <c r="U972" s="42"/>
      <c r="V972" s="42"/>
      <c r="W972" s="42"/>
      <c r="X972" s="42"/>
      <c r="Y972" s="42"/>
      <c r="Z972" s="42"/>
    </row>
    <row r="973">
      <c r="A973" s="133"/>
      <c r="B973" s="134"/>
      <c r="C973" s="63"/>
      <c r="D973" s="63"/>
      <c r="E973" s="135"/>
      <c r="F973" s="42"/>
      <c r="G973" s="42"/>
      <c r="H973" s="42"/>
      <c r="I973" s="42"/>
      <c r="J973" s="42"/>
      <c r="K973" s="42"/>
      <c r="L973" s="42"/>
      <c r="M973" s="42"/>
      <c r="N973" s="42"/>
      <c r="O973" s="42"/>
      <c r="P973" s="42"/>
      <c r="Q973" s="42"/>
      <c r="R973" s="42"/>
      <c r="S973" s="42"/>
      <c r="T973" s="42"/>
      <c r="U973" s="42"/>
      <c r="V973" s="42"/>
      <c r="W973" s="42"/>
      <c r="X973" s="42"/>
      <c r="Y973" s="42"/>
      <c r="Z973" s="42"/>
    </row>
    <row r="974">
      <c r="A974" s="133"/>
      <c r="B974" s="134"/>
      <c r="C974" s="63"/>
      <c r="D974" s="63"/>
      <c r="E974" s="135"/>
      <c r="F974" s="42"/>
      <c r="G974" s="42"/>
      <c r="H974" s="42"/>
      <c r="I974" s="42"/>
      <c r="J974" s="42"/>
      <c r="K974" s="42"/>
      <c r="L974" s="42"/>
      <c r="M974" s="42"/>
      <c r="N974" s="42"/>
      <c r="O974" s="42"/>
      <c r="P974" s="42"/>
      <c r="Q974" s="42"/>
      <c r="R974" s="42"/>
      <c r="S974" s="42"/>
      <c r="T974" s="42"/>
      <c r="U974" s="42"/>
      <c r="V974" s="42"/>
      <c r="W974" s="42"/>
      <c r="X974" s="42"/>
      <c r="Y974" s="42"/>
      <c r="Z974" s="42"/>
    </row>
    <row r="975">
      <c r="A975" s="133"/>
      <c r="B975" s="134"/>
      <c r="C975" s="63"/>
      <c r="D975" s="63"/>
      <c r="E975" s="135"/>
      <c r="F975" s="42"/>
      <c r="G975" s="42"/>
      <c r="H975" s="42"/>
      <c r="I975" s="42"/>
      <c r="J975" s="42"/>
      <c r="K975" s="42"/>
      <c r="L975" s="42"/>
      <c r="M975" s="42"/>
      <c r="N975" s="42"/>
      <c r="O975" s="42"/>
      <c r="P975" s="42"/>
      <c r="Q975" s="42"/>
      <c r="R975" s="42"/>
      <c r="S975" s="42"/>
      <c r="T975" s="42"/>
      <c r="U975" s="42"/>
      <c r="V975" s="42"/>
      <c r="W975" s="42"/>
      <c r="X975" s="42"/>
      <c r="Y975" s="42"/>
      <c r="Z975" s="42"/>
    </row>
    <row r="976">
      <c r="A976" s="133"/>
      <c r="B976" s="134"/>
      <c r="C976" s="63"/>
      <c r="D976" s="63"/>
      <c r="E976" s="135"/>
      <c r="F976" s="42"/>
      <c r="G976" s="42"/>
      <c r="H976" s="42"/>
      <c r="I976" s="42"/>
      <c r="J976" s="42"/>
      <c r="K976" s="42"/>
      <c r="L976" s="42"/>
      <c r="M976" s="42"/>
      <c r="N976" s="42"/>
      <c r="O976" s="42"/>
      <c r="P976" s="42"/>
      <c r="Q976" s="42"/>
      <c r="R976" s="42"/>
      <c r="S976" s="42"/>
      <c r="T976" s="42"/>
      <c r="U976" s="42"/>
      <c r="V976" s="42"/>
      <c r="W976" s="42"/>
      <c r="X976" s="42"/>
      <c r="Y976" s="42"/>
      <c r="Z976" s="42"/>
    </row>
    <row r="977">
      <c r="A977" s="133"/>
      <c r="B977" s="134"/>
      <c r="C977" s="63"/>
      <c r="D977" s="63"/>
      <c r="E977" s="135"/>
      <c r="F977" s="42"/>
      <c r="G977" s="42"/>
      <c r="H977" s="42"/>
      <c r="I977" s="42"/>
      <c r="J977" s="42"/>
      <c r="K977" s="42"/>
      <c r="L977" s="42"/>
      <c r="M977" s="42"/>
      <c r="N977" s="42"/>
      <c r="O977" s="42"/>
      <c r="P977" s="42"/>
      <c r="Q977" s="42"/>
      <c r="R977" s="42"/>
      <c r="S977" s="42"/>
      <c r="T977" s="42"/>
      <c r="U977" s="42"/>
      <c r="V977" s="42"/>
      <c r="W977" s="42"/>
      <c r="X977" s="42"/>
      <c r="Y977" s="42"/>
      <c r="Z977" s="42"/>
    </row>
    <row r="978">
      <c r="A978" s="133"/>
      <c r="B978" s="134"/>
      <c r="C978" s="63"/>
      <c r="D978" s="63"/>
      <c r="E978" s="135"/>
      <c r="F978" s="42"/>
      <c r="G978" s="42"/>
      <c r="H978" s="42"/>
      <c r="I978" s="42"/>
      <c r="J978" s="42"/>
      <c r="K978" s="42"/>
      <c r="L978" s="42"/>
      <c r="M978" s="42"/>
      <c r="N978" s="42"/>
      <c r="O978" s="42"/>
      <c r="P978" s="42"/>
      <c r="Q978" s="42"/>
      <c r="R978" s="42"/>
      <c r="S978" s="42"/>
      <c r="T978" s="42"/>
      <c r="U978" s="42"/>
      <c r="V978" s="42"/>
      <c r="W978" s="42"/>
      <c r="X978" s="42"/>
      <c r="Y978" s="42"/>
      <c r="Z978" s="42"/>
    </row>
    <row r="979">
      <c r="A979" s="133"/>
      <c r="B979" s="134"/>
      <c r="C979" s="63"/>
      <c r="D979" s="63"/>
      <c r="E979" s="135"/>
      <c r="F979" s="42"/>
      <c r="G979" s="42"/>
      <c r="H979" s="42"/>
      <c r="I979" s="42"/>
      <c r="J979" s="42"/>
      <c r="K979" s="42"/>
      <c r="L979" s="42"/>
      <c r="M979" s="42"/>
      <c r="N979" s="42"/>
      <c r="O979" s="42"/>
      <c r="P979" s="42"/>
      <c r="Q979" s="42"/>
      <c r="R979" s="42"/>
      <c r="S979" s="42"/>
      <c r="T979" s="42"/>
      <c r="U979" s="42"/>
      <c r="V979" s="42"/>
      <c r="W979" s="42"/>
      <c r="X979" s="42"/>
      <c r="Y979" s="42"/>
      <c r="Z979" s="42"/>
    </row>
    <row r="980">
      <c r="A980" s="133"/>
      <c r="B980" s="134"/>
      <c r="C980" s="63"/>
      <c r="D980" s="63"/>
      <c r="E980" s="135"/>
      <c r="F980" s="42"/>
      <c r="G980" s="42"/>
      <c r="H980" s="42"/>
      <c r="I980" s="42"/>
      <c r="J980" s="42"/>
      <c r="K980" s="42"/>
      <c r="L980" s="42"/>
      <c r="M980" s="42"/>
      <c r="N980" s="42"/>
      <c r="O980" s="42"/>
      <c r="P980" s="42"/>
      <c r="Q980" s="42"/>
      <c r="R980" s="42"/>
      <c r="S980" s="42"/>
      <c r="T980" s="42"/>
      <c r="U980" s="42"/>
      <c r="V980" s="42"/>
      <c r="W980" s="42"/>
      <c r="X980" s="42"/>
      <c r="Y980" s="42"/>
      <c r="Z980" s="42"/>
    </row>
    <row r="981">
      <c r="A981" s="133"/>
      <c r="B981" s="134"/>
      <c r="C981" s="63"/>
      <c r="D981" s="63"/>
      <c r="E981" s="135"/>
      <c r="F981" s="42"/>
      <c r="G981" s="42"/>
      <c r="H981" s="42"/>
      <c r="I981" s="42"/>
      <c r="J981" s="42"/>
      <c r="K981" s="42"/>
      <c r="L981" s="42"/>
      <c r="M981" s="42"/>
      <c r="N981" s="42"/>
      <c r="O981" s="42"/>
      <c r="P981" s="42"/>
      <c r="Q981" s="42"/>
      <c r="R981" s="42"/>
      <c r="S981" s="42"/>
      <c r="T981" s="42"/>
      <c r="U981" s="42"/>
      <c r="V981" s="42"/>
      <c r="W981" s="42"/>
      <c r="X981" s="42"/>
      <c r="Y981" s="42"/>
      <c r="Z981" s="42"/>
    </row>
    <row r="982">
      <c r="A982" s="133"/>
      <c r="B982" s="134"/>
      <c r="C982" s="63"/>
      <c r="D982" s="63"/>
      <c r="E982" s="135"/>
      <c r="F982" s="42"/>
      <c r="G982" s="42"/>
      <c r="H982" s="42"/>
      <c r="I982" s="42"/>
      <c r="J982" s="42"/>
      <c r="K982" s="42"/>
      <c r="L982" s="42"/>
      <c r="M982" s="42"/>
      <c r="N982" s="42"/>
      <c r="O982" s="42"/>
      <c r="P982" s="42"/>
      <c r="Q982" s="42"/>
      <c r="R982" s="42"/>
      <c r="S982" s="42"/>
      <c r="T982" s="42"/>
      <c r="U982" s="42"/>
      <c r="V982" s="42"/>
      <c r="W982" s="42"/>
      <c r="X982" s="42"/>
      <c r="Y982" s="42"/>
      <c r="Z982" s="42"/>
    </row>
    <row r="983">
      <c r="A983" s="133"/>
      <c r="B983" s="134"/>
      <c r="C983" s="63"/>
      <c r="D983" s="63"/>
      <c r="E983" s="135"/>
      <c r="F983" s="42"/>
      <c r="G983" s="42"/>
      <c r="H983" s="42"/>
      <c r="I983" s="42"/>
      <c r="J983" s="42"/>
      <c r="K983" s="42"/>
      <c r="L983" s="42"/>
      <c r="M983" s="42"/>
      <c r="N983" s="42"/>
      <c r="O983" s="42"/>
      <c r="P983" s="42"/>
      <c r="Q983" s="42"/>
      <c r="R983" s="42"/>
      <c r="S983" s="42"/>
      <c r="T983" s="42"/>
      <c r="U983" s="42"/>
      <c r="V983" s="42"/>
      <c r="W983" s="42"/>
      <c r="X983" s="42"/>
      <c r="Y983" s="42"/>
      <c r="Z983" s="42"/>
    </row>
    <row r="984">
      <c r="A984" s="133"/>
      <c r="B984" s="134"/>
      <c r="C984" s="63"/>
      <c r="D984" s="63"/>
      <c r="E984" s="135"/>
      <c r="F984" s="42"/>
      <c r="G984" s="42"/>
      <c r="H984" s="42"/>
      <c r="I984" s="42"/>
      <c r="J984" s="42"/>
      <c r="K984" s="42"/>
      <c r="L984" s="42"/>
      <c r="M984" s="42"/>
      <c r="N984" s="42"/>
      <c r="O984" s="42"/>
      <c r="P984" s="42"/>
      <c r="Q984" s="42"/>
      <c r="R984" s="42"/>
      <c r="S984" s="42"/>
      <c r="T984" s="42"/>
      <c r="U984" s="42"/>
      <c r="V984" s="42"/>
      <c r="W984" s="42"/>
      <c r="X984" s="42"/>
      <c r="Y984" s="42"/>
      <c r="Z984" s="42"/>
    </row>
    <row r="985">
      <c r="A985" s="133"/>
      <c r="B985" s="134"/>
      <c r="C985" s="63"/>
      <c r="D985" s="63"/>
      <c r="E985" s="135"/>
      <c r="F985" s="42"/>
      <c r="G985" s="42"/>
      <c r="H985" s="42"/>
      <c r="I985" s="42"/>
      <c r="J985" s="42"/>
      <c r="K985" s="42"/>
      <c r="L985" s="42"/>
      <c r="M985" s="42"/>
      <c r="N985" s="42"/>
      <c r="O985" s="42"/>
      <c r="P985" s="42"/>
      <c r="Q985" s="42"/>
      <c r="R985" s="42"/>
      <c r="S985" s="42"/>
      <c r="T985" s="42"/>
      <c r="U985" s="42"/>
      <c r="V985" s="42"/>
      <c r="W985" s="42"/>
      <c r="X985" s="42"/>
      <c r="Y985" s="42"/>
      <c r="Z985" s="42"/>
    </row>
    <row r="986">
      <c r="A986" s="133"/>
      <c r="B986" s="134"/>
      <c r="C986" s="63"/>
      <c r="D986" s="63"/>
      <c r="E986" s="135"/>
      <c r="F986" s="42"/>
      <c r="G986" s="42"/>
      <c r="H986" s="42"/>
      <c r="I986" s="42"/>
      <c r="J986" s="42"/>
      <c r="K986" s="42"/>
      <c r="L986" s="42"/>
      <c r="M986" s="42"/>
      <c r="N986" s="42"/>
      <c r="O986" s="42"/>
      <c r="P986" s="42"/>
      <c r="Q986" s="42"/>
      <c r="R986" s="42"/>
      <c r="S986" s="42"/>
      <c r="T986" s="42"/>
      <c r="U986" s="42"/>
      <c r="V986" s="42"/>
      <c r="W986" s="42"/>
      <c r="X986" s="42"/>
      <c r="Y986" s="42"/>
      <c r="Z986" s="42"/>
    </row>
    <row r="987">
      <c r="A987" s="133"/>
      <c r="B987" s="134"/>
      <c r="C987" s="63"/>
      <c r="D987" s="63"/>
      <c r="E987" s="135"/>
      <c r="F987" s="42"/>
      <c r="G987" s="42"/>
      <c r="H987" s="42"/>
      <c r="I987" s="42"/>
      <c r="J987" s="42"/>
      <c r="K987" s="42"/>
      <c r="L987" s="42"/>
      <c r="M987" s="42"/>
      <c r="N987" s="42"/>
      <c r="O987" s="42"/>
      <c r="P987" s="42"/>
      <c r="Q987" s="42"/>
      <c r="R987" s="42"/>
      <c r="S987" s="42"/>
      <c r="T987" s="42"/>
      <c r="U987" s="42"/>
      <c r="V987" s="42"/>
      <c r="W987" s="42"/>
      <c r="X987" s="42"/>
      <c r="Y987" s="42"/>
      <c r="Z987" s="42"/>
    </row>
    <row r="988">
      <c r="A988" s="133"/>
      <c r="B988" s="134"/>
      <c r="C988" s="63"/>
      <c r="D988" s="63"/>
      <c r="E988" s="135"/>
      <c r="F988" s="42"/>
      <c r="G988" s="42"/>
      <c r="H988" s="42"/>
      <c r="I988" s="42"/>
      <c r="J988" s="42"/>
      <c r="K988" s="42"/>
      <c r="L988" s="42"/>
      <c r="M988" s="42"/>
      <c r="N988" s="42"/>
      <c r="O988" s="42"/>
      <c r="P988" s="42"/>
      <c r="Q988" s="42"/>
      <c r="R988" s="42"/>
      <c r="S988" s="42"/>
      <c r="T988" s="42"/>
      <c r="U988" s="42"/>
      <c r="V988" s="42"/>
      <c r="W988" s="42"/>
      <c r="X988" s="42"/>
      <c r="Y988" s="42"/>
      <c r="Z988" s="42"/>
    </row>
    <row r="989">
      <c r="A989" s="133"/>
      <c r="B989" s="134"/>
      <c r="C989" s="63"/>
      <c r="D989" s="63"/>
      <c r="E989" s="135"/>
      <c r="F989" s="42"/>
      <c r="G989" s="42"/>
      <c r="H989" s="42"/>
      <c r="I989" s="42"/>
      <c r="J989" s="42"/>
      <c r="K989" s="42"/>
      <c r="L989" s="42"/>
      <c r="M989" s="42"/>
      <c r="N989" s="42"/>
      <c r="O989" s="42"/>
      <c r="P989" s="42"/>
      <c r="Q989" s="42"/>
      <c r="R989" s="42"/>
      <c r="S989" s="42"/>
      <c r="T989" s="42"/>
      <c r="U989" s="42"/>
      <c r="V989" s="42"/>
      <c r="W989" s="42"/>
      <c r="X989" s="42"/>
      <c r="Y989" s="42"/>
      <c r="Z989" s="42"/>
    </row>
    <row r="990">
      <c r="A990" s="133"/>
      <c r="B990" s="134"/>
      <c r="C990" s="63"/>
      <c r="D990" s="63"/>
      <c r="E990" s="135"/>
      <c r="F990" s="42"/>
      <c r="G990" s="42"/>
      <c r="H990" s="42"/>
      <c r="I990" s="42"/>
      <c r="J990" s="42"/>
      <c r="K990" s="42"/>
      <c r="L990" s="42"/>
      <c r="M990" s="42"/>
      <c r="N990" s="42"/>
      <c r="O990" s="42"/>
      <c r="P990" s="42"/>
      <c r="Q990" s="42"/>
      <c r="R990" s="42"/>
      <c r="S990" s="42"/>
      <c r="T990" s="42"/>
      <c r="U990" s="42"/>
      <c r="V990" s="42"/>
      <c r="W990" s="42"/>
      <c r="X990" s="42"/>
      <c r="Y990" s="42"/>
      <c r="Z990" s="42"/>
    </row>
    <row r="991">
      <c r="A991" s="133"/>
      <c r="B991" s="134"/>
      <c r="C991" s="63"/>
      <c r="D991" s="63"/>
      <c r="E991" s="135"/>
      <c r="F991" s="42"/>
      <c r="G991" s="42"/>
      <c r="H991" s="42"/>
      <c r="I991" s="42"/>
      <c r="J991" s="42"/>
      <c r="K991" s="42"/>
      <c r="L991" s="42"/>
      <c r="M991" s="42"/>
      <c r="N991" s="42"/>
      <c r="O991" s="42"/>
      <c r="P991" s="42"/>
      <c r="Q991" s="42"/>
      <c r="R991" s="42"/>
      <c r="S991" s="42"/>
      <c r="T991" s="42"/>
      <c r="U991" s="42"/>
      <c r="V991" s="42"/>
      <c r="W991" s="42"/>
      <c r="X991" s="42"/>
      <c r="Y991" s="42"/>
      <c r="Z991" s="42"/>
    </row>
    <row r="992">
      <c r="A992" s="133"/>
      <c r="B992" s="134"/>
      <c r="C992" s="63"/>
      <c r="D992" s="63"/>
      <c r="E992" s="135"/>
      <c r="F992" s="42"/>
      <c r="G992" s="42"/>
      <c r="H992" s="42"/>
      <c r="I992" s="42"/>
      <c r="J992" s="42"/>
      <c r="K992" s="42"/>
      <c r="L992" s="42"/>
      <c r="M992" s="42"/>
      <c r="N992" s="42"/>
      <c r="O992" s="42"/>
      <c r="P992" s="42"/>
      <c r="Q992" s="42"/>
      <c r="R992" s="42"/>
      <c r="S992" s="42"/>
      <c r="T992" s="42"/>
      <c r="U992" s="42"/>
      <c r="V992" s="42"/>
      <c r="W992" s="42"/>
      <c r="X992" s="42"/>
      <c r="Y992" s="42"/>
      <c r="Z992" s="42"/>
    </row>
    <row r="993">
      <c r="A993" s="133"/>
      <c r="B993" s="134"/>
      <c r="C993" s="63"/>
      <c r="D993" s="63"/>
      <c r="E993" s="135"/>
      <c r="F993" s="42"/>
      <c r="G993" s="42"/>
      <c r="H993" s="42"/>
      <c r="I993" s="42"/>
      <c r="J993" s="42"/>
      <c r="K993" s="42"/>
      <c r="L993" s="42"/>
      <c r="M993" s="42"/>
      <c r="N993" s="42"/>
      <c r="O993" s="42"/>
      <c r="P993" s="42"/>
      <c r="Q993" s="42"/>
      <c r="R993" s="42"/>
      <c r="S993" s="42"/>
      <c r="T993" s="42"/>
      <c r="U993" s="42"/>
      <c r="V993" s="42"/>
      <c r="W993" s="42"/>
      <c r="X993" s="42"/>
      <c r="Y993" s="42"/>
      <c r="Z993" s="42"/>
    </row>
    <row r="994">
      <c r="A994" s="133"/>
      <c r="B994" s="134"/>
      <c r="C994" s="63"/>
      <c r="D994" s="63"/>
      <c r="E994" s="135"/>
      <c r="F994" s="42"/>
      <c r="G994" s="42"/>
      <c r="H994" s="42"/>
      <c r="I994" s="42"/>
      <c r="J994" s="42"/>
      <c r="K994" s="42"/>
      <c r="L994" s="42"/>
      <c r="M994" s="42"/>
      <c r="N994" s="42"/>
      <c r="O994" s="42"/>
      <c r="P994" s="42"/>
      <c r="Q994" s="42"/>
      <c r="R994" s="42"/>
      <c r="S994" s="42"/>
      <c r="T994" s="42"/>
      <c r="U994" s="42"/>
      <c r="V994" s="42"/>
      <c r="W994" s="42"/>
      <c r="X994" s="42"/>
      <c r="Y994" s="42"/>
      <c r="Z994" s="42"/>
    </row>
    <row r="995">
      <c r="A995" s="133"/>
      <c r="B995" s="134"/>
      <c r="C995" s="63"/>
      <c r="D995" s="63"/>
      <c r="E995" s="135"/>
      <c r="F995" s="42"/>
      <c r="G995" s="42"/>
      <c r="H995" s="42"/>
      <c r="I995" s="42"/>
      <c r="J995" s="42"/>
      <c r="K995" s="42"/>
      <c r="L995" s="42"/>
      <c r="M995" s="42"/>
      <c r="N995" s="42"/>
      <c r="O995" s="42"/>
      <c r="P995" s="42"/>
      <c r="Q995" s="42"/>
      <c r="R995" s="42"/>
      <c r="S995" s="42"/>
      <c r="T995" s="42"/>
      <c r="U995" s="42"/>
      <c r="V995" s="42"/>
      <c r="W995" s="42"/>
      <c r="X995" s="42"/>
      <c r="Y995" s="42"/>
      <c r="Z995" s="42"/>
    </row>
    <row r="996">
      <c r="A996" s="133"/>
      <c r="B996" s="134"/>
      <c r="C996" s="63"/>
      <c r="D996" s="63"/>
      <c r="E996" s="135"/>
      <c r="F996" s="42"/>
      <c r="G996" s="42"/>
      <c r="H996" s="42"/>
      <c r="I996" s="42"/>
      <c r="J996" s="42"/>
      <c r="K996" s="42"/>
      <c r="L996" s="42"/>
      <c r="M996" s="42"/>
      <c r="N996" s="42"/>
      <c r="O996" s="42"/>
      <c r="P996" s="42"/>
      <c r="Q996" s="42"/>
      <c r="R996" s="42"/>
      <c r="S996" s="42"/>
      <c r="T996" s="42"/>
      <c r="U996" s="42"/>
      <c r="V996" s="42"/>
      <c r="W996" s="42"/>
      <c r="X996" s="42"/>
      <c r="Y996" s="42"/>
      <c r="Z996" s="42"/>
    </row>
    <row r="997">
      <c r="A997" s="133"/>
      <c r="B997" s="134"/>
      <c r="C997" s="63"/>
      <c r="D997" s="63"/>
      <c r="E997" s="135"/>
      <c r="F997" s="42"/>
      <c r="G997" s="42"/>
      <c r="H997" s="42"/>
      <c r="I997" s="42"/>
      <c r="J997" s="42"/>
      <c r="K997" s="42"/>
      <c r="L997" s="42"/>
      <c r="M997" s="42"/>
      <c r="N997" s="42"/>
      <c r="O997" s="42"/>
      <c r="P997" s="42"/>
      <c r="Q997" s="42"/>
      <c r="R997" s="42"/>
      <c r="S997" s="42"/>
      <c r="T997" s="42"/>
      <c r="U997" s="42"/>
      <c r="V997" s="42"/>
      <c r="W997" s="42"/>
      <c r="X997" s="42"/>
      <c r="Y997" s="42"/>
      <c r="Z997" s="42"/>
    </row>
    <row r="998">
      <c r="A998" s="133"/>
      <c r="B998" s="134"/>
      <c r="C998" s="63"/>
      <c r="D998" s="63"/>
      <c r="E998" s="135"/>
      <c r="F998" s="42"/>
      <c r="G998" s="42"/>
      <c r="H998" s="42"/>
      <c r="I998" s="42"/>
      <c r="J998" s="42"/>
      <c r="K998" s="42"/>
      <c r="L998" s="42"/>
      <c r="M998" s="42"/>
      <c r="N998" s="42"/>
      <c r="O998" s="42"/>
      <c r="P998" s="42"/>
      <c r="Q998" s="42"/>
      <c r="R998" s="42"/>
      <c r="S998" s="42"/>
      <c r="T998" s="42"/>
      <c r="U998" s="42"/>
      <c r="V998" s="42"/>
      <c r="W998" s="42"/>
      <c r="X998" s="42"/>
      <c r="Y998" s="42"/>
      <c r="Z998" s="42"/>
    </row>
    <row r="999">
      <c r="A999" s="133"/>
      <c r="B999" s="134"/>
      <c r="C999" s="63"/>
      <c r="D999" s="63"/>
      <c r="E999" s="135"/>
      <c r="F999" s="42"/>
      <c r="G999" s="42"/>
      <c r="H999" s="42"/>
      <c r="I999" s="42"/>
      <c r="J999" s="42"/>
      <c r="K999" s="42"/>
      <c r="L999" s="42"/>
      <c r="M999" s="42"/>
      <c r="N999" s="42"/>
      <c r="O999" s="42"/>
      <c r="P999" s="42"/>
      <c r="Q999" s="42"/>
      <c r="R999" s="42"/>
      <c r="S999" s="42"/>
      <c r="T999" s="42"/>
      <c r="U999" s="42"/>
      <c r="V999" s="42"/>
      <c r="W999" s="42"/>
      <c r="X999" s="42"/>
      <c r="Y999" s="42"/>
      <c r="Z999" s="42"/>
    </row>
    <row r="1000">
      <c r="A1000" s="133"/>
      <c r="B1000" s="134"/>
      <c r="C1000" s="63"/>
      <c r="D1000" s="63"/>
      <c r="E1000" s="135"/>
      <c r="F1000" s="42"/>
      <c r="G1000" s="42"/>
      <c r="H1000" s="42"/>
      <c r="I1000" s="42"/>
      <c r="J1000" s="42"/>
      <c r="K1000" s="42"/>
      <c r="L1000" s="42"/>
      <c r="M1000" s="42"/>
      <c r="N1000" s="42"/>
      <c r="O1000" s="42"/>
      <c r="P1000" s="42"/>
      <c r="Q1000" s="42"/>
      <c r="R1000" s="42"/>
      <c r="S1000" s="42"/>
      <c r="T1000" s="42"/>
      <c r="U1000" s="42"/>
      <c r="V1000" s="42"/>
      <c r="W1000" s="42"/>
      <c r="X1000" s="42"/>
      <c r="Y1000" s="42"/>
      <c r="Z1000" s="42"/>
    </row>
  </sheetData>
  <mergeCells count="20">
    <mergeCell ref="A1:B1"/>
    <mergeCell ref="A2:B2"/>
    <mergeCell ref="A3:B3"/>
    <mergeCell ref="A4:B4"/>
    <mergeCell ref="A5:B5"/>
    <mergeCell ref="A6:B6"/>
    <mergeCell ref="A7:B7"/>
    <mergeCell ref="A37:A39"/>
    <mergeCell ref="A40:A42"/>
    <mergeCell ref="A43:A45"/>
    <mergeCell ref="A46:B60"/>
    <mergeCell ref="A61:A64"/>
    <mergeCell ref="B62:B63"/>
    <mergeCell ref="A8:B8"/>
    <mergeCell ref="A9:A12"/>
    <mergeCell ref="A13:A18"/>
    <mergeCell ref="A19:A24"/>
    <mergeCell ref="A25:A30"/>
    <mergeCell ref="A31:A33"/>
    <mergeCell ref="A34:A36"/>
  </mergeCells>
  <hyperlinks>
    <hyperlink r:id="rId1" ref="C17"/>
    <hyperlink r:id="rId2" ref="D17"/>
    <hyperlink r:id="rId3" ref="E17"/>
    <hyperlink r:id="rId4" ref="C23"/>
    <hyperlink r:id="rId5" ref="D23"/>
    <hyperlink r:id="rId6" ref="E23"/>
    <hyperlink r:id="rId7" ref="C29"/>
    <hyperlink r:id="rId8" ref="D29"/>
    <hyperlink r:id="rId9" ref="E29"/>
    <hyperlink r:id="rId10" ref="C32"/>
    <hyperlink r:id="rId11" ref="D32"/>
    <hyperlink r:id="rId12" ref="E32"/>
    <hyperlink r:id="rId13" ref="C35"/>
    <hyperlink r:id="rId14" ref="D35"/>
    <hyperlink r:id="rId15" ref="E35"/>
    <hyperlink r:id="rId16" ref="C38"/>
    <hyperlink r:id="rId17" ref="D38"/>
    <hyperlink r:id="rId18" ref="E38"/>
    <hyperlink r:id="rId19" ref="C41"/>
    <hyperlink r:id="rId20" ref="D41"/>
    <hyperlink r:id="rId21" ref="C44"/>
    <hyperlink r:id="rId22" ref="D44"/>
    <hyperlink r:id="rId23" ref="C61"/>
    <hyperlink r:id="rId24" ref="D61"/>
    <hyperlink r:id="rId25" ref="E61"/>
  </hyperlinks>
  <drawing r:id="rId2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0"/>
    <col customWidth="1" min="2" max="3" width="12.63"/>
    <col customWidth="1" min="4" max="4" width="13.63"/>
    <col customWidth="1" min="5" max="5" width="12.63"/>
    <col customWidth="1" min="6" max="6" width="15.88"/>
    <col customWidth="1" min="7" max="7" width="72.0"/>
  </cols>
  <sheetData>
    <row r="1" ht="15.75" customHeight="1">
      <c r="A1" s="80" t="s">
        <v>2</v>
      </c>
      <c r="B1" s="80" t="s">
        <v>10</v>
      </c>
      <c r="C1" s="80" t="s">
        <v>1579</v>
      </c>
      <c r="D1" s="80" t="s">
        <v>1580</v>
      </c>
      <c r="E1" s="80" t="s">
        <v>575</v>
      </c>
      <c r="F1" s="80" t="s">
        <v>1581</v>
      </c>
      <c r="G1" s="80" t="s">
        <v>1055</v>
      </c>
    </row>
    <row r="2" ht="15.75" customHeight="1">
      <c r="A2" s="80" t="s">
        <v>1054</v>
      </c>
      <c r="B2" s="80" t="s">
        <v>1582</v>
      </c>
      <c r="C2" s="80" t="s">
        <v>1583</v>
      </c>
      <c r="D2" s="136" t="s">
        <v>1584</v>
      </c>
      <c r="E2" s="80" t="s">
        <v>1585</v>
      </c>
      <c r="F2" s="80" t="s">
        <v>1586</v>
      </c>
      <c r="G2" s="80" t="s">
        <v>1587</v>
      </c>
    </row>
    <row r="3" ht="15.75" customHeight="1">
      <c r="A3" s="43" t="s">
        <v>1588</v>
      </c>
      <c r="D3" s="43" t="s">
        <v>1589</v>
      </c>
      <c r="E3" s="43" t="s">
        <v>610</v>
      </c>
      <c r="F3" s="43" t="s">
        <v>1590</v>
      </c>
    </row>
    <row r="4" ht="15.75" customHeight="1"/>
    <row r="5" ht="15.75" customHeight="1">
      <c r="A5" s="80"/>
      <c r="B5" s="80"/>
      <c r="C5" s="80"/>
      <c r="D5" s="80"/>
      <c r="E5" s="80"/>
      <c r="F5" s="80"/>
      <c r="G5" s="80"/>
    </row>
    <row r="6" ht="15.75" customHeight="1">
      <c r="A6" s="80"/>
      <c r="B6" s="80"/>
      <c r="C6" s="80"/>
      <c r="D6" s="80"/>
      <c r="E6" s="80"/>
      <c r="F6" s="80"/>
      <c r="G6" s="80"/>
    </row>
    <row r="7" ht="15.75" customHeight="1">
      <c r="A7" s="80"/>
      <c r="B7" s="80"/>
      <c r="C7" s="80"/>
      <c r="D7" s="80"/>
      <c r="E7" s="80"/>
      <c r="F7" s="80"/>
      <c r="G7" s="80"/>
    </row>
    <row r="8" ht="15.75" customHeight="1">
      <c r="A8" s="80"/>
      <c r="B8" s="80"/>
      <c r="C8" s="80"/>
      <c r="D8" s="80"/>
      <c r="E8" s="80"/>
      <c r="F8" s="80"/>
      <c r="G8" s="80"/>
    </row>
    <row r="9" ht="15.75" customHeight="1">
      <c r="A9" s="80"/>
      <c r="B9" s="80"/>
      <c r="C9" s="80"/>
      <c r="D9" s="80"/>
      <c r="E9" s="80"/>
      <c r="F9" s="80"/>
      <c r="G9" s="80"/>
    </row>
    <row r="10" ht="15.75" customHeight="1">
      <c r="A10" s="80"/>
      <c r="B10" s="80"/>
      <c r="C10" s="80"/>
      <c r="D10" s="80"/>
      <c r="E10" s="80"/>
      <c r="F10" s="80"/>
      <c r="G10" s="80"/>
    </row>
    <row r="11" ht="15.75" customHeight="1">
      <c r="A11" s="80"/>
      <c r="B11" s="80"/>
      <c r="C11" s="80"/>
      <c r="D11" s="80"/>
      <c r="E11" s="80"/>
      <c r="F11" s="80"/>
      <c r="G11" s="80"/>
    </row>
    <row r="12" ht="15.75" customHeight="1">
      <c r="A12" s="80"/>
      <c r="B12" s="80"/>
      <c r="C12" s="80"/>
      <c r="D12" s="80"/>
      <c r="E12" s="80"/>
      <c r="F12" s="80"/>
      <c r="G12" s="80"/>
    </row>
    <row r="13" ht="15.75" customHeight="1"/>
    <row r="14" ht="15.75" customHeight="1"/>
    <row r="15" ht="15.75" customHeight="1">
      <c r="A15" s="80" t="s">
        <v>1359</v>
      </c>
      <c r="B15" s="80"/>
      <c r="C15" s="80"/>
      <c r="D15" s="137">
        <v>4.4771988215E11</v>
      </c>
      <c r="E15" s="136" t="s">
        <v>583</v>
      </c>
      <c r="F15" s="136" t="s">
        <v>1591</v>
      </c>
      <c r="G15" s="136" t="s">
        <v>1592</v>
      </c>
    </row>
    <row r="16" ht="15.75" customHeight="1">
      <c r="A16" s="43" t="s">
        <v>1593</v>
      </c>
      <c r="E16" s="43" t="s">
        <v>1594</v>
      </c>
    </row>
    <row r="17" ht="15.75" customHeight="1">
      <c r="A17" s="43" t="s">
        <v>1595</v>
      </c>
      <c r="E17" s="43" t="s">
        <v>610</v>
      </c>
    </row>
    <row r="18" ht="15.75" customHeight="1">
      <c r="A18" s="43" t="s">
        <v>1596</v>
      </c>
      <c r="E18" s="43" t="s">
        <v>610</v>
      </c>
    </row>
    <row r="19" ht="15.75" customHeight="1">
      <c r="A19" s="43" t="s">
        <v>1597</v>
      </c>
      <c r="E19" s="43" t="s">
        <v>610</v>
      </c>
    </row>
    <row r="20" ht="15.75" customHeight="1">
      <c r="A20" s="43" t="s">
        <v>1598</v>
      </c>
      <c r="E20" s="43" t="s">
        <v>610</v>
      </c>
    </row>
    <row r="21" ht="15.75" customHeight="1">
      <c r="A21" s="43" t="s">
        <v>1599</v>
      </c>
      <c r="E21" s="43" t="s">
        <v>653</v>
      </c>
      <c r="F21" s="43" t="s">
        <v>1600</v>
      </c>
    </row>
    <row r="22" ht="15.75" customHeight="1">
      <c r="A22" s="43" t="s">
        <v>1601</v>
      </c>
      <c r="E22" s="43" t="s">
        <v>583</v>
      </c>
      <c r="F22" s="43" t="s">
        <v>1602</v>
      </c>
    </row>
    <row r="23" ht="15.75" customHeight="1">
      <c r="A23" s="136" t="s">
        <v>1603</v>
      </c>
      <c r="B23" s="80"/>
      <c r="C23" s="136" t="s">
        <v>1604</v>
      </c>
      <c r="D23" s="136"/>
      <c r="E23" s="136" t="s">
        <v>610</v>
      </c>
      <c r="F23" s="136" t="s">
        <v>1605</v>
      </c>
      <c r="G23" s="80" t="s">
        <v>1606</v>
      </c>
    </row>
    <row r="24" ht="15.75" customHeight="1"/>
    <row r="25" ht="15.75" customHeight="1"/>
    <row r="26" ht="15.75" customHeight="1">
      <c r="C26" s="138"/>
    </row>
    <row r="27" ht="15.75" customHeight="1">
      <c r="C27" s="138"/>
    </row>
    <row r="28" ht="15.75" customHeight="1">
      <c r="C28" s="138"/>
    </row>
    <row r="29" ht="15.75" customHeight="1">
      <c r="C29" s="138"/>
    </row>
    <row r="30" ht="15.75" customHeight="1">
      <c r="C30" s="138"/>
    </row>
    <row r="31" ht="15.75" customHeight="1">
      <c r="C31" s="138"/>
    </row>
    <row r="32" ht="15.75" customHeight="1">
      <c r="C32" s="138"/>
    </row>
    <row r="33" ht="15.75" customHeight="1">
      <c r="C33" s="138"/>
    </row>
    <row r="34" ht="15.75" customHeight="1">
      <c r="C34" s="138"/>
    </row>
    <row r="35" ht="15.75" customHeight="1">
      <c r="C35" s="138"/>
    </row>
    <row r="36" ht="15.75" customHeight="1">
      <c r="C36" s="138"/>
    </row>
    <row r="37" ht="15.75" customHeight="1">
      <c r="C37" s="138"/>
    </row>
    <row r="38" ht="15.75" customHeight="1">
      <c r="C38" s="138"/>
    </row>
    <row r="39" ht="15.75" customHeight="1">
      <c r="C39" s="138"/>
    </row>
    <row r="40" ht="15.75" customHeight="1">
      <c r="C40" s="138"/>
    </row>
    <row r="41" ht="15.75" customHeight="1">
      <c r="C41" s="138"/>
    </row>
    <row r="42" ht="15.75" customHeight="1">
      <c r="C42" s="138"/>
    </row>
    <row r="43" ht="15.75" customHeight="1">
      <c r="C43" s="138"/>
    </row>
    <row r="44" ht="15.75" customHeight="1">
      <c r="C44" s="138"/>
    </row>
    <row r="45" ht="15.75" customHeight="1">
      <c r="C45" s="138"/>
    </row>
    <row r="46" ht="15.75" customHeight="1">
      <c r="C46" s="138"/>
    </row>
    <row r="47" ht="15.75" customHeight="1">
      <c r="C47" s="138"/>
    </row>
    <row r="48" ht="15.75" customHeight="1">
      <c r="C48" s="138"/>
    </row>
    <row r="49" ht="15.75" customHeight="1">
      <c r="C49" s="138"/>
    </row>
    <row r="50" ht="15.75" customHeight="1">
      <c r="C50" s="138"/>
    </row>
    <row r="51" ht="15.75" customHeight="1">
      <c r="C51" s="138"/>
    </row>
    <row r="52" ht="15.75" customHeight="1">
      <c r="C52" s="138"/>
    </row>
    <row r="53" ht="15.75" customHeight="1">
      <c r="C53" s="138"/>
    </row>
    <row r="54" ht="15.75" customHeight="1">
      <c r="C54" s="138"/>
    </row>
    <row r="55" ht="15.75" customHeight="1">
      <c r="C55" s="138"/>
    </row>
    <row r="56" ht="15.75" customHeight="1">
      <c r="C56" s="138"/>
    </row>
    <row r="57" ht="15.75" customHeight="1">
      <c r="C57" s="138"/>
    </row>
    <row r="58" ht="15.75" customHeight="1">
      <c r="C58" s="138"/>
    </row>
    <row r="59" ht="15.75" customHeight="1">
      <c r="C59" s="138"/>
    </row>
    <row r="60" ht="15.75" customHeight="1">
      <c r="C60" s="138"/>
    </row>
    <row r="61" ht="15.75" customHeight="1">
      <c r="C61" s="138"/>
    </row>
    <row r="62" ht="15.75" customHeight="1">
      <c r="C62" s="138"/>
    </row>
    <row r="63" ht="15.75" customHeight="1">
      <c r="C63" s="138"/>
    </row>
    <row r="64" ht="15.75" customHeight="1">
      <c r="C64" s="138"/>
    </row>
    <row r="65" ht="15.75" customHeight="1">
      <c r="C65" s="138"/>
    </row>
    <row r="66" ht="15.75" customHeight="1">
      <c r="C66" s="138"/>
    </row>
    <row r="67" ht="15.75" customHeight="1">
      <c r="C67" s="138"/>
    </row>
    <row r="68" ht="15.75" customHeight="1">
      <c r="C68" s="138"/>
    </row>
    <row r="69" ht="15.75" customHeight="1">
      <c r="C69" s="138"/>
    </row>
    <row r="70" ht="15.75" customHeight="1">
      <c r="C70" s="138"/>
    </row>
    <row r="71" ht="15.75" customHeight="1">
      <c r="C71" s="138"/>
    </row>
    <row r="72" ht="15.75" customHeight="1">
      <c r="C72" s="138"/>
    </row>
    <row r="73" ht="15.75" customHeight="1">
      <c r="C73" s="138"/>
    </row>
    <row r="74" ht="15.75" customHeight="1">
      <c r="C74" s="138"/>
    </row>
    <row r="75" ht="15.75" customHeight="1">
      <c r="C75" s="138"/>
    </row>
    <row r="76" ht="15.75" customHeight="1">
      <c r="C76" s="138"/>
    </row>
    <row r="77" ht="15.75" customHeight="1">
      <c r="C77" s="138"/>
    </row>
    <row r="78" ht="15.75" customHeight="1">
      <c r="C78" s="138"/>
    </row>
    <row r="79" ht="15.75" customHeight="1">
      <c r="C79" s="138"/>
    </row>
    <row r="80" ht="15.75" customHeight="1">
      <c r="C80" s="138"/>
    </row>
    <row r="81" ht="15.75" customHeight="1">
      <c r="C81" s="138"/>
    </row>
    <row r="82" ht="15.75" customHeight="1">
      <c r="C82" s="138"/>
    </row>
    <row r="83" ht="15.75" customHeight="1">
      <c r="C83" s="138"/>
    </row>
    <row r="84" ht="15.75" customHeight="1">
      <c r="C84" s="138"/>
    </row>
    <row r="85" ht="15.75" customHeight="1">
      <c r="C85" s="138"/>
    </row>
    <row r="86" ht="15.75" customHeight="1">
      <c r="C86" s="138"/>
    </row>
    <row r="87" ht="15.75" customHeight="1">
      <c r="C87" s="138"/>
    </row>
    <row r="88" ht="15.75" customHeight="1">
      <c r="C88" s="138"/>
    </row>
    <row r="89" ht="15.75" customHeight="1">
      <c r="C89" s="138"/>
    </row>
    <row r="90" ht="15.75" customHeight="1">
      <c r="C90" s="138"/>
    </row>
    <row r="91" ht="15.75" customHeight="1">
      <c r="C91" s="138"/>
    </row>
    <row r="92" ht="15.75" customHeight="1">
      <c r="C92" s="138"/>
    </row>
    <row r="93" ht="15.75" customHeight="1">
      <c r="C93" s="138"/>
    </row>
    <row r="94" ht="15.75" customHeight="1">
      <c r="C94" s="138"/>
    </row>
    <row r="95" ht="15.75" customHeight="1">
      <c r="C95" s="138"/>
    </row>
    <row r="96" ht="15.75" customHeight="1">
      <c r="C96" s="138"/>
    </row>
    <row r="97" ht="15.75" customHeight="1">
      <c r="C97" s="138"/>
    </row>
    <row r="98" ht="15.75" customHeight="1">
      <c r="C98" s="138"/>
    </row>
    <row r="99" ht="15.75" customHeight="1">
      <c r="C99" s="138"/>
    </row>
    <row r="100" ht="15.75" customHeight="1">
      <c r="C100" s="138"/>
    </row>
    <row r="101" ht="15.75" customHeight="1">
      <c r="C101" s="138"/>
    </row>
    <row r="102" ht="15.75" customHeight="1">
      <c r="C102" s="138"/>
    </row>
    <row r="103" ht="15.75" customHeight="1">
      <c r="C103" s="138"/>
    </row>
    <row r="104" ht="15.75" customHeight="1">
      <c r="C104" s="138"/>
    </row>
    <row r="105" ht="15.75" customHeight="1">
      <c r="C105" s="138"/>
    </row>
    <row r="106" ht="15.75" customHeight="1">
      <c r="C106" s="138"/>
    </row>
    <row r="107" ht="15.75" customHeight="1">
      <c r="C107" s="138"/>
    </row>
    <row r="108" ht="15.75" customHeight="1">
      <c r="C108" s="138"/>
    </row>
    <row r="109" ht="15.75" customHeight="1">
      <c r="C109" s="138"/>
    </row>
    <row r="110" ht="15.75" customHeight="1">
      <c r="C110" s="138"/>
    </row>
    <row r="111" ht="15.75" customHeight="1">
      <c r="C111" s="138"/>
    </row>
    <row r="112" ht="15.75" customHeight="1">
      <c r="C112" s="138"/>
    </row>
    <row r="113" ht="15.75" customHeight="1">
      <c r="C113" s="138"/>
    </row>
    <row r="114" ht="15.75" customHeight="1">
      <c r="C114" s="138"/>
    </row>
    <row r="115" ht="15.75" customHeight="1">
      <c r="C115" s="138"/>
    </row>
    <row r="116" ht="15.75" customHeight="1">
      <c r="C116" s="138"/>
    </row>
    <row r="117" ht="15.75" customHeight="1">
      <c r="C117" s="138"/>
    </row>
    <row r="118" ht="15.75" customHeight="1">
      <c r="C118" s="138"/>
    </row>
    <row r="119" ht="15.75" customHeight="1">
      <c r="C119" s="138"/>
    </row>
    <row r="120" ht="15.75" customHeight="1">
      <c r="C120" s="138"/>
    </row>
    <row r="121" ht="15.75" customHeight="1">
      <c r="C121" s="138"/>
    </row>
    <row r="122" ht="15.75" customHeight="1">
      <c r="C122" s="138"/>
    </row>
    <row r="123" ht="15.75" customHeight="1">
      <c r="C123" s="138"/>
    </row>
    <row r="124" ht="15.75" customHeight="1">
      <c r="C124" s="138"/>
    </row>
    <row r="125" ht="15.75" customHeight="1">
      <c r="C125" s="138"/>
    </row>
    <row r="126" ht="15.75" customHeight="1">
      <c r="C126" s="138"/>
    </row>
    <row r="127" ht="15.75" customHeight="1">
      <c r="C127" s="138"/>
    </row>
    <row r="128" ht="15.75" customHeight="1">
      <c r="C128" s="138"/>
    </row>
    <row r="129" ht="15.75" customHeight="1">
      <c r="C129" s="138"/>
    </row>
    <row r="130" ht="15.75" customHeight="1">
      <c r="C130" s="138"/>
    </row>
    <row r="131" ht="15.75" customHeight="1">
      <c r="C131" s="138"/>
    </row>
    <row r="132" ht="15.75" customHeight="1">
      <c r="C132" s="138"/>
    </row>
    <row r="133" ht="15.75" customHeight="1">
      <c r="C133" s="138"/>
    </row>
    <row r="134" ht="15.75" customHeight="1">
      <c r="C134" s="138"/>
    </row>
    <row r="135" ht="15.75" customHeight="1">
      <c r="C135" s="138"/>
    </row>
    <row r="136" ht="15.75" customHeight="1">
      <c r="C136" s="138"/>
    </row>
    <row r="137" ht="15.75" customHeight="1">
      <c r="C137" s="138"/>
    </row>
    <row r="138" ht="15.75" customHeight="1">
      <c r="C138" s="138"/>
    </row>
    <row r="139" ht="15.75" customHeight="1">
      <c r="C139" s="138"/>
    </row>
    <row r="140" ht="15.75" customHeight="1">
      <c r="C140" s="138"/>
    </row>
    <row r="141" ht="15.75" customHeight="1">
      <c r="C141" s="138"/>
    </row>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8" max="8" width="52.38"/>
    <col customWidth="1" min="10" max="10" width="22.5"/>
  </cols>
  <sheetData>
    <row r="1" ht="15.75" customHeight="1">
      <c r="A1" s="42"/>
      <c r="B1" s="41" t="s">
        <v>1607</v>
      </c>
      <c r="C1" s="41" t="s">
        <v>1608</v>
      </c>
      <c r="D1" s="41" t="s">
        <v>1609</v>
      </c>
      <c r="E1" s="41" t="s">
        <v>1610</v>
      </c>
      <c r="F1" s="42"/>
      <c r="G1" s="42"/>
      <c r="H1" s="63"/>
      <c r="I1" s="42"/>
      <c r="J1" s="42"/>
      <c r="K1" s="42"/>
      <c r="L1" s="42"/>
      <c r="M1" s="42"/>
      <c r="N1" s="42"/>
      <c r="O1" s="42"/>
      <c r="P1" s="42"/>
      <c r="Q1" s="42"/>
      <c r="R1" s="42"/>
      <c r="S1" s="42"/>
      <c r="T1" s="42"/>
      <c r="U1" s="42"/>
      <c r="V1" s="42"/>
      <c r="W1" s="42"/>
      <c r="X1" s="42"/>
      <c r="Y1" s="42"/>
      <c r="Z1" s="42"/>
    </row>
    <row r="2" ht="15.75" customHeight="1">
      <c r="F2" s="42"/>
      <c r="G2" s="42"/>
      <c r="H2" s="99"/>
      <c r="I2" s="42"/>
      <c r="J2" s="42"/>
      <c r="K2" s="42"/>
      <c r="L2" s="42"/>
      <c r="M2" s="42"/>
      <c r="N2" s="42"/>
      <c r="O2" s="42"/>
      <c r="P2" s="42"/>
      <c r="Q2" s="42"/>
      <c r="R2" s="42"/>
      <c r="S2" s="42"/>
      <c r="T2" s="42"/>
      <c r="U2" s="42"/>
      <c r="V2" s="42"/>
      <c r="W2" s="42"/>
      <c r="X2" s="42"/>
      <c r="Y2" s="42"/>
      <c r="Z2" s="42"/>
    </row>
    <row r="3" ht="15.75" customHeight="1">
      <c r="A3" s="124" t="s">
        <v>1611</v>
      </c>
      <c r="F3" s="42"/>
      <c r="G3" s="42"/>
      <c r="H3" s="99"/>
      <c r="I3" s="42"/>
      <c r="J3" s="42"/>
      <c r="K3" s="42"/>
      <c r="L3" s="42"/>
      <c r="M3" s="42"/>
      <c r="N3" s="42"/>
      <c r="O3" s="42"/>
      <c r="P3" s="42"/>
      <c r="Q3" s="42"/>
      <c r="R3" s="42"/>
      <c r="S3" s="42"/>
      <c r="T3" s="42"/>
      <c r="U3" s="42"/>
      <c r="V3" s="42"/>
      <c r="W3" s="42"/>
      <c r="X3" s="42"/>
      <c r="Y3" s="42"/>
      <c r="Z3" s="42"/>
    </row>
    <row r="4" ht="15.75" customHeight="1">
      <c r="A4" s="12" t="s">
        <v>1585</v>
      </c>
      <c r="B4" s="96">
        <v>570.0</v>
      </c>
      <c r="C4" s="139">
        <f t="shared" ref="C4:C9" si="1">B4*0.15</f>
        <v>85.5</v>
      </c>
      <c r="D4" s="139">
        <f>C4*0.18</f>
        <v>15.39</v>
      </c>
      <c r="E4" s="139">
        <f t="shared" ref="E4:E9" si="2">C4+D4</f>
        <v>100.89</v>
      </c>
      <c r="F4" s="42"/>
      <c r="G4" s="42"/>
      <c r="H4" s="63"/>
      <c r="I4" s="42"/>
      <c r="J4" s="42"/>
      <c r="K4" s="42"/>
      <c r="L4" s="42"/>
      <c r="M4" s="42"/>
      <c r="N4" s="42"/>
      <c r="O4" s="42"/>
      <c r="P4" s="42"/>
      <c r="Q4" s="42"/>
      <c r="R4" s="42"/>
      <c r="S4" s="42"/>
      <c r="T4" s="42"/>
      <c r="U4" s="42"/>
      <c r="V4" s="42"/>
      <c r="W4" s="42"/>
      <c r="X4" s="42"/>
      <c r="Y4" s="42"/>
      <c r="Z4" s="42"/>
    </row>
    <row r="5" ht="15.75" customHeight="1">
      <c r="A5" s="12" t="s">
        <v>653</v>
      </c>
      <c r="B5" s="96">
        <v>545.0</v>
      </c>
      <c r="C5" s="139">
        <f t="shared" si="1"/>
        <v>81.75</v>
      </c>
      <c r="D5" s="139">
        <f>C5*0.22</f>
        <v>17.985</v>
      </c>
      <c r="E5" s="139">
        <f t="shared" si="2"/>
        <v>99.735</v>
      </c>
      <c r="F5" s="42"/>
      <c r="G5" s="42"/>
      <c r="H5" s="63"/>
      <c r="I5" s="42"/>
      <c r="J5" s="42"/>
      <c r="K5" s="42"/>
      <c r="L5" s="42"/>
      <c r="M5" s="42"/>
      <c r="N5" s="42"/>
      <c r="O5" s="42"/>
      <c r="P5" s="42"/>
      <c r="Q5" s="42"/>
      <c r="R5" s="42"/>
      <c r="S5" s="42"/>
      <c r="T5" s="42"/>
      <c r="U5" s="42"/>
      <c r="V5" s="42"/>
      <c r="W5" s="42"/>
      <c r="X5" s="42"/>
      <c r="Y5" s="42"/>
      <c r="Z5" s="42"/>
    </row>
    <row r="6" ht="15.75" customHeight="1">
      <c r="A6" s="12" t="s">
        <v>583</v>
      </c>
      <c r="B6" s="96">
        <v>100.0</v>
      </c>
      <c r="C6" s="139">
        <f t="shared" si="1"/>
        <v>15</v>
      </c>
      <c r="D6" s="139">
        <f>C6*0.2</f>
        <v>3</v>
      </c>
      <c r="E6" s="139">
        <f t="shared" si="2"/>
        <v>18</v>
      </c>
      <c r="F6" s="42"/>
      <c r="G6" s="42"/>
      <c r="I6" s="42"/>
      <c r="J6" s="42"/>
      <c r="K6" s="42"/>
      <c r="L6" s="42"/>
      <c r="M6" s="42"/>
      <c r="N6" s="42"/>
      <c r="O6" s="42"/>
      <c r="P6" s="42"/>
      <c r="Q6" s="42"/>
      <c r="R6" s="42"/>
      <c r="S6" s="42"/>
      <c r="T6" s="42"/>
      <c r="U6" s="42"/>
      <c r="V6" s="42"/>
      <c r="W6" s="42"/>
      <c r="X6" s="42"/>
      <c r="Y6" s="42"/>
      <c r="Z6" s="42"/>
    </row>
    <row r="7" ht="15.75" customHeight="1">
      <c r="A7" s="96" t="s">
        <v>1612</v>
      </c>
      <c r="B7" s="96">
        <v>520.0</v>
      </c>
      <c r="C7" s="139">
        <f t="shared" si="1"/>
        <v>78</v>
      </c>
      <c r="D7" s="139">
        <f>C7*0.27</f>
        <v>21.06</v>
      </c>
      <c r="E7" s="139">
        <f t="shared" si="2"/>
        <v>99.06</v>
      </c>
      <c r="F7" s="42"/>
      <c r="G7" s="42"/>
      <c r="I7" s="42"/>
      <c r="J7" s="42"/>
      <c r="K7" s="42"/>
      <c r="L7" s="42"/>
      <c r="M7" s="42"/>
      <c r="N7" s="42"/>
      <c r="O7" s="42"/>
      <c r="P7" s="42"/>
      <c r="Q7" s="42"/>
      <c r="R7" s="42"/>
      <c r="S7" s="42"/>
      <c r="T7" s="42"/>
      <c r="U7" s="42"/>
      <c r="V7" s="42"/>
      <c r="W7" s="42"/>
      <c r="X7" s="42"/>
      <c r="Y7" s="42"/>
      <c r="Z7" s="42"/>
    </row>
    <row r="8" ht="15.75" customHeight="1">
      <c r="A8" s="96" t="s">
        <v>1613</v>
      </c>
      <c r="B8" s="96">
        <v>500.0</v>
      </c>
      <c r="C8" s="139">
        <f t="shared" si="1"/>
        <v>75</v>
      </c>
      <c r="D8" s="139">
        <f>C8*0.17</f>
        <v>12.75</v>
      </c>
      <c r="E8" s="139">
        <f t="shared" si="2"/>
        <v>87.75</v>
      </c>
      <c r="F8" s="42"/>
      <c r="G8" s="42"/>
      <c r="H8" s="53" t="s">
        <v>1614</v>
      </c>
      <c r="I8" s="42"/>
      <c r="J8" s="42"/>
      <c r="K8" s="42"/>
      <c r="L8" s="42"/>
      <c r="M8" s="42"/>
      <c r="N8" s="42"/>
      <c r="O8" s="42"/>
      <c r="P8" s="42"/>
      <c r="Q8" s="42"/>
      <c r="R8" s="42"/>
      <c r="S8" s="42"/>
      <c r="T8" s="42"/>
      <c r="U8" s="42"/>
      <c r="V8" s="42"/>
      <c r="W8" s="42"/>
      <c r="X8" s="42"/>
      <c r="Y8" s="42"/>
      <c r="Z8" s="42"/>
    </row>
    <row r="9" ht="15.75" customHeight="1">
      <c r="A9" s="41" t="s">
        <v>610</v>
      </c>
      <c r="B9" s="96">
        <v>292.0</v>
      </c>
      <c r="C9" s="139">
        <f t="shared" si="1"/>
        <v>43.8</v>
      </c>
      <c r="D9" s="139">
        <f>C9*0.075</f>
        <v>3.285</v>
      </c>
      <c r="E9" s="139">
        <f t="shared" si="2"/>
        <v>47.085</v>
      </c>
      <c r="F9" s="42"/>
      <c r="G9" s="42"/>
      <c r="H9" s="53" t="s">
        <v>1615</v>
      </c>
      <c r="I9" s="42"/>
      <c r="J9" s="42"/>
      <c r="K9" s="42"/>
      <c r="L9" s="42"/>
      <c r="M9" s="42"/>
      <c r="N9" s="42"/>
      <c r="O9" s="42"/>
      <c r="P9" s="42"/>
      <c r="Q9" s="42"/>
      <c r="R9" s="42"/>
      <c r="S9" s="42"/>
      <c r="T9" s="42"/>
      <c r="U9" s="42"/>
      <c r="V9" s="42"/>
      <c r="W9" s="42"/>
      <c r="X9" s="42"/>
      <c r="Y9" s="42"/>
      <c r="Z9" s="42"/>
    </row>
    <row r="10" ht="15.75" customHeight="1">
      <c r="A10" s="42"/>
      <c r="B10" s="42"/>
      <c r="C10" s="42"/>
      <c r="D10" s="42"/>
      <c r="E10" s="42"/>
      <c r="F10" s="42"/>
      <c r="G10" s="42"/>
      <c r="H10" s="53" t="s">
        <v>1616</v>
      </c>
      <c r="I10" s="42"/>
      <c r="J10" s="42"/>
      <c r="K10" s="42"/>
      <c r="L10" s="42"/>
      <c r="M10" s="42"/>
      <c r="N10" s="42"/>
      <c r="O10" s="42"/>
      <c r="P10" s="42"/>
      <c r="Q10" s="42"/>
      <c r="R10" s="42"/>
      <c r="S10" s="42"/>
      <c r="T10" s="42"/>
      <c r="U10" s="42"/>
      <c r="V10" s="42"/>
      <c r="W10" s="42"/>
      <c r="X10" s="42"/>
      <c r="Y10" s="42"/>
      <c r="Z10" s="42"/>
    </row>
    <row r="11" ht="15.75" customHeight="1">
      <c r="A11" s="42"/>
      <c r="B11" s="42"/>
      <c r="C11" s="42"/>
      <c r="D11" s="42"/>
      <c r="E11" s="42"/>
      <c r="F11" s="42"/>
      <c r="G11" s="42"/>
      <c r="H11" s="53" t="s">
        <v>1617</v>
      </c>
      <c r="I11" s="42"/>
      <c r="J11" s="41" t="s">
        <v>1618</v>
      </c>
      <c r="K11" s="42"/>
      <c r="L11" s="42"/>
      <c r="M11" s="42"/>
      <c r="N11" s="42"/>
      <c r="O11" s="42"/>
      <c r="P11" s="42"/>
      <c r="Q11" s="42"/>
      <c r="R11" s="42"/>
      <c r="S11" s="42"/>
      <c r="T11" s="42"/>
      <c r="U11" s="42"/>
      <c r="V11" s="42"/>
      <c r="W11" s="42"/>
      <c r="X11" s="42"/>
      <c r="Y11" s="42"/>
      <c r="Z11" s="42"/>
    </row>
    <row r="12" ht="15.75" customHeight="1">
      <c r="A12" s="42"/>
      <c r="B12" s="42"/>
      <c r="C12" s="42"/>
      <c r="D12" s="42"/>
      <c r="E12" s="42"/>
      <c r="F12" s="42"/>
      <c r="G12" s="42"/>
      <c r="H12" s="53" t="s">
        <v>1619</v>
      </c>
      <c r="I12" s="42"/>
      <c r="J12" s="42"/>
      <c r="K12" s="42"/>
      <c r="L12" s="42"/>
      <c r="M12" s="42"/>
      <c r="N12" s="42"/>
      <c r="O12" s="42"/>
      <c r="P12" s="42"/>
      <c r="Q12" s="42"/>
      <c r="R12" s="42"/>
      <c r="S12" s="42"/>
      <c r="T12" s="42"/>
      <c r="U12" s="42"/>
      <c r="V12" s="42"/>
      <c r="W12" s="42"/>
      <c r="X12" s="42"/>
      <c r="Y12" s="42"/>
      <c r="Z12" s="42"/>
    </row>
    <row r="13" ht="15.75" customHeight="1">
      <c r="A13" s="42"/>
      <c r="B13" s="42"/>
      <c r="C13" s="42"/>
      <c r="D13" s="42"/>
      <c r="E13" s="42"/>
      <c r="F13" s="42"/>
      <c r="G13" s="42"/>
      <c r="H13" s="53" t="s">
        <v>1620</v>
      </c>
      <c r="I13" s="42"/>
      <c r="J13" s="42"/>
      <c r="K13" s="42"/>
      <c r="L13" s="42"/>
      <c r="M13" s="42"/>
      <c r="N13" s="42"/>
      <c r="O13" s="42"/>
      <c r="P13" s="42"/>
      <c r="Q13" s="42"/>
      <c r="R13" s="42"/>
      <c r="S13" s="42"/>
      <c r="T13" s="42"/>
      <c r="U13" s="42"/>
      <c r="V13" s="42"/>
      <c r="W13" s="42"/>
      <c r="X13" s="42"/>
      <c r="Y13" s="42"/>
      <c r="Z13" s="42"/>
    </row>
    <row r="14" ht="15.75" customHeight="1">
      <c r="A14" s="42"/>
      <c r="B14" s="41"/>
      <c r="C14" s="41"/>
      <c r="D14" s="42"/>
      <c r="E14" s="42"/>
      <c r="F14" s="42"/>
      <c r="G14" s="42"/>
      <c r="H14" s="63"/>
      <c r="I14" s="42"/>
      <c r="J14" s="42"/>
      <c r="K14" s="42"/>
      <c r="L14" s="42"/>
      <c r="M14" s="42"/>
      <c r="N14" s="42"/>
      <c r="O14" s="42"/>
      <c r="P14" s="42"/>
      <c r="Q14" s="42"/>
      <c r="R14" s="42"/>
      <c r="S14" s="42"/>
      <c r="T14" s="42"/>
      <c r="U14" s="42"/>
      <c r="V14" s="42"/>
      <c r="W14" s="42"/>
      <c r="X14" s="42"/>
      <c r="Y14" s="42"/>
      <c r="Z14" s="42"/>
    </row>
    <row r="15" ht="15.75" customHeight="1">
      <c r="A15" s="42"/>
      <c r="B15" s="42"/>
      <c r="C15" s="42"/>
      <c r="D15" s="42"/>
      <c r="E15" s="42"/>
      <c r="F15" s="42"/>
      <c r="G15" s="42"/>
      <c r="H15" s="63"/>
      <c r="I15" s="42"/>
      <c r="J15" s="42"/>
      <c r="K15" s="42"/>
      <c r="L15" s="42"/>
      <c r="M15" s="42"/>
      <c r="N15" s="42"/>
      <c r="O15" s="42"/>
      <c r="P15" s="42"/>
      <c r="Q15" s="42"/>
      <c r="R15" s="42"/>
      <c r="S15" s="42"/>
      <c r="T15" s="42"/>
      <c r="U15" s="42"/>
      <c r="V15" s="42"/>
      <c r="W15" s="42"/>
      <c r="X15" s="42"/>
      <c r="Y15" s="42"/>
      <c r="Z15" s="42"/>
    </row>
    <row r="16" ht="15.75" customHeight="1">
      <c r="A16" s="42"/>
      <c r="B16" s="42"/>
      <c r="C16" s="42"/>
      <c r="D16" s="42"/>
      <c r="E16" s="42"/>
      <c r="F16" s="42"/>
      <c r="G16" s="42"/>
      <c r="H16" s="63"/>
      <c r="I16" s="42"/>
      <c r="J16" s="42"/>
      <c r="K16" s="42"/>
      <c r="L16" s="42"/>
      <c r="M16" s="42"/>
      <c r="N16" s="42"/>
      <c r="O16" s="42"/>
      <c r="P16" s="42"/>
      <c r="Q16" s="42"/>
      <c r="R16" s="42"/>
      <c r="S16" s="42"/>
      <c r="T16" s="42"/>
      <c r="U16" s="42"/>
      <c r="V16" s="42"/>
      <c r="W16" s="42"/>
      <c r="X16" s="42"/>
      <c r="Y16" s="42"/>
      <c r="Z16" s="42"/>
    </row>
    <row r="17" ht="15.75" customHeight="1">
      <c r="A17" s="42"/>
      <c r="B17" s="42"/>
      <c r="C17" s="41"/>
      <c r="D17" s="42"/>
      <c r="E17" s="42"/>
      <c r="F17" s="42"/>
      <c r="G17" s="42"/>
      <c r="H17" s="63"/>
      <c r="I17" s="42"/>
      <c r="J17" s="42"/>
      <c r="K17" s="42"/>
      <c r="L17" s="42"/>
      <c r="M17" s="42"/>
      <c r="N17" s="42"/>
      <c r="O17" s="42"/>
      <c r="P17" s="42"/>
      <c r="Q17" s="42"/>
      <c r="R17" s="42"/>
      <c r="S17" s="42"/>
      <c r="T17" s="42"/>
      <c r="U17" s="42"/>
      <c r="V17" s="42"/>
      <c r="W17" s="42"/>
      <c r="X17" s="42"/>
      <c r="Y17" s="42"/>
      <c r="Z17" s="42"/>
    </row>
    <row r="18" ht="15.75" customHeight="1">
      <c r="A18" s="42"/>
      <c r="B18" s="41"/>
      <c r="C18" s="42"/>
      <c r="D18" s="42"/>
      <c r="E18" s="42"/>
      <c r="F18" s="42"/>
      <c r="G18" s="42"/>
      <c r="H18" s="63"/>
      <c r="I18" s="42"/>
      <c r="J18" s="42"/>
      <c r="K18" s="42"/>
      <c r="L18" s="42"/>
      <c r="M18" s="42"/>
      <c r="N18" s="42"/>
      <c r="O18" s="42"/>
      <c r="P18" s="42"/>
      <c r="Q18" s="42"/>
      <c r="R18" s="42"/>
      <c r="S18" s="42"/>
      <c r="T18" s="42"/>
      <c r="U18" s="42"/>
      <c r="V18" s="42"/>
      <c r="W18" s="42"/>
      <c r="X18" s="42"/>
      <c r="Y18" s="42"/>
      <c r="Z18" s="42"/>
    </row>
    <row r="19" ht="15.75" customHeight="1">
      <c r="A19" s="42"/>
      <c r="B19" s="41"/>
      <c r="C19" s="42"/>
      <c r="D19" s="42"/>
      <c r="E19" s="42"/>
      <c r="F19" s="42"/>
      <c r="G19" s="42"/>
      <c r="H19" s="63"/>
      <c r="I19" s="42"/>
      <c r="J19" s="42"/>
      <c r="K19" s="42"/>
      <c r="L19" s="42"/>
      <c r="M19" s="42"/>
      <c r="N19" s="42"/>
      <c r="O19" s="42"/>
      <c r="P19" s="42"/>
      <c r="Q19" s="42"/>
      <c r="R19" s="42"/>
      <c r="S19" s="42"/>
      <c r="T19" s="42"/>
      <c r="U19" s="42"/>
      <c r="V19" s="42"/>
      <c r="W19" s="42"/>
      <c r="X19" s="42"/>
      <c r="Y19" s="42"/>
      <c r="Z19" s="42"/>
    </row>
    <row r="20" ht="15.75" customHeight="1">
      <c r="A20" s="42"/>
      <c r="B20" s="41"/>
      <c r="C20" s="42"/>
      <c r="D20" s="42"/>
      <c r="E20" s="42"/>
      <c r="F20" s="42"/>
      <c r="G20" s="42"/>
      <c r="H20" s="63"/>
      <c r="I20" s="42"/>
      <c r="J20" s="42"/>
      <c r="K20" s="42"/>
      <c r="L20" s="42"/>
      <c r="M20" s="42"/>
      <c r="N20" s="42"/>
      <c r="O20" s="42"/>
      <c r="P20" s="42"/>
      <c r="Q20" s="42"/>
      <c r="R20" s="42"/>
      <c r="S20" s="42"/>
      <c r="T20" s="42"/>
      <c r="U20" s="42"/>
      <c r="V20" s="42"/>
      <c r="W20" s="42"/>
      <c r="X20" s="42"/>
      <c r="Y20" s="42"/>
      <c r="Z20" s="42"/>
    </row>
    <row r="21" ht="15.75" customHeight="1">
      <c r="A21" s="124" t="s">
        <v>1621</v>
      </c>
      <c r="E21" s="42"/>
      <c r="F21" s="42"/>
      <c r="G21" s="42"/>
      <c r="H21" s="53" t="s">
        <v>589</v>
      </c>
      <c r="I21" s="42"/>
      <c r="J21" s="42"/>
      <c r="K21" s="42"/>
      <c r="L21" s="42"/>
      <c r="M21" s="42"/>
      <c r="N21" s="42"/>
      <c r="O21" s="42"/>
      <c r="P21" s="42"/>
      <c r="Q21" s="42"/>
      <c r="R21" s="42"/>
      <c r="S21" s="42"/>
      <c r="T21" s="42"/>
      <c r="U21" s="42"/>
      <c r="V21" s="42"/>
      <c r="W21" s="42"/>
      <c r="X21" s="42"/>
      <c r="Y21" s="42"/>
      <c r="Z21" s="42"/>
    </row>
    <row r="22" ht="15.75" customHeight="1">
      <c r="A22" s="41" t="s">
        <v>1622</v>
      </c>
      <c r="B22" s="41">
        <v>5000.0</v>
      </c>
      <c r="C22" s="42"/>
      <c r="D22" s="41" t="s">
        <v>1623</v>
      </c>
      <c r="E22" s="42"/>
      <c r="F22" s="42"/>
      <c r="G22" s="42"/>
      <c r="H22" s="53" t="s">
        <v>1624</v>
      </c>
      <c r="I22" s="42"/>
      <c r="J22" s="42"/>
      <c r="K22" s="42"/>
      <c r="L22" s="42"/>
      <c r="M22" s="42"/>
      <c r="N22" s="42"/>
      <c r="O22" s="42"/>
      <c r="P22" s="42"/>
      <c r="Q22" s="42"/>
      <c r="R22" s="42"/>
      <c r="S22" s="42"/>
      <c r="T22" s="42"/>
      <c r="U22" s="42"/>
      <c r="V22" s="42"/>
      <c r="W22" s="42"/>
      <c r="X22" s="42"/>
      <c r="Y22" s="42"/>
      <c r="Z22" s="42"/>
    </row>
    <row r="23" ht="15.75" customHeight="1">
      <c r="A23" s="41" t="s">
        <v>1625</v>
      </c>
      <c r="B23" s="42">
        <f>B22*0.1</f>
        <v>500</v>
      </c>
      <c r="C23" s="41" t="s">
        <v>1626</v>
      </c>
      <c r="D23" s="42">
        <f>IF(D22="No VAT",B23*0.27,0)</f>
        <v>135</v>
      </c>
      <c r="E23" s="42"/>
      <c r="F23" s="42"/>
      <c r="G23" s="41"/>
      <c r="H23" s="53" t="s">
        <v>1627</v>
      </c>
      <c r="I23" s="42"/>
      <c r="J23" s="42"/>
      <c r="K23" s="42"/>
      <c r="L23" s="42"/>
      <c r="M23" s="42"/>
      <c r="N23" s="42"/>
      <c r="O23" s="42"/>
      <c r="P23" s="42"/>
      <c r="Q23" s="42"/>
      <c r="R23" s="42"/>
      <c r="S23" s="42"/>
      <c r="T23" s="42"/>
      <c r="U23" s="42"/>
      <c r="V23" s="42"/>
      <c r="W23" s="42"/>
      <c r="X23" s="42"/>
      <c r="Y23" s="42"/>
      <c r="Z23" s="42"/>
    </row>
    <row r="24" ht="15.75" customHeight="1">
      <c r="A24" s="41" t="s">
        <v>1628</v>
      </c>
      <c r="B24" s="42">
        <f>B22*0.6</f>
        <v>3000</v>
      </c>
      <c r="C24" s="41" t="s">
        <v>1629</v>
      </c>
      <c r="D24" s="42">
        <f>B24*0.15</f>
        <v>450</v>
      </c>
      <c r="F24" s="42"/>
      <c r="G24" s="42"/>
      <c r="H24" s="53" t="s">
        <v>1630</v>
      </c>
      <c r="I24" s="42"/>
      <c r="J24" s="42"/>
      <c r="K24" s="42"/>
      <c r="L24" s="42"/>
      <c r="M24" s="42"/>
      <c r="N24" s="42"/>
      <c r="O24" s="42"/>
      <c r="P24" s="42"/>
      <c r="Q24" s="42"/>
      <c r="R24" s="42"/>
      <c r="S24" s="42"/>
      <c r="T24" s="42"/>
      <c r="U24" s="42"/>
      <c r="V24" s="42"/>
      <c r="W24" s="42"/>
      <c r="X24" s="42"/>
      <c r="Y24" s="42"/>
      <c r="Z24" s="42"/>
    </row>
    <row r="25" ht="15.75" customHeight="1">
      <c r="A25" s="42"/>
      <c r="B25" s="42"/>
      <c r="C25" s="41" t="s">
        <v>1631</v>
      </c>
      <c r="D25" s="42">
        <f>B24*0.185</f>
        <v>555</v>
      </c>
      <c r="E25" s="42"/>
      <c r="F25" s="42"/>
      <c r="G25" s="42"/>
      <c r="H25" s="53" t="s">
        <v>1632</v>
      </c>
      <c r="I25" s="42"/>
      <c r="J25" s="42"/>
      <c r="K25" s="42"/>
      <c r="L25" s="42"/>
      <c r="M25" s="42"/>
      <c r="N25" s="42"/>
      <c r="O25" s="42"/>
      <c r="P25" s="42"/>
      <c r="Q25" s="42"/>
      <c r="R25" s="42"/>
      <c r="S25" s="42"/>
      <c r="T25" s="42"/>
      <c r="U25" s="42"/>
      <c r="V25" s="42"/>
      <c r="W25" s="42"/>
      <c r="X25" s="42"/>
      <c r="Y25" s="42"/>
      <c r="Z25" s="42"/>
    </row>
    <row r="26" ht="15.75" customHeight="1">
      <c r="A26" s="41" t="s">
        <v>1633</v>
      </c>
      <c r="B26" s="42">
        <f>D24+D25+D26</f>
        <v>1395</v>
      </c>
      <c r="C26" s="41" t="s">
        <v>1634</v>
      </c>
      <c r="D26" s="42">
        <f>B24*0.13</f>
        <v>390</v>
      </c>
      <c r="E26" s="42"/>
      <c r="F26" s="42"/>
      <c r="G26" s="42"/>
      <c r="H26" s="53" t="s">
        <v>1635</v>
      </c>
      <c r="I26" s="42"/>
      <c r="J26" s="42"/>
      <c r="K26" s="42"/>
      <c r="L26" s="42"/>
      <c r="M26" s="42"/>
      <c r="N26" s="42"/>
      <c r="O26" s="42"/>
      <c r="P26" s="42"/>
      <c r="Q26" s="42"/>
      <c r="R26" s="42"/>
      <c r="S26" s="42"/>
      <c r="T26" s="42"/>
      <c r="U26" s="42"/>
      <c r="V26" s="42"/>
      <c r="W26" s="42"/>
      <c r="X26" s="42"/>
      <c r="Y26" s="42"/>
      <c r="Z26" s="42"/>
    </row>
    <row r="27" ht="15.75" customHeight="1">
      <c r="A27" s="41" t="s">
        <v>1636</v>
      </c>
      <c r="B27" s="42">
        <f>B22-B23-D23-B26</f>
        <v>2970</v>
      </c>
      <c r="C27" s="42"/>
      <c r="D27" s="42"/>
      <c r="E27" s="42"/>
      <c r="F27" s="42"/>
      <c r="G27" s="42"/>
      <c r="H27" s="53" t="s">
        <v>1637</v>
      </c>
      <c r="I27" s="42"/>
      <c r="J27" s="42"/>
      <c r="K27" s="42"/>
      <c r="L27" s="42"/>
      <c r="M27" s="42"/>
      <c r="N27" s="42"/>
      <c r="O27" s="42"/>
      <c r="P27" s="42"/>
      <c r="Q27" s="42"/>
      <c r="R27" s="42"/>
      <c r="S27" s="42"/>
      <c r="T27" s="42"/>
      <c r="U27" s="42"/>
      <c r="V27" s="42"/>
      <c r="W27" s="42"/>
      <c r="X27" s="42"/>
      <c r="Y27" s="42"/>
      <c r="Z27" s="42"/>
    </row>
    <row r="28" ht="15.75" customHeight="1">
      <c r="A28" s="41" t="s">
        <v>1638</v>
      </c>
      <c r="B28" s="41">
        <v>200.0</v>
      </c>
      <c r="C28" s="41" t="s">
        <v>1639</v>
      </c>
      <c r="D28" s="41">
        <v>1000.0</v>
      </c>
      <c r="E28" s="42"/>
      <c r="F28" s="42"/>
      <c r="G28" s="42"/>
      <c r="H28" s="53" t="s">
        <v>1640</v>
      </c>
      <c r="I28" s="41" t="s">
        <v>1641</v>
      </c>
      <c r="J28" s="42"/>
      <c r="K28" s="42"/>
      <c r="L28" s="42"/>
      <c r="M28" s="42"/>
      <c r="N28" s="42"/>
      <c r="O28" s="42"/>
      <c r="P28" s="42"/>
      <c r="Q28" s="42"/>
      <c r="R28" s="42"/>
      <c r="S28" s="42"/>
      <c r="T28" s="42"/>
      <c r="U28" s="42"/>
      <c r="V28" s="42"/>
      <c r="W28" s="42"/>
      <c r="X28" s="42"/>
      <c r="Y28" s="42"/>
      <c r="Z28" s="42"/>
    </row>
    <row r="29" ht="15.75" customHeight="1">
      <c r="A29" s="41" t="s">
        <v>1642</v>
      </c>
      <c r="B29" s="42">
        <f>B27-B28-D28</f>
        <v>1770</v>
      </c>
      <c r="C29" s="41" t="s">
        <v>1643</v>
      </c>
      <c r="D29" s="42">
        <f>B22-B23-D23</f>
        <v>4365</v>
      </c>
      <c r="E29" s="42"/>
      <c r="F29" s="42"/>
      <c r="G29" s="42"/>
      <c r="H29" s="53" t="s">
        <v>1644</v>
      </c>
      <c r="I29" s="42"/>
      <c r="J29" s="42"/>
      <c r="K29" s="42"/>
      <c r="L29" s="42"/>
      <c r="M29" s="42"/>
      <c r="N29" s="42"/>
      <c r="O29" s="42"/>
      <c r="P29" s="42"/>
      <c r="Q29" s="42"/>
      <c r="R29" s="42"/>
      <c r="S29" s="42"/>
      <c r="T29" s="42"/>
      <c r="U29" s="42"/>
      <c r="V29" s="42"/>
      <c r="W29" s="42"/>
      <c r="X29" s="42"/>
      <c r="Y29" s="42"/>
      <c r="Z29" s="42"/>
    </row>
    <row r="30" ht="15.75" customHeight="1">
      <c r="A30" s="42"/>
      <c r="B30" s="42"/>
      <c r="C30" s="42"/>
      <c r="D30" s="42"/>
      <c r="E30" s="42"/>
      <c r="F30" s="42"/>
      <c r="G30" s="41"/>
      <c r="H30" s="53" t="s">
        <v>1645</v>
      </c>
      <c r="I30" s="42"/>
      <c r="J30" s="42"/>
      <c r="K30" s="42"/>
      <c r="L30" s="42"/>
      <c r="M30" s="42"/>
      <c r="N30" s="42"/>
      <c r="O30" s="42"/>
      <c r="P30" s="42"/>
      <c r="Q30" s="42"/>
      <c r="R30" s="42"/>
      <c r="S30" s="42"/>
      <c r="T30" s="42"/>
      <c r="U30" s="42"/>
      <c r="V30" s="42"/>
      <c r="W30" s="42"/>
      <c r="X30" s="42"/>
      <c r="Y30" s="42"/>
      <c r="Z30" s="42"/>
    </row>
    <row r="31" ht="15.75" customHeight="1">
      <c r="A31" s="124" t="s">
        <v>1646</v>
      </c>
      <c r="E31" s="42"/>
      <c r="F31" s="42"/>
      <c r="G31" s="42"/>
      <c r="H31" s="53" t="s">
        <v>1647</v>
      </c>
      <c r="I31" s="42"/>
      <c r="J31" s="42"/>
      <c r="K31" s="42"/>
      <c r="L31" s="42"/>
      <c r="M31" s="42"/>
      <c r="N31" s="42"/>
      <c r="O31" s="42"/>
      <c r="P31" s="42"/>
      <c r="Q31" s="42"/>
      <c r="R31" s="42"/>
      <c r="S31" s="42"/>
      <c r="T31" s="42"/>
      <c r="U31" s="42"/>
      <c r="V31" s="42"/>
      <c r="W31" s="42"/>
      <c r="X31" s="42"/>
      <c r="Y31" s="42"/>
      <c r="Z31" s="42"/>
    </row>
    <row r="32" ht="15.75" customHeight="1">
      <c r="A32" s="41" t="s">
        <v>1622</v>
      </c>
      <c r="B32" s="41">
        <v>10000.0</v>
      </c>
      <c r="C32" s="42"/>
      <c r="D32" s="42"/>
      <c r="E32" s="42"/>
      <c r="F32" s="42"/>
      <c r="G32" s="42"/>
      <c r="H32" s="63"/>
      <c r="I32" s="42"/>
      <c r="J32" s="42"/>
      <c r="K32" s="42"/>
      <c r="L32" s="42"/>
      <c r="M32" s="42"/>
      <c r="N32" s="42"/>
      <c r="O32" s="42"/>
      <c r="P32" s="42"/>
      <c r="Q32" s="42"/>
      <c r="R32" s="42"/>
      <c r="S32" s="42"/>
      <c r="T32" s="42"/>
      <c r="U32" s="42"/>
      <c r="V32" s="42"/>
      <c r="W32" s="42"/>
      <c r="X32" s="42"/>
      <c r="Y32" s="42"/>
      <c r="Z32" s="42"/>
    </row>
    <row r="33" ht="15.75" customHeight="1">
      <c r="A33" s="41" t="s">
        <v>1625</v>
      </c>
      <c r="B33" s="42">
        <f>B32*0.1</f>
        <v>1000</v>
      </c>
      <c r="C33" s="42"/>
      <c r="D33" s="42"/>
      <c r="E33" s="42"/>
      <c r="F33" s="42"/>
      <c r="G33" s="42"/>
      <c r="H33" s="63"/>
      <c r="I33" s="42"/>
      <c r="J33" s="42"/>
      <c r="K33" s="42"/>
      <c r="L33" s="42"/>
      <c r="M33" s="42"/>
      <c r="N33" s="42"/>
      <c r="O33" s="42"/>
      <c r="P33" s="42"/>
      <c r="Q33" s="42"/>
      <c r="R33" s="42"/>
      <c r="S33" s="42"/>
      <c r="T33" s="42"/>
      <c r="U33" s="42"/>
      <c r="V33" s="42"/>
      <c r="W33" s="42"/>
      <c r="X33" s="42"/>
      <c r="Y33" s="42"/>
      <c r="Z33" s="42"/>
    </row>
    <row r="34" ht="15.75" customHeight="1">
      <c r="A34" s="42"/>
      <c r="B34" s="42"/>
      <c r="C34" s="42"/>
      <c r="D34" s="42"/>
      <c r="E34" s="42"/>
      <c r="F34" s="42"/>
      <c r="G34" s="42"/>
      <c r="H34" s="63"/>
      <c r="I34" s="42"/>
      <c r="J34" s="42"/>
      <c r="K34" s="42"/>
      <c r="L34" s="42"/>
      <c r="M34" s="42"/>
      <c r="N34" s="42"/>
      <c r="O34" s="42"/>
      <c r="P34" s="42"/>
      <c r="Q34" s="42"/>
      <c r="R34" s="42"/>
      <c r="S34" s="42"/>
      <c r="T34" s="42"/>
      <c r="U34" s="42"/>
      <c r="V34" s="42"/>
      <c r="W34" s="42"/>
      <c r="X34" s="42"/>
      <c r="Y34" s="42"/>
      <c r="Z34" s="42"/>
    </row>
    <row r="35" ht="15.75" customHeight="1">
      <c r="A35" s="42"/>
      <c r="B35" s="42"/>
      <c r="C35" s="42"/>
      <c r="D35" s="42"/>
      <c r="E35" s="42"/>
      <c r="F35" s="42"/>
      <c r="G35" s="41" t="s">
        <v>1648</v>
      </c>
      <c r="I35" s="42"/>
      <c r="J35" s="42"/>
      <c r="K35" s="42"/>
      <c r="L35" s="42"/>
      <c r="M35" s="42"/>
      <c r="N35" s="42"/>
      <c r="O35" s="42"/>
      <c r="P35" s="42"/>
      <c r="Q35" s="42"/>
      <c r="R35" s="42"/>
      <c r="S35" s="42"/>
      <c r="T35" s="42"/>
      <c r="U35" s="42"/>
      <c r="V35" s="42"/>
      <c r="W35" s="42"/>
      <c r="X35" s="42"/>
      <c r="Y35" s="42"/>
      <c r="Z35" s="42"/>
    </row>
    <row r="36" ht="15.75" customHeight="1">
      <c r="A36" s="42"/>
      <c r="B36" s="42"/>
      <c r="C36" s="42"/>
      <c r="D36" s="42"/>
      <c r="E36" s="42"/>
      <c r="F36" s="42"/>
      <c r="G36" s="42"/>
      <c r="H36" s="63"/>
      <c r="I36" s="42"/>
      <c r="J36" s="41" t="s">
        <v>1649</v>
      </c>
      <c r="K36" s="41" t="s">
        <v>1650</v>
      </c>
      <c r="L36" s="41">
        <v>117.81</v>
      </c>
      <c r="M36" s="41"/>
      <c r="N36" s="42"/>
      <c r="O36" s="42"/>
      <c r="P36" s="42"/>
      <c r="Q36" s="42"/>
      <c r="R36" s="42"/>
      <c r="S36" s="42"/>
      <c r="T36" s="42"/>
      <c r="U36" s="42"/>
      <c r="V36" s="42"/>
      <c r="W36" s="42"/>
      <c r="X36" s="42"/>
      <c r="Y36" s="42"/>
      <c r="Z36" s="42"/>
    </row>
    <row r="37" ht="15.75" customHeight="1">
      <c r="A37" s="42"/>
      <c r="B37" s="42"/>
      <c r="C37" s="42"/>
      <c r="D37" s="42"/>
      <c r="E37" s="42"/>
      <c r="F37" s="42"/>
      <c r="G37" s="42"/>
      <c r="H37" s="63"/>
      <c r="I37" s="42"/>
      <c r="J37" s="41" t="s">
        <v>1651</v>
      </c>
      <c r="K37" s="42"/>
      <c r="L37" s="41"/>
      <c r="M37" s="41"/>
      <c r="N37" s="42"/>
      <c r="O37" s="42"/>
      <c r="P37" s="42"/>
      <c r="Q37" s="42"/>
      <c r="R37" s="42"/>
      <c r="S37" s="42"/>
      <c r="T37" s="42"/>
      <c r="U37" s="42"/>
      <c r="V37" s="42"/>
      <c r="W37" s="42"/>
      <c r="X37" s="42"/>
      <c r="Y37" s="42"/>
      <c r="Z37" s="42"/>
    </row>
    <row r="38" ht="15.75" customHeight="1">
      <c r="A38" s="42"/>
      <c r="B38" s="42"/>
      <c r="C38" s="42"/>
      <c r="D38" s="42"/>
      <c r="E38" s="42"/>
      <c r="F38" s="42"/>
      <c r="G38" s="42"/>
      <c r="H38" s="63"/>
      <c r="I38" s="42"/>
      <c r="J38" s="41" t="s">
        <v>1652</v>
      </c>
      <c r="K38" s="41"/>
      <c r="L38" s="41"/>
      <c r="M38" s="41"/>
      <c r="N38" s="42"/>
      <c r="O38" s="42"/>
      <c r="P38" s="42"/>
      <c r="Q38" s="42"/>
      <c r="R38" s="42"/>
      <c r="S38" s="42"/>
      <c r="T38" s="42"/>
      <c r="U38" s="42"/>
      <c r="V38" s="42"/>
      <c r="W38" s="42"/>
      <c r="X38" s="42"/>
      <c r="Y38" s="42"/>
      <c r="Z38" s="42"/>
    </row>
    <row r="39" ht="15.75" customHeight="1">
      <c r="A39" s="42"/>
      <c r="B39" s="42"/>
      <c r="C39" s="42"/>
      <c r="D39" s="42"/>
      <c r="E39" s="42"/>
      <c r="F39" s="42"/>
      <c r="G39" s="42"/>
      <c r="H39" s="63"/>
      <c r="I39" s="42"/>
      <c r="J39" s="41" t="s">
        <v>1653</v>
      </c>
      <c r="K39" s="42"/>
      <c r="L39" s="41"/>
      <c r="M39" s="41"/>
      <c r="N39" s="42"/>
      <c r="O39" s="42"/>
      <c r="P39" s="42"/>
      <c r="Q39" s="42"/>
      <c r="R39" s="42"/>
      <c r="S39" s="42"/>
      <c r="T39" s="42"/>
      <c r="U39" s="42"/>
      <c r="V39" s="42"/>
      <c r="W39" s="42"/>
      <c r="X39" s="42"/>
      <c r="Y39" s="42"/>
      <c r="Z39" s="42"/>
    </row>
    <row r="40" ht="15.75" customHeight="1">
      <c r="A40" s="42"/>
      <c r="B40" s="41" t="s">
        <v>1654</v>
      </c>
      <c r="C40" s="41" t="s">
        <v>1655</v>
      </c>
      <c r="D40" s="140" t="s">
        <v>1656</v>
      </c>
      <c r="E40" s="42"/>
      <c r="F40" s="42"/>
      <c r="G40" s="42"/>
      <c r="H40" s="63"/>
      <c r="I40" s="42"/>
      <c r="J40" s="41" t="s">
        <v>1657</v>
      </c>
      <c r="K40" s="42"/>
      <c r="L40" s="41">
        <v>0.91</v>
      </c>
      <c r="M40" s="41"/>
      <c r="N40" s="42"/>
      <c r="O40" s="42"/>
      <c r="P40" s="42"/>
      <c r="Q40" s="42"/>
      <c r="R40" s="42"/>
      <c r="S40" s="42"/>
      <c r="T40" s="42"/>
      <c r="U40" s="42"/>
      <c r="V40" s="42"/>
      <c r="W40" s="42"/>
      <c r="X40" s="42"/>
      <c r="Y40" s="42"/>
      <c r="Z40" s="42"/>
    </row>
    <row r="41" ht="15.75" customHeight="1">
      <c r="A41" s="42"/>
      <c r="B41" s="42"/>
      <c r="C41" s="42"/>
      <c r="D41" s="42"/>
      <c r="E41" s="42"/>
      <c r="F41" s="42"/>
      <c r="G41" s="42"/>
      <c r="H41" s="63"/>
      <c r="I41" s="42"/>
      <c r="J41" s="41" t="s">
        <v>1658</v>
      </c>
      <c r="K41" s="41" t="s">
        <v>1650</v>
      </c>
      <c r="L41" s="41">
        <v>76.59</v>
      </c>
      <c r="M41" s="41"/>
      <c r="N41" s="42"/>
      <c r="O41" s="42"/>
      <c r="P41" s="42"/>
      <c r="Q41" s="42"/>
      <c r="R41" s="42"/>
      <c r="S41" s="42"/>
      <c r="T41" s="42"/>
      <c r="U41" s="42"/>
      <c r="V41" s="42"/>
      <c r="W41" s="42"/>
      <c r="X41" s="42"/>
      <c r="Y41" s="42"/>
      <c r="Z41" s="42"/>
    </row>
    <row r="42" ht="15.75" customHeight="1">
      <c r="A42" s="42"/>
      <c r="B42" s="42"/>
      <c r="C42" s="42"/>
      <c r="D42" s="42"/>
      <c r="E42" s="42"/>
      <c r="F42" s="42"/>
      <c r="G42" s="42"/>
      <c r="H42" s="63"/>
      <c r="I42" s="42"/>
      <c r="J42" s="41" t="s">
        <v>1659</v>
      </c>
      <c r="K42" s="41" t="s">
        <v>610</v>
      </c>
      <c r="L42" s="41">
        <v>128.45</v>
      </c>
      <c r="M42" s="41"/>
      <c r="N42" s="42"/>
      <c r="O42" s="42"/>
      <c r="P42" s="42"/>
      <c r="Q42" s="42"/>
      <c r="R42" s="42"/>
      <c r="S42" s="42"/>
      <c r="T42" s="42"/>
      <c r="U42" s="42"/>
      <c r="V42" s="42"/>
      <c r="W42" s="42"/>
      <c r="X42" s="42"/>
      <c r="Y42" s="42"/>
      <c r="Z42" s="42"/>
    </row>
    <row r="43" ht="15.75" customHeight="1">
      <c r="A43" s="42"/>
      <c r="B43" s="41"/>
      <c r="C43" s="42"/>
      <c r="D43" s="42"/>
      <c r="E43" s="42"/>
      <c r="F43" s="42"/>
      <c r="G43" s="42"/>
      <c r="H43" s="63"/>
      <c r="I43" s="42"/>
      <c r="J43" s="43" t="s">
        <v>1660</v>
      </c>
      <c r="K43" s="41" t="s">
        <v>1650</v>
      </c>
      <c r="L43" s="41">
        <v>42.03</v>
      </c>
      <c r="M43" s="41"/>
      <c r="N43" s="42"/>
      <c r="O43" s="42"/>
      <c r="P43" s="42"/>
      <c r="Q43" s="42"/>
      <c r="R43" s="42"/>
      <c r="S43" s="42"/>
      <c r="T43" s="42"/>
      <c r="U43" s="42"/>
      <c r="V43" s="42"/>
      <c r="W43" s="42"/>
      <c r="X43" s="42"/>
      <c r="Y43" s="42"/>
      <c r="Z43" s="42"/>
    </row>
    <row r="44" ht="15.75" customHeight="1">
      <c r="A44" s="42"/>
      <c r="B44" s="42"/>
      <c r="C44" s="41"/>
      <c r="D44" s="42"/>
      <c r="E44" s="42"/>
      <c r="F44" s="42"/>
      <c r="G44" s="42"/>
      <c r="H44" s="63"/>
      <c r="I44" s="42"/>
      <c r="J44" s="41" t="s">
        <v>1661</v>
      </c>
      <c r="K44" s="42"/>
      <c r="L44" s="41"/>
      <c r="M44" s="41"/>
      <c r="N44" s="42"/>
      <c r="O44" s="42"/>
      <c r="P44" s="42"/>
      <c r="Q44" s="42"/>
      <c r="R44" s="42"/>
      <c r="S44" s="42"/>
      <c r="T44" s="42"/>
      <c r="U44" s="42"/>
      <c r="V44" s="42"/>
      <c r="W44" s="42"/>
      <c r="X44" s="42"/>
      <c r="Y44" s="42"/>
      <c r="Z44" s="42"/>
    </row>
    <row r="45" ht="15.75" customHeight="1">
      <c r="A45" s="42"/>
      <c r="B45" s="42"/>
      <c r="C45" s="42"/>
      <c r="D45" s="42"/>
      <c r="E45" s="42"/>
      <c r="F45" s="42"/>
      <c r="G45" s="42"/>
      <c r="H45" s="63"/>
      <c r="I45" s="42"/>
      <c r="J45" s="43" t="s">
        <v>1662</v>
      </c>
      <c r="K45" s="42"/>
      <c r="L45" s="41"/>
      <c r="M45" s="41"/>
      <c r="N45" s="42"/>
      <c r="O45" s="42"/>
      <c r="P45" s="42"/>
      <c r="Q45" s="42"/>
      <c r="R45" s="42"/>
      <c r="S45" s="42"/>
      <c r="T45" s="42"/>
      <c r="U45" s="42"/>
      <c r="V45" s="42"/>
      <c r="W45" s="42"/>
      <c r="X45" s="42"/>
      <c r="Y45" s="42"/>
      <c r="Z45" s="42"/>
    </row>
    <row r="46" ht="15.75" customHeight="1">
      <c r="A46" s="42"/>
      <c r="B46" s="42"/>
      <c r="C46" s="42"/>
      <c r="D46" s="42"/>
      <c r="E46" s="42"/>
      <c r="F46" s="42"/>
      <c r="G46" s="42"/>
      <c r="H46" s="63"/>
      <c r="I46" s="42"/>
      <c r="J46" s="41" t="s">
        <v>1663</v>
      </c>
      <c r="K46" s="41" t="s">
        <v>1650</v>
      </c>
      <c r="L46" s="41">
        <v>18.62</v>
      </c>
      <c r="M46" s="41"/>
      <c r="N46" s="42"/>
      <c r="O46" s="42"/>
      <c r="P46" s="42"/>
      <c r="Q46" s="42"/>
      <c r="R46" s="42"/>
      <c r="S46" s="42"/>
      <c r="T46" s="42"/>
      <c r="U46" s="42"/>
      <c r="V46" s="42"/>
      <c r="W46" s="42"/>
      <c r="X46" s="42"/>
      <c r="Y46" s="42"/>
      <c r="Z46" s="42"/>
    </row>
    <row r="47" ht="15.75" customHeight="1">
      <c r="A47" s="42"/>
      <c r="B47" s="42"/>
      <c r="C47" s="42"/>
      <c r="D47" s="42"/>
      <c r="E47" s="42"/>
      <c r="F47" s="42"/>
      <c r="G47" s="42"/>
      <c r="H47" s="63"/>
      <c r="I47" s="42"/>
      <c r="J47" s="43" t="s">
        <v>1664</v>
      </c>
      <c r="K47" s="42"/>
      <c r="L47" s="41"/>
      <c r="M47" s="41"/>
      <c r="N47" s="42"/>
      <c r="O47" s="42"/>
      <c r="P47" s="42"/>
      <c r="Q47" s="42"/>
      <c r="R47" s="42"/>
      <c r="S47" s="42"/>
      <c r="T47" s="42"/>
      <c r="U47" s="42"/>
      <c r="V47" s="42"/>
      <c r="W47" s="42"/>
      <c r="X47" s="42"/>
      <c r="Y47" s="42"/>
      <c r="Z47" s="42"/>
    </row>
    <row r="48" ht="15.75" customHeight="1">
      <c r="A48" s="41"/>
      <c r="B48" s="41"/>
      <c r="C48" s="42"/>
      <c r="D48" s="42"/>
      <c r="E48" s="42"/>
      <c r="F48" s="42"/>
      <c r="G48" s="42"/>
      <c r="H48" s="63"/>
      <c r="I48" s="42"/>
      <c r="J48" s="41" t="s">
        <v>1665</v>
      </c>
      <c r="K48" s="42"/>
      <c r="L48" s="41"/>
      <c r="M48" s="41"/>
      <c r="N48" s="42"/>
      <c r="O48" s="42"/>
      <c r="P48" s="42"/>
      <c r="Q48" s="42"/>
      <c r="R48" s="42"/>
      <c r="S48" s="42"/>
      <c r="T48" s="42"/>
      <c r="U48" s="42"/>
      <c r="V48" s="42"/>
      <c r="W48" s="42"/>
      <c r="X48" s="42"/>
      <c r="Y48" s="42"/>
      <c r="Z48" s="42"/>
    </row>
    <row r="49" ht="15.75" customHeight="1">
      <c r="A49" s="42"/>
      <c r="B49" s="42"/>
      <c r="C49" s="42"/>
      <c r="D49" s="42"/>
      <c r="E49" s="42"/>
      <c r="F49" s="42"/>
      <c r="G49" s="42"/>
      <c r="H49" s="63"/>
      <c r="I49" s="42"/>
      <c r="J49" s="41" t="s">
        <v>1666</v>
      </c>
      <c r="K49" s="41" t="s">
        <v>1667</v>
      </c>
      <c r="L49" s="41">
        <v>106.25</v>
      </c>
      <c r="M49" s="41"/>
      <c r="N49" s="42"/>
      <c r="O49" s="42"/>
      <c r="P49" s="42"/>
      <c r="Q49" s="42"/>
      <c r="R49" s="42"/>
      <c r="S49" s="42"/>
      <c r="T49" s="42"/>
      <c r="U49" s="42"/>
      <c r="V49" s="42"/>
      <c r="W49" s="42"/>
      <c r="X49" s="42"/>
      <c r="Y49" s="42"/>
      <c r="Z49" s="42"/>
    </row>
    <row r="50" ht="15.75" customHeight="1">
      <c r="A50" s="42"/>
      <c r="B50" s="42"/>
      <c r="C50" s="42"/>
      <c r="D50" s="42"/>
      <c r="E50" s="42"/>
      <c r="F50" s="42"/>
      <c r="G50" s="42"/>
      <c r="H50" s="63"/>
      <c r="I50" s="42"/>
      <c r="J50" s="41" t="s">
        <v>1668</v>
      </c>
      <c r="K50" s="41" t="s">
        <v>1650</v>
      </c>
      <c r="L50" s="41">
        <v>79.18</v>
      </c>
      <c r="M50" s="41"/>
      <c r="N50" s="42"/>
      <c r="O50" s="42"/>
      <c r="P50" s="42"/>
      <c r="Q50" s="42"/>
      <c r="R50" s="42"/>
      <c r="S50" s="42"/>
      <c r="T50" s="42"/>
      <c r="U50" s="42"/>
      <c r="V50" s="42"/>
      <c r="W50" s="42"/>
      <c r="X50" s="42"/>
      <c r="Y50" s="42"/>
      <c r="Z50" s="42"/>
    </row>
    <row r="51" ht="15.75" customHeight="1">
      <c r="A51" s="42"/>
      <c r="B51" s="42"/>
      <c r="C51" s="42"/>
      <c r="D51" s="42"/>
      <c r="E51" s="42"/>
      <c r="F51" s="42"/>
      <c r="G51" s="42"/>
      <c r="H51" s="63"/>
      <c r="I51" s="42"/>
      <c r="J51" s="41" t="s">
        <v>1669</v>
      </c>
      <c r="K51" s="42"/>
      <c r="L51" s="41"/>
      <c r="M51" s="41"/>
      <c r="N51" s="42"/>
      <c r="O51" s="42"/>
      <c r="P51" s="42"/>
      <c r="Q51" s="42"/>
      <c r="R51" s="42"/>
      <c r="S51" s="42"/>
      <c r="T51" s="42"/>
      <c r="U51" s="42"/>
      <c r="V51" s="42"/>
      <c r="W51" s="42"/>
      <c r="X51" s="42"/>
      <c r="Y51" s="42"/>
      <c r="Z51" s="42"/>
    </row>
    <row r="52" ht="15.75" customHeight="1">
      <c r="A52" s="42"/>
      <c r="B52" s="42"/>
      <c r="C52" s="42"/>
      <c r="D52" s="42"/>
      <c r="E52" s="42"/>
      <c r="F52" s="42"/>
      <c r="G52" s="42"/>
      <c r="H52" s="63"/>
      <c r="I52" s="42"/>
      <c r="J52" s="41" t="s">
        <v>1670</v>
      </c>
      <c r="K52" s="41" t="s">
        <v>1650</v>
      </c>
      <c r="L52" s="41">
        <v>97.59</v>
      </c>
      <c r="M52" s="41"/>
      <c r="N52" s="42"/>
      <c r="O52" s="42"/>
      <c r="P52" s="42"/>
      <c r="Q52" s="42"/>
      <c r="R52" s="42"/>
      <c r="S52" s="42"/>
      <c r="T52" s="42"/>
      <c r="U52" s="42"/>
      <c r="V52" s="42"/>
      <c r="W52" s="42"/>
      <c r="X52" s="42"/>
      <c r="Y52" s="42"/>
      <c r="Z52" s="42"/>
    </row>
    <row r="53" ht="15.75" customHeight="1">
      <c r="A53" s="42"/>
      <c r="B53" s="42"/>
      <c r="C53" s="42"/>
      <c r="D53" s="42"/>
      <c r="E53" s="42"/>
      <c r="F53" s="42"/>
      <c r="G53" s="42"/>
      <c r="H53" s="63"/>
      <c r="I53" s="42"/>
      <c r="J53" s="41" t="s">
        <v>1671</v>
      </c>
      <c r="K53" s="42"/>
      <c r="L53" s="41"/>
      <c r="M53" s="41"/>
      <c r="N53" s="42"/>
      <c r="O53" s="42"/>
      <c r="P53" s="42"/>
      <c r="Q53" s="42"/>
      <c r="R53" s="42"/>
      <c r="S53" s="42"/>
      <c r="T53" s="42"/>
      <c r="U53" s="42"/>
      <c r="V53" s="42"/>
      <c r="W53" s="42"/>
      <c r="X53" s="42"/>
      <c r="Y53" s="42"/>
      <c r="Z53" s="42"/>
    </row>
    <row r="54" ht="15.75" customHeight="1">
      <c r="A54" s="42"/>
      <c r="B54" s="42"/>
      <c r="C54" s="42"/>
      <c r="D54" s="42"/>
      <c r="E54" s="42"/>
      <c r="F54" s="42"/>
      <c r="G54" s="42"/>
      <c r="H54" s="63"/>
      <c r="I54" s="42"/>
      <c r="J54" s="41" t="s">
        <v>1672</v>
      </c>
      <c r="K54" s="41" t="s">
        <v>1650</v>
      </c>
      <c r="L54" s="41">
        <v>100.58</v>
      </c>
      <c r="M54" s="41"/>
      <c r="N54" s="42"/>
      <c r="O54" s="42"/>
      <c r="P54" s="42"/>
      <c r="Q54" s="42"/>
      <c r="R54" s="42"/>
      <c r="S54" s="42"/>
      <c r="T54" s="42"/>
      <c r="U54" s="42"/>
      <c r="V54" s="42"/>
      <c r="W54" s="42"/>
      <c r="X54" s="42"/>
      <c r="Y54" s="42"/>
      <c r="Z54" s="42"/>
    </row>
    <row r="55" ht="15.75" customHeight="1">
      <c r="A55" s="42"/>
      <c r="B55" s="42"/>
      <c r="C55" s="42"/>
      <c r="D55" s="42"/>
      <c r="E55" s="42"/>
      <c r="F55" s="42"/>
      <c r="G55" s="42"/>
      <c r="H55" s="63"/>
      <c r="I55" s="42"/>
      <c r="J55" s="41" t="s">
        <v>1673</v>
      </c>
      <c r="K55" s="42"/>
      <c r="L55" s="41"/>
      <c r="M55" s="41"/>
      <c r="N55" s="42"/>
      <c r="O55" s="42"/>
      <c r="P55" s="42"/>
      <c r="Q55" s="42"/>
      <c r="R55" s="42"/>
      <c r="S55" s="42"/>
      <c r="T55" s="42"/>
      <c r="U55" s="42"/>
      <c r="V55" s="42"/>
      <c r="W55" s="42"/>
      <c r="X55" s="42"/>
      <c r="Y55" s="42"/>
      <c r="Z55" s="42"/>
    </row>
    <row r="56" ht="15.75" customHeight="1">
      <c r="A56" s="42"/>
      <c r="B56" s="42"/>
      <c r="C56" s="42"/>
      <c r="D56" s="42"/>
      <c r="E56" s="42"/>
      <c r="F56" s="42"/>
      <c r="G56" s="42"/>
      <c r="H56" s="63"/>
      <c r="I56" s="42"/>
      <c r="J56" s="41" t="s">
        <v>1674</v>
      </c>
      <c r="K56" s="41" t="s">
        <v>1650</v>
      </c>
      <c r="L56" s="41">
        <v>57.75</v>
      </c>
      <c r="M56" s="41"/>
      <c r="N56" s="42"/>
      <c r="O56" s="42"/>
      <c r="P56" s="42"/>
      <c r="Q56" s="42"/>
      <c r="R56" s="42"/>
      <c r="S56" s="42"/>
      <c r="T56" s="42"/>
      <c r="U56" s="42"/>
      <c r="V56" s="42"/>
      <c r="W56" s="42"/>
      <c r="X56" s="42"/>
      <c r="Y56" s="42"/>
      <c r="Z56" s="42"/>
    </row>
    <row r="57" ht="15.75" customHeight="1">
      <c r="A57" s="42"/>
      <c r="B57" s="42"/>
      <c r="C57" s="42"/>
      <c r="D57" s="42"/>
      <c r="E57" s="42"/>
      <c r="F57" s="42"/>
      <c r="G57" s="42"/>
      <c r="H57" s="63"/>
      <c r="I57" s="42"/>
      <c r="J57" s="41" t="s">
        <v>1675</v>
      </c>
      <c r="K57" s="42"/>
      <c r="L57" s="41"/>
      <c r="M57" s="41"/>
      <c r="N57" s="42"/>
      <c r="O57" s="42"/>
      <c r="P57" s="42"/>
      <c r="Q57" s="42"/>
      <c r="R57" s="42"/>
      <c r="S57" s="42"/>
      <c r="T57" s="42"/>
      <c r="U57" s="42"/>
      <c r="V57" s="42"/>
      <c r="W57" s="42"/>
      <c r="X57" s="42"/>
      <c r="Y57" s="42"/>
      <c r="Z57" s="42"/>
    </row>
    <row r="58" ht="15.75" customHeight="1">
      <c r="A58" s="42"/>
      <c r="B58" s="42"/>
      <c r="C58" s="42"/>
      <c r="D58" s="42"/>
      <c r="E58" s="42"/>
      <c r="F58" s="42"/>
      <c r="G58" s="42"/>
      <c r="H58" s="63"/>
      <c r="I58" s="42"/>
      <c r="J58" s="41" t="s">
        <v>1676</v>
      </c>
      <c r="K58" s="42"/>
      <c r="L58" s="41"/>
      <c r="M58" s="41"/>
      <c r="N58" s="42"/>
      <c r="O58" s="42"/>
      <c r="P58" s="42"/>
      <c r="Q58" s="42"/>
      <c r="R58" s="42"/>
      <c r="S58" s="42"/>
      <c r="T58" s="42"/>
      <c r="U58" s="42"/>
      <c r="V58" s="42"/>
      <c r="W58" s="42"/>
      <c r="X58" s="42"/>
      <c r="Y58" s="42"/>
      <c r="Z58" s="42"/>
    </row>
    <row r="59" ht="15.75" customHeight="1">
      <c r="A59" s="42"/>
      <c r="B59" s="42"/>
      <c r="C59" s="42"/>
      <c r="D59" s="42"/>
      <c r="E59" s="42"/>
      <c r="F59" s="42"/>
      <c r="G59" s="42"/>
      <c r="H59" s="63"/>
      <c r="I59" s="42"/>
      <c r="J59" s="41" t="s">
        <v>1677</v>
      </c>
      <c r="K59" s="41" t="s">
        <v>1667</v>
      </c>
      <c r="L59" s="41">
        <v>138.8</v>
      </c>
      <c r="M59" s="41"/>
      <c r="N59" s="42"/>
      <c r="O59" s="42"/>
      <c r="P59" s="42"/>
      <c r="Q59" s="42"/>
      <c r="R59" s="42"/>
      <c r="S59" s="42"/>
      <c r="T59" s="42"/>
      <c r="U59" s="42"/>
      <c r="V59" s="42"/>
      <c r="W59" s="42"/>
      <c r="X59" s="42"/>
      <c r="Y59" s="42"/>
      <c r="Z59" s="42"/>
    </row>
    <row r="60" ht="15.75" customHeight="1">
      <c r="A60" s="42"/>
      <c r="B60" s="42"/>
      <c r="C60" s="42"/>
      <c r="D60" s="42"/>
      <c r="E60" s="42"/>
      <c r="F60" s="42"/>
      <c r="G60" s="42"/>
      <c r="H60" s="63"/>
      <c r="I60" s="42"/>
      <c r="J60" s="41" t="s">
        <v>1678</v>
      </c>
      <c r="K60" s="42"/>
      <c r="L60" s="41"/>
      <c r="M60" s="41"/>
      <c r="N60" s="42"/>
      <c r="O60" s="42"/>
      <c r="P60" s="42"/>
      <c r="Q60" s="42"/>
      <c r="R60" s="42"/>
      <c r="S60" s="42"/>
      <c r="T60" s="42"/>
      <c r="U60" s="42"/>
      <c r="V60" s="42"/>
      <c r="W60" s="42"/>
      <c r="X60" s="42"/>
      <c r="Y60" s="42"/>
      <c r="Z60" s="42"/>
    </row>
    <row r="61" ht="15.75" customHeight="1">
      <c r="A61" s="42"/>
      <c r="B61" s="42"/>
      <c r="C61" s="42"/>
      <c r="D61" s="42"/>
      <c r="E61" s="42"/>
      <c r="F61" s="42"/>
      <c r="G61" s="42"/>
      <c r="H61" s="63"/>
      <c r="I61" s="42"/>
      <c r="J61" s="41" t="s">
        <v>1679</v>
      </c>
      <c r="K61" s="42"/>
      <c r="L61" s="41"/>
      <c r="M61" s="41"/>
      <c r="N61" s="42"/>
      <c r="O61" s="42"/>
      <c r="P61" s="42"/>
      <c r="Q61" s="42"/>
      <c r="R61" s="42"/>
      <c r="S61" s="42"/>
      <c r="T61" s="42"/>
      <c r="U61" s="42"/>
      <c r="V61" s="42"/>
      <c r="W61" s="42"/>
      <c r="X61" s="42"/>
      <c r="Y61" s="42"/>
      <c r="Z61" s="42"/>
    </row>
    <row r="62" ht="15.75" customHeight="1">
      <c r="A62" s="42"/>
      <c r="B62" s="42"/>
      <c r="C62" s="42"/>
      <c r="D62" s="42"/>
      <c r="E62" s="42"/>
      <c r="F62" s="42"/>
      <c r="G62" s="42"/>
      <c r="H62" s="63"/>
      <c r="I62" s="42"/>
      <c r="J62" s="41" t="s">
        <v>1680</v>
      </c>
      <c r="K62" s="41" t="s">
        <v>610</v>
      </c>
      <c r="L62" s="41">
        <v>100.32</v>
      </c>
      <c r="M62" s="41"/>
      <c r="N62" s="42"/>
      <c r="O62" s="42"/>
      <c r="P62" s="42"/>
      <c r="Q62" s="42"/>
      <c r="R62" s="42"/>
      <c r="S62" s="42"/>
      <c r="T62" s="42"/>
      <c r="U62" s="42"/>
      <c r="V62" s="42"/>
      <c r="W62" s="42"/>
      <c r="X62" s="42"/>
      <c r="Y62" s="42"/>
      <c r="Z62" s="42"/>
    </row>
    <row r="63" ht="15.75" customHeight="1">
      <c r="A63" s="42"/>
      <c r="B63" s="42"/>
      <c r="C63" s="42"/>
      <c r="D63" s="42"/>
      <c r="E63" s="42"/>
      <c r="F63" s="42"/>
      <c r="G63" s="42"/>
      <c r="H63" s="63"/>
      <c r="I63" s="42"/>
      <c r="J63" s="41" t="s">
        <v>1681</v>
      </c>
      <c r="K63" s="42"/>
      <c r="L63" s="41"/>
      <c r="N63" s="42"/>
      <c r="O63" s="42"/>
      <c r="P63" s="42"/>
      <c r="Q63" s="42"/>
      <c r="R63" s="42"/>
      <c r="S63" s="42"/>
      <c r="T63" s="42"/>
      <c r="U63" s="42"/>
      <c r="V63" s="42"/>
      <c r="W63" s="42"/>
      <c r="X63" s="42"/>
      <c r="Y63" s="42"/>
      <c r="Z63" s="42"/>
    </row>
    <row r="64" ht="15.75" customHeight="1">
      <c r="A64" s="42"/>
      <c r="B64" s="42"/>
      <c r="C64" s="42"/>
      <c r="D64" s="42"/>
      <c r="E64" s="42"/>
      <c r="F64" s="42"/>
      <c r="G64" s="42"/>
      <c r="H64" s="63"/>
      <c r="I64" s="42"/>
      <c r="J64" s="41" t="s">
        <v>1682</v>
      </c>
      <c r="K64" s="42"/>
      <c r="L64" s="41"/>
      <c r="M64" s="41"/>
      <c r="N64" s="42"/>
      <c r="O64" s="42"/>
      <c r="P64" s="42"/>
      <c r="Q64" s="42"/>
      <c r="R64" s="42"/>
      <c r="S64" s="42"/>
      <c r="T64" s="42"/>
      <c r="U64" s="42"/>
      <c r="V64" s="42"/>
      <c r="W64" s="42"/>
      <c r="X64" s="42"/>
      <c r="Y64" s="42"/>
      <c r="Z64" s="42"/>
    </row>
    <row r="65" ht="15.75" customHeight="1">
      <c r="A65" s="42"/>
      <c r="B65" s="42"/>
      <c r="C65" s="42"/>
      <c r="D65" s="42"/>
      <c r="E65" s="42"/>
      <c r="F65" s="42"/>
      <c r="G65" s="42"/>
      <c r="H65" s="63"/>
      <c r="I65" s="42"/>
      <c r="J65" s="41" t="s">
        <v>1683</v>
      </c>
      <c r="K65" s="41" t="s">
        <v>1650</v>
      </c>
      <c r="L65" s="41">
        <v>105.12</v>
      </c>
      <c r="M65" s="41"/>
      <c r="N65" s="42"/>
      <c r="O65" s="42"/>
      <c r="P65" s="42"/>
      <c r="Q65" s="42"/>
      <c r="R65" s="42"/>
      <c r="S65" s="42"/>
      <c r="T65" s="42"/>
      <c r="U65" s="42"/>
      <c r="V65" s="42"/>
      <c r="W65" s="42"/>
      <c r="X65" s="42"/>
      <c r="Y65" s="42"/>
      <c r="Z65" s="42"/>
    </row>
    <row r="66" ht="15.75" customHeight="1">
      <c r="A66" s="42"/>
      <c r="B66" s="42"/>
      <c r="C66" s="42"/>
      <c r="D66" s="42"/>
      <c r="E66" s="42"/>
      <c r="F66" s="42"/>
      <c r="G66" s="42"/>
      <c r="H66" s="63"/>
      <c r="I66" s="42"/>
      <c r="J66" s="41" t="s">
        <v>1684</v>
      </c>
      <c r="K66" s="42"/>
      <c r="L66" s="41"/>
      <c r="M66" s="41"/>
      <c r="N66" s="42"/>
      <c r="O66" s="42"/>
      <c r="P66" s="42"/>
      <c r="Q66" s="42"/>
      <c r="R66" s="42"/>
      <c r="S66" s="42"/>
      <c r="T66" s="42"/>
      <c r="U66" s="42"/>
      <c r="V66" s="42"/>
      <c r="W66" s="42"/>
      <c r="X66" s="42"/>
      <c r="Y66" s="42"/>
      <c r="Z66" s="42"/>
    </row>
    <row r="67" ht="15.75" customHeight="1">
      <c r="A67" s="42"/>
      <c r="B67" s="42"/>
      <c r="C67" s="42"/>
      <c r="D67" s="42"/>
      <c r="E67" s="42"/>
      <c r="F67" s="42"/>
      <c r="G67" s="42"/>
      <c r="H67" s="63"/>
      <c r="I67" s="42"/>
      <c r="J67" s="41" t="s">
        <v>1685</v>
      </c>
      <c r="K67" s="41" t="s">
        <v>610</v>
      </c>
      <c r="L67" s="41">
        <v>110.66</v>
      </c>
      <c r="M67" s="41"/>
      <c r="N67" s="42"/>
      <c r="O67" s="42"/>
      <c r="P67" s="42"/>
      <c r="Q67" s="42"/>
      <c r="R67" s="42"/>
      <c r="S67" s="42"/>
      <c r="T67" s="42"/>
      <c r="U67" s="42"/>
      <c r="V67" s="42"/>
      <c r="W67" s="42"/>
      <c r="X67" s="42"/>
      <c r="Y67" s="42"/>
      <c r="Z67" s="42"/>
    </row>
    <row r="68" ht="15.75" customHeight="1">
      <c r="A68" s="42"/>
      <c r="B68" s="42"/>
      <c r="C68" s="42"/>
      <c r="D68" s="42"/>
      <c r="E68" s="42"/>
      <c r="F68" s="42"/>
      <c r="G68" s="42"/>
      <c r="H68" s="63"/>
      <c r="I68" s="42"/>
      <c r="J68" s="41" t="s">
        <v>1686</v>
      </c>
      <c r="K68" s="41" t="s">
        <v>1650</v>
      </c>
      <c r="L68" s="41">
        <v>106.17</v>
      </c>
      <c r="M68" s="41"/>
      <c r="N68" s="42"/>
      <c r="O68" s="42"/>
      <c r="P68" s="42"/>
      <c r="Q68" s="42"/>
      <c r="R68" s="42"/>
      <c r="S68" s="42"/>
      <c r="T68" s="42"/>
      <c r="U68" s="42"/>
      <c r="V68" s="42"/>
      <c r="W68" s="42"/>
      <c r="X68" s="42"/>
      <c r="Y68" s="42"/>
      <c r="Z68" s="42"/>
    </row>
    <row r="69" ht="15.75" customHeight="1">
      <c r="A69" s="42"/>
      <c r="B69" s="42"/>
      <c r="C69" s="42"/>
      <c r="D69" s="42"/>
      <c r="E69" s="42"/>
      <c r="F69" s="42"/>
      <c r="G69" s="42"/>
      <c r="H69" s="63"/>
      <c r="I69" s="42"/>
      <c r="J69" s="41" t="s">
        <v>1687</v>
      </c>
      <c r="K69" s="41" t="s">
        <v>1650</v>
      </c>
      <c r="L69" s="41">
        <v>115.92</v>
      </c>
      <c r="M69" s="41"/>
      <c r="N69" s="42"/>
      <c r="O69" s="42"/>
      <c r="P69" s="42"/>
      <c r="Q69" s="42"/>
      <c r="R69" s="42"/>
      <c r="S69" s="42"/>
      <c r="T69" s="42"/>
      <c r="U69" s="42"/>
      <c r="V69" s="42"/>
      <c r="W69" s="42"/>
      <c r="X69" s="42"/>
      <c r="Y69" s="42"/>
      <c r="Z69" s="42"/>
    </row>
    <row r="70" ht="15.75" customHeight="1">
      <c r="A70" s="42"/>
      <c r="B70" s="42"/>
      <c r="C70" s="42"/>
      <c r="D70" s="42"/>
      <c r="E70" s="42"/>
      <c r="F70" s="42"/>
      <c r="G70" s="42"/>
      <c r="H70" s="63"/>
      <c r="I70" s="42"/>
      <c r="J70" s="41" t="s">
        <v>1688</v>
      </c>
      <c r="K70" s="42"/>
      <c r="L70" s="41"/>
      <c r="M70" s="41"/>
      <c r="N70" s="42"/>
      <c r="O70" s="42"/>
      <c r="P70" s="42"/>
      <c r="Q70" s="42"/>
      <c r="R70" s="42"/>
      <c r="S70" s="42"/>
      <c r="T70" s="42"/>
      <c r="U70" s="42"/>
      <c r="V70" s="42"/>
      <c r="W70" s="42"/>
      <c r="X70" s="42"/>
      <c r="Y70" s="42"/>
      <c r="Z70" s="42"/>
    </row>
    <row r="71" ht="15.75" customHeight="1">
      <c r="A71" s="42"/>
      <c r="B71" s="42"/>
      <c r="C71" s="42"/>
      <c r="D71" s="42"/>
      <c r="E71" s="42"/>
      <c r="F71" s="42"/>
      <c r="G71" s="42"/>
      <c r="H71" s="63"/>
      <c r="I71" s="42"/>
      <c r="J71" s="41" t="s">
        <v>1689</v>
      </c>
      <c r="K71" s="41" t="s">
        <v>1650</v>
      </c>
      <c r="L71" s="41">
        <v>81.1</v>
      </c>
      <c r="M71" s="41"/>
      <c r="N71" s="42"/>
      <c r="O71" s="42"/>
      <c r="P71" s="42"/>
      <c r="Q71" s="42"/>
      <c r="R71" s="42"/>
      <c r="S71" s="42"/>
      <c r="T71" s="42"/>
      <c r="U71" s="42"/>
      <c r="V71" s="42"/>
      <c r="W71" s="42"/>
      <c r="X71" s="42"/>
      <c r="Y71" s="42"/>
      <c r="Z71" s="42"/>
    </row>
    <row r="72" ht="15.75" customHeight="1">
      <c r="A72" s="42"/>
      <c r="B72" s="42"/>
      <c r="C72" s="42"/>
      <c r="D72" s="42"/>
      <c r="E72" s="42"/>
      <c r="F72" s="42"/>
      <c r="G72" s="42"/>
      <c r="H72" s="63"/>
      <c r="I72" s="42"/>
      <c r="J72" s="41" t="s">
        <v>1690</v>
      </c>
      <c r="K72" s="42"/>
      <c r="L72" s="41"/>
      <c r="M72" s="41"/>
      <c r="N72" s="42"/>
      <c r="O72" s="42"/>
      <c r="P72" s="42"/>
      <c r="Q72" s="42"/>
      <c r="R72" s="42"/>
      <c r="S72" s="42"/>
      <c r="T72" s="42"/>
      <c r="U72" s="42"/>
      <c r="V72" s="42"/>
      <c r="W72" s="42"/>
      <c r="X72" s="42"/>
      <c r="Y72" s="42"/>
      <c r="Z72" s="42"/>
    </row>
    <row r="73" ht="15.75" customHeight="1">
      <c r="A73" s="42"/>
      <c r="B73" s="42"/>
      <c r="C73" s="42"/>
      <c r="D73" s="42"/>
      <c r="E73" s="42"/>
      <c r="F73" s="42"/>
      <c r="G73" s="42"/>
      <c r="H73" s="63"/>
      <c r="I73" s="42"/>
      <c r="J73" s="41" t="s">
        <v>1691</v>
      </c>
      <c r="K73" s="41"/>
      <c r="L73" s="41">
        <v>115.52</v>
      </c>
      <c r="M73" s="41"/>
      <c r="N73" s="42"/>
      <c r="O73" s="42"/>
      <c r="P73" s="42"/>
      <c r="Q73" s="42"/>
      <c r="R73" s="42"/>
      <c r="S73" s="42"/>
      <c r="T73" s="42"/>
      <c r="U73" s="42"/>
      <c r="V73" s="42"/>
      <c r="W73" s="42"/>
      <c r="X73" s="42"/>
      <c r="Y73" s="42"/>
      <c r="Z73" s="42"/>
    </row>
    <row r="74" ht="15.75" customHeight="1">
      <c r="A74" s="42"/>
      <c r="B74" s="42"/>
      <c r="C74" s="42"/>
      <c r="D74" s="42"/>
      <c r="E74" s="42"/>
      <c r="F74" s="42"/>
      <c r="G74" s="42"/>
      <c r="H74" s="63"/>
      <c r="I74" s="42"/>
      <c r="J74" s="41" t="s">
        <v>1692</v>
      </c>
      <c r="K74" s="42"/>
      <c r="L74" s="41">
        <v>77.01</v>
      </c>
      <c r="M74" s="41"/>
      <c r="N74" s="42"/>
      <c r="O74" s="42"/>
      <c r="P74" s="42"/>
      <c r="Q74" s="42"/>
      <c r="R74" s="42"/>
      <c r="S74" s="42"/>
      <c r="T74" s="42"/>
      <c r="U74" s="42"/>
      <c r="V74" s="42"/>
      <c r="W74" s="42"/>
      <c r="X74" s="42"/>
      <c r="Y74" s="42"/>
      <c r="Z74" s="42"/>
    </row>
    <row r="75" ht="15.75" customHeight="1">
      <c r="A75" s="42"/>
      <c r="B75" s="42"/>
      <c r="C75" s="42"/>
      <c r="D75" s="42"/>
      <c r="E75" s="42"/>
      <c r="F75" s="42"/>
      <c r="G75" s="42"/>
      <c r="H75" s="63"/>
      <c r="I75" s="42"/>
      <c r="J75" s="41" t="s">
        <v>1693</v>
      </c>
      <c r="K75" s="42"/>
      <c r="L75" s="41">
        <v>95.91</v>
      </c>
      <c r="M75" s="41"/>
      <c r="N75" s="42"/>
      <c r="O75" s="42"/>
      <c r="P75" s="42"/>
      <c r="Q75" s="42"/>
      <c r="R75" s="42"/>
      <c r="S75" s="42"/>
      <c r="T75" s="42"/>
      <c r="U75" s="42"/>
      <c r="V75" s="42"/>
      <c r="W75" s="42"/>
      <c r="X75" s="42"/>
      <c r="Y75" s="42"/>
      <c r="Z75" s="42"/>
    </row>
    <row r="76" ht="15.75" customHeight="1">
      <c r="A76" s="42"/>
      <c r="B76" s="42"/>
      <c r="C76" s="42"/>
      <c r="D76" s="42"/>
      <c r="E76" s="42"/>
      <c r="F76" s="42"/>
      <c r="G76" s="42"/>
      <c r="H76" s="63"/>
      <c r="I76" s="42"/>
      <c r="J76" s="41" t="s">
        <v>1694</v>
      </c>
      <c r="K76" s="42"/>
      <c r="L76" s="41">
        <v>18.94</v>
      </c>
      <c r="M76" s="41"/>
      <c r="N76" s="42"/>
      <c r="O76" s="42"/>
      <c r="P76" s="42"/>
      <c r="Q76" s="42"/>
      <c r="R76" s="42"/>
      <c r="S76" s="42"/>
      <c r="T76" s="42"/>
      <c r="U76" s="42"/>
      <c r="V76" s="42"/>
      <c r="W76" s="42"/>
      <c r="X76" s="42"/>
      <c r="Y76" s="42"/>
      <c r="Z76" s="42"/>
    </row>
    <row r="77" ht="15.75" customHeight="1">
      <c r="A77" s="42"/>
      <c r="B77" s="42"/>
      <c r="C77" s="42"/>
      <c r="D77" s="42"/>
      <c r="E77" s="42"/>
      <c r="F77" s="42"/>
      <c r="G77" s="42"/>
      <c r="H77" s="63"/>
      <c r="I77" s="42"/>
      <c r="J77" s="41" t="s">
        <v>1695</v>
      </c>
      <c r="K77" s="41"/>
      <c r="L77" s="41"/>
      <c r="M77" s="41"/>
      <c r="N77" s="42"/>
      <c r="O77" s="42"/>
      <c r="P77" s="42"/>
      <c r="Q77" s="42"/>
      <c r="R77" s="42"/>
      <c r="S77" s="42"/>
      <c r="T77" s="42"/>
      <c r="U77" s="42"/>
      <c r="V77" s="42"/>
      <c r="W77" s="42"/>
      <c r="X77" s="42"/>
      <c r="Y77" s="42"/>
      <c r="Z77" s="42"/>
    </row>
    <row r="78" ht="15.75" customHeight="1">
      <c r="A78" s="42"/>
      <c r="B78" s="42"/>
      <c r="C78" s="42"/>
      <c r="D78" s="42"/>
      <c r="E78" s="42"/>
      <c r="F78" s="42"/>
      <c r="G78" s="42"/>
      <c r="H78" s="63"/>
      <c r="I78" s="42"/>
      <c r="J78" s="41" t="s">
        <v>1696</v>
      </c>
      <c r="K78" s="41" t="s">
        <v>1697</v>
      </c>
      <c r="L78" s="41">
        <v>127.59</v>
      </c>
      <c r="M78" s="41"/>
      <c r="N78" s="42"/>
      <c r="O78" s="42"/>
      <c r="P78" s="42"/>
      <c r="Q78" s="42"/>
      <c r="R78" s="42"/>
      <c r="S78" s="42"/>
      <c r="T78" s="42"/>
      <c r="U78" s="42"/>
      <c r="V78" s="42"/>
      <c r="W78" s="42"/>
      <c r="X78" s="42"/>
      <c r="Y78" s="42"/>
      <c r="Z78" s="42"/>
    </row>
    <row r="79" ht="15.75" customHeight="1">
      <c r="A79" s="42"/>
      <c r="B79" s="42"/>
      <c r="C79" s="42"/>
      <c r="D79" s="42"/>
      <c r="E79" s="42"/>
      <c r="F79" s="42"/>
      <c r="G79" s="42"/>
      <c r="H79" s="63"/>
      <c r="I79" s="42"/>
      <c r="J79" s="41" t="s">
        <v>1698</v>
      </c>
      <c r="K79" s="41" t="s">
        <v>1697</v>
      </c>
      <c r="L79" s="41">
        <v>134.37</v>
      </c>
      <c r="M79" s="41"/>
      <c r="N79" s="42"/>
      <c r="O79" s="42"/>
      <c r="P79" s="42"/>
      <c r="Q79" s="42"/>
      <c r="R79" s="42"/>
      <c r="S79" s="42"/>
      <c r="T79" s="42"/>
      <c r="U79" s="42"/>
      <c r="V79" s="42"/>
      <c r="W79" s="42"/>
      <c r="X79" s="42"/>
      <c r="Y79" s="42"/>
      <c r="Z79" s="42"/>
    </row>
    <row r="80" ht="15.75" customHeight="1">
      <c r="A80" s="42"/>
      <c r="B80" s="42"/>
      <c r="C80" s="42"/>
      <c r="D80" s="42"/>
      <c r="E80" s="42"/>
      <c r="F80" s="42"/>
      <c r="G80" s="42"/>
      <c r="H80" s="63"/>
      <c r="I80" s="42"/>
      <c r="J80" s="41" t="s">
        <v>1699</v>
      </c>
      <c r="K80" s="41"/>
      <c r="L80" s="41"/>
      <c r="M80" s="41"/>
      <c r="N80" s="42"/>
      <c r="O80" s="42"/>
      <c r="P80" s="42"/>
      <c r="Q80" s="42"/>
      <c r="R80" s="42"/>
      <c r="S80" s="42"/>
      <c r="T80" s="42"/>
      <c r="U80" s="42"/>
      <c r="V80" s="42"/>
      <c r="W80" s="42"/>
      <c r="X80" s="42"/>
      <c r="Y80" s="42"/>
      <c r="Z80" s="42"/>
    </row>
    <row r="81" ht="15.75" customHeight="1">
      <c r="A81" s="42"/>
      <c r="B81" s="42"/>
      <c r="C81" s="42"/>
      <c r="D81" s="42"/>
      <c r="E81" s="42"/>
      <c r="F81" s="42"/>
      <c r="G81" s="42"/>
      <c r="H81" s="63"/>
      <c r="I81" s="42"/>
      <c r="J81" s="41" t="s">
        <v>1700</v>
      </c>
      <c r="K81" s="41"/>
      <c r="L81" s="41"/>
      <c r="M81" s="41"/>
      <c r="N81" s="42"/>
      <c r="O81" s="42"/>
      <c r="P81" s="42"/>
      <c r="Q81" s="42"/>
      <c r="R81" s="42"/>
      <c r="S81" s="42"/>
      <c r="T81" s="42"/>
      <c r="U81" s="42"/>
      <c r="V81" s="42"/>
      <c r="W81" s="42"/>
      <c r="X81" s="42"/>
      <c r="Y81" s="42"/>
      <c r="Z81" s="42"/>
    </row>
    <row r="82" ht="15.75" customHeight="1">
      <c r="A82" s="42"/>
      <c r="B82" s="42"/>
      <c r="C82" s="42"/>
      <c r="D82" s="42"/>
      <c r="E82" s="42"/>
      <c r="F82" s="42"/>
      <c r="G82" s="42"/>
      <c r="H82" s="63"/>
      <c r="I82" s="42"/>
      <c r="J82" s="41" t="s">
        <v>1701</v>
      </c>
      <c r="K82" s="41"/>
      <c r="L82" s="41">
        <v>96.62</v>
      </c>
      <c r="M82" s="41"/>
      <c r="N82" s="42"/>
      <c r="O82" s="42"/>
      <c r="P82" s="42"/>
      <c r="Q82" s="42"/>
      <c r="R82" s="42"/>
      <c r="S82" s="42"/>
      <c r="T82" s="42"/>
      <c r="U82" s="42"/>
      <c r="V82" s="42"/>
      <c r="W82" s="42"/>
      <c r="X82" s="42"/>
      <c r="Y82" s="42"/>
      <c r="Z82" s="42"/>
    </row>
    <row r="83" ht="15.75" customHeight="1">
      <c r="A83" s="42"/>
      <c r="B83" s="42"/>
      <c r="C83" s="42"/>
      <c r="D83" s="42"/>
      <c r="E83" s="42"/>
      <c r="F83" s="42"/>
      <c r="G83" s="42"/>
      <c r="H83" s="63"/>
      <c r="I83" s="42"/>
      <c r="J83" s="41" t="s">
        <v>1702</v>
      </c>
      <c r="K83" s="41"/>
      <c r="L83" s="41"/>
      <c r="M83" s="41"/>
      <c r="N83" s="42"/>
      <c r="O83" s="42"/>
      <c r="P83" s="42"/>
      <c r="Q83" s="42"/>
      <c r="R83" s="42"/>
      <c r="S83" s="42"/>
      <c r="T83" s="42"/>
      <c r="U83" s="42"/>
      <c r="V83" s="42"/>
      <c r="W83" s="42"/>
      <c r="X83" s="42"/>
      <c r="Y83" s="42"/>
      <c r="Z83" s="42"/>
    </row>
    <row r="84" ht="15.75" customHeight="1">
      <c r="A84" s="42"/>
      <c r="B84" s="42"/>
      <c r="C84" s="42"/>
      <c r="D84" s="42"/>
      <c r="E84" s="42"/>
      <c r="F84" s="42"/>
      <c r="G84" s="42"/>
      <c r="H84" s="63"/>
      <c r="I84" s="42"/>
      <c r="J84" s="41" t="s">
        <v>1703</v>
      </c>
      <c r="K84" s="41" t="s">
        <v>1704</v>
      </c>
      <c r="L84" s="41">
        <v>110.76</v>
      </c>
      <c r="M84" s="41"/>
      <c r="N84" s="42"/>
      <c r="O84" s="42"/>
      <c r="P84" s="42"/>
      <c r="Q84" s="42"/>
      <c r="R84" s="42"/>
      <c r="S84" s="42"/>
      <c r="T84" s="42"/>
      <c r="U84" s="42"/>
      <c r="V84" s="42"/>
      <c r="W84" s="42"/>
      <c r="X84" s="42"/>
      <c r="Y84" s="42"/>
      <c r="Z84" s="42"/>
    </row>
    <row r="85" ht="15.75" customHeight="1">
      <c r="A85" s="42"/>
      <c r="B85" s="42"/>
      <c r="C85" s="42"/>
      <c r="D85" s="42"/>
      <c r="E85" s="42"/>
      <c r="F85" s="42"/>
      <c r="G85" s="42"/>
      <c r="H85" s="63"/>
      <c r="I85" s="42"/>
      <c r="J85" s="41" t="s">
        <v>1705</v>
      </c>
      <c r="K85" s="41"/>
      <c r="L85" s="41">
        <v>73.07</v>
      </c>
      <c r="M85" s="41"/>
      <c r="N85" s="42"/>
      <c r="O85" s="42"/>
      <c r="P85" s="42"/>
      <c r="Q85" s="42"/>
      <c r="R85" s="42"/>
      <c r="S85" s="42"/>
      <c r="T85" s="42"/>
      <c r="U85" s="42"/>
      <c r="V85" s="42"/>
      <c r="W85" s="42"/>
      <c r="X85" s="42"/>
      <c r="Y85" s="42"/>
      <c r="Z85" s="42"/>
    </row>
    <row r="86" ht="15.75" customHeight="1">
      <c r="A86" s="42"/>
      <c r="B86" s="42"/>
      <c r="C86" s="42"/>
      <c r="D86" s="42"/>
      <c r="E86" s="42"/>
      <c r="F86" s="42"/>
      <c r="G86" s="42"/>
      <c r="H86" s="63"/>
      <c r="I86" s="42"/>
      <c r="J86" s="41" t="s">
        <v>1706</v>
      </c>
      <c r="K86" s="41"/>
      <c r="L86" s="41"/>
      <c r="M86" s="41"/>
      <c r="N86" s="42"/>
      <c r="O86" s="42"/>
      <c r="P86" s="42"/>
      <c r="Q86" s="42"/>
      <c r="R86" s="42"/>
      <c r="S86" s="42"/>
      <c r="T86" s="42"/>
      <c r="U86" s="42"/>
      <c r="V86" s="42"/>
      <c r="W86" s="42"/>
      <c r="X86" s="42"/>
      <c r="Y86" s="42"/>
      <c r="Z86" s="42"/>
    </row>
    <row r="87" ht="15.75" customHeight="1">
      <c r="A87" s="42"/>
      <c r="B87" s="42"/>
      <c r="C87" s="42"/>
      <c r="D87" s="42"/>
      <c r="E87" s="42"/>
      <c r="F87" s="42"/>
      <c r="G87" s="42"/>
      <c r="H87" s="63"/>
      <c r="I87" s="42"/>
      <c r="J87" s="41" t="s">
        <v>1707</v>
      </c>
      <c r="K87" s="41" t="s">
        <v>1667</v>
      </c>
      <c r="L87" s="41">
        <v>135.77</v>
      </c>
      <c r="M87" s="41"/>
      <c r="N87" s="42"/>
      <c r="O87" s="42"/>
      <c r="P87" s="42"/>
      <c r="Q87" s="42"/>
      <c r="R87" s="42"/>
      <c r="S87" s="42"/>
      <c r="T87" s="42"/>
      <c r="U87" s="42"/>
      <c r="V87" s="42"/>
      <c r="W87" s="42"/>
      <c r="X87" s="42"/>
      <c r="Y87" s="42"/>
      <c r="Z87" s="42"/>
    </row>
    <row r="88" ht="15.75" customHeight="1">
      <c r="A88" s="42"/>
      <c r="B88" s="42"/>
      <c r="C88" s="42"/>
      <c r="D88" s="42"/>
      <c r="E88" s="42"/>
      <c r="F88" s="42"/>
      <c r="G88" s="42"/>
      <c r="H88" s="63"/>
      <c r="I88" s="42"/>
      <c r="J88" s="41" t="s">
        <v>1708</v>
      </c>
      <c r="K88" s="41" t="s">
        <v>1704</v>
      </c>
      <c r="L88" s="41">
        <v>135.59</v>
      </c>
      <c r="M88" s="41"/>
      <c r="N88" s="42"/>
      <c r="O88" s="42"/>
      <c r="P88" s="42"/>
      <c r="Q88" s="42"/>
      <c r="R88" s="42"/>
      <c r="S88" s="42"/>
      <c r="T88" s="42"/>
      <c r="U88" s="42"/>
      <c r="V88" s="42"/>
      <c r="W88" s="42"/>
      <c r="X88" s="42"/>
      <c r="Y88" s="42"/>
      <c r="Z88" s="42"/>
    </row>
    <row r="89" ht="15.75" customHeight="1">
      <c r="A89" s="42"/>
      <c r="B89" s="42"/>
      <c r="C89" s="42"/>
      <c r="D89" s="42"/>
      <c r="E89" s="42"/>
      <c r="F89" s="42"/>
      <c r="G89" s="42"/>
      <c r="H89" s="63"/>
      <c r="I89" s="42"/>
      <c r="J89" s="41" t="s">
        <v>1709</v>
      </c>
      <c r="K89" s="41"/>
      <c r="L89" s="41"/>
      <c r="M89" s="41"/>
      <c r="N89" s="42"/>
      <c r="O89" s="42"/>
      <c r="P89" s="42"/>
      <c r="Q89" s="42"/>
      <c r="R89" s="42"/>
      <c r="S89" s="42"/>
      <c r="T89" s="42"/>
      <c r="U89" s="42"/>
      <c r="V89" s="42"/>
      <c r="W89" s="42"/>
      <c r="X89" s="42"/>
      <c r="Y89" s="42"/>
      <c r="Z89" s="42"/>
    </row>
    <row r="90" ht="15.75" customHeight="1">
      <c r="A90" s="42"/>
      <c r="B90" s="42"/>
      <c r="C90" s="42"/>
      <c r="D90" s="42"/>
      <c r="E90" s="42"/>
      <c r="F90" s="42"/>
      <c r="G90" s="42"/>
      <c r="H90" s="63"/>
      <c r="I90" s="42"/>
      <c r="J90" s="41" t="s">
        <v>1710</v>
      </c>
      <c r="K90" s="41"/>
      <c r="L90" s="41"/>
      <c r="M90" s="41"/>
      <c r="N90" s="42"/>
      <c r="O90" s="42"/>
      <c r="P90" s="42"/>
      <c r="Q90" s="42"/>
      <c r="R90" s="42"/>
      <c r="S90" s="42"/>
      <c r="T90" s="42"/>
      <c r="U90" s="42"/>
      <c r="V90" s="42"/>
      <c r="W90" s="42"/>
      <c r="X90" s="42"/>
      <c r="Y90" s="42"/>
      <c r="Z90" s="42"/>
    </row>
    <row r="91" ht="15.75" customHeight="1">
      <c r="A91" s="42"/>
      <c r="B91" s="42"/>
      <c r="C91" s="42"/>
      <c r="D91" s="42"/>
      <c r="E91" s="42"/>
      <c r="F91" s="42"/>
      <c r="G91" s="42"/>
      <c r="H91" s="63"/>
      <c r="I91" s="42"/>
      <c r="J91" s="41" t="s">
        <v>1711</v>
      </c>
      <c r="K91" s="41"/>
      <c r="L91" s="41"/>
      <c r="M91" s="41"/>
      <c r="N91" s="42"/>
      <c r="O91" s="42"/>
      <c r="P91" s="42"/>
      <c r="Q91" s="42"/>
      <c r="R91" s="42"/>
      <c r="S91" s="42"/>
      <c r="T91" s="42"/>
      <c r="U91" s="42"/>
      <c r="V91" s="42"/>
      <c r="W91" s="42"/>
      <c r="X91" s="42"/>
      <c r="Y91" s="42"/>
      <c r="Z91" s="42"/>
    </row>
    <row r="92" ht="15.75" customHeight="1">
      <c r="A92" s="42"/>
      <c r="B92" s="42"/>
      <c r="C92" s="42"/>
      <c r="D92" s="42"/>
      <c r="E92" s="42"/>
      <c r="F92" s="42"/>
      <c r="G92" s="42"/>
      <c r="H92" s="63"/>
      <c r="I92" s="42"/>
      <c r="J92" s="41" t="s">
        <v>1712</v>
      </c>
      <c r="K92" s="41" t="s">
        <v>1667</v>
      </c>
      <c r="L92" s="41">
        <v>123.21</v>
      </c>
      <c r="M92" s="41"/>
      <c r="N92" s="42"/>
      <c r="O92" s="42"/>
      <c r="P92" s="42"/>
      <c r="Q92" s="42"/>
      <c r="R92" s="42"/>
      <c r="S92" s="42"/>
      <c r="T92" s="42"/>
      <c r="U92" s="42"/>
      <c r="V92" s="42"/>
      <c r="W92" s="42"/>
      <c r="X92" s="42"/>
      <c r="Y92" s="42"/>
      <c r="Z92" s="42"/>
    </row>
    <row r="93" ht="15.75" customHeight="1">
      <c r="A93" s="42"/>
      <c r="B93" s="42"/>
      <c r="C93" s="42"/>
      <c r="D93" s="42"/>
      <c r="E93" s="42"/>
      <c r="F93" s="42"/>
      <c r="G93" s="42"/>
      <c r="H93" s="63"/>
      <c r="I93" s="42"/>
      <c r="J93" s="41" t="s">
        <v>1713</v>
      </c>
      <c r="K93" s="41" t="s">
        <v>610</v>
      </c>
      <c r="L93" s="41">
        <v>132.64</v>
      </c>
      <c r="M93" s="41"/>
      <c r="N93" s="42"/>
      <c r="O93" s="42"/>
      <c r="P93" s="42"/>
      <c r="Q93" s="42"/>
      <c r="R93" s="42"/>
      <c r="S93" s="42"/>
      <c r="T93" s="42"/>
      <c r="U93" s="42"/>
      <c r="V93" s="42"/>
      <c r="W93" s="42"/>
      <c r="X93" s="42"/>
      <c r="Y93" s="42"/>
      <c r="Z93" s="42"/>
    </row>
    <row r="94" ht="15.75" customHeight="1">
      <c r="A94" s="42"/>
      <c r="B94" s="42"/>
      <c r="C94" s="42"/>
      <c r="D94" s="42"/>
      <c r="E94" s="42"/>
      <c r="F94" s="42"/>
      <c r="G94" s="42"/>
      <c r="H94" s="63"/>
      <c r="I94" s="42"/>
      <c r="J94" s="41" t="s">
        <v>1714</v>
      </c>
      <c r="K94" s="41"/>
      <c r="L94" s="41"/>
      <c r="M94" s="41"/>
      <c r="N94" s="42"/>
      <c r="O94" s="42"/>
      <c r="P94" s="42"/>
      <c r="Q94" s="42"/>
      <c r="R94" s="42"/>
      <c r="S94" s="42"/>
      <c r="T94" s="42"/>
      <c r="U94" s="42"/>
      <c r="V94" s="42"/>
      <c r="W94" s="42"/>
      <c r="X94" s="42"/>
      <c r="Y94" s="42"/>
      <c r="Z94" s="42"/>
    </row>
    <row r="95" ht="15.75" customHeight="1">
      <c r="A95" s="42"/>
      <c r="B95" s="42"/>
      <c r="C95" s="42"/>
      <c r="D95" s="42"/>
      <c r="E95" s="42"/>
      <c r="F95" s="42"/>
      <c r="G95" s="42"/>
      <c r="H95" s="63"/>
      <c r="I95" s="42"/>
      <c r="J95" s="41" t="s">
        <v>1715</v>
      </c>
      <c r="K95" s="41"/>
      <c r="L95" s="41">
        <v>125.37</v>
      </c>
      <c r="M95" s="41"/>
      <c r="N95" s="42"/>
      <c r="O95" s="42"/>
      <c r="P95" s="42"/>
      <c r="Q95" s="42"/>
      <c r="R95" s="42"/>
      <c r="S95" s="42"/>
      <c r="T95" s="42"/>
      <c r="U95" s="42"/>
      <c r="V95" s="42"/>
      <c r="W95" s="42"/>
      <c r="X95" s="42"/>
      <c r="Y95" s="42"/>
      <c r="Z95" s="42"/>
    </row>
    <row r="96" ht="15.75" customHeight="1">
      <c r="A96" s="42"/>
      <c r="B96" s="42"/>
      <c r="C96" s="42"/>
      <c r="D96" s="42"/>
      <c r="E96" s="42"/>
      <c r="F96" s="42"/>
      <c r="G96" s="42"/>
      <c r="H96" s="63"/>
      <c r="I96" s="42"/>
      <c r="J96" s="41" t="s">
        <v>1716</v>
      </c>
      <c r="K96" s="41"/>
      <c r="L96" s="41">
        <v>102.25</v>
      </c>
      <c r="M96" s="41"/>
      <c r="N96" s="42"/>
      <c r="O96" s="42"/>
      <c r="P96" s="42"/>
      <c r="Q96" s="42"/>
      <c r="R96" s="42"/>
      <c r="S96" s="42"/>
      <c r="T96" s="42"/>
      <c r="U96" s="42"/>
      <c r="V96" s="42"/>
      <c r="W96" s="42"/>
      <c r="X96" s="42"/>
      <c r="Y96" s="42"/>
      <c r="Z96" s="42"/>
    </row>
    <row r="97" ht="15.75" customHeight="1">
      <c r="A97" s="42"/>
      <c r="B97" s="42"/>
      <c r="C97" s="42"/>
      <c r="D97" s="42"/>
      <c r="E97" s="42"/>
      <c r="F97" s="42"/>
      <c r="G97" s="42"/>
      <c r="H97" s="63"/>
      <c r="I97" s="42"/>
      <c r="J97" s="41" t="s">
        <v>1717</v>
      </c>
      <c r="K97" s="41"/>
      <c r="L97" s="41">
        <v>76.73</v>
      </c>
      <c r="M97" s="41"/>
      <c r="N97" s="42"/>
      <c r="O97" s="42"/>
      <c r="P97" s="42"/>
      <c r="Q97" s="42"/>
      <c r="R97" s="42"/>
      <c r="S97" s="42"/>
      <c r="T97" s="42"/>
      <c r="U97" s="42"/>
      <c r="V97" s="42"/>
      <c r="W97" s="42"/>
      <c r="X97" s="42"/>
      <c r="Y97" s="42"/>
      <c r="Z97" s="42"/>
    </row>
    <row r="98" ht="15.75" customHeight="1">
      <c r="A98" s="42"/>
      <c r="B98" s="42"/>
      <c r="C98" s="42"/>
      <c r="D98" s="42"/>
      <c r="E98" s="42"/>
      <c r="F98" s="42"/>
      <c r="G98" s="42"/>
      <c r="H98" s="63"/>
      <c r="I98" s="42"/>
      <c r="J98" s="41" t="s">
        <v>1718</v>
      </c>
      <c r="K98" s="41"/>
      <c r="L98" s="41"/>
      <c r="M98" s="41"/>
      <c r="N98" s="42"/>
      <c r="O98" s="42"/>
      <c r="P98" s="42"/>
      <c r="Q98" s="42"/>
      <c r="R98" s="42"/>
      <c r="S98" s="42"/>
      <c r="T98" s="42"/>
      <c r="U98" s="42"/>
      <c r="V98" s="42"/>
      <c r="W98" s="42"/>
      <c r="X98" s="42"/>
      <c r="Y98" s="42"/>
      <c r="Z98" s="42"/>
    </row>
    <row r="99" ht="15.75" customHeight="1">
      <c r="A99" s="42"/>
      <c r="B99" s="42"/>
      <c r="C99" s="42"/>
      <c r="D99" s="42"/>
      <c r="E99" s="42"/>
      <c r="F99" s="42"/>
      <c r="G99" s="42"/>
      <c r="H99" s="63"/>
      <c r="I99" s="42"/>
      <c r="J99" s="41" t="s">
        <v>1719</v>
      </c>
      <c r="K99" s="41"/>
      <c r="L99" s="41"/>
      <c r="M99" s="41"/>
      <c r="N99" s="42"/>
      <c r="O99" s="42"/>
      <c r="P99" s="42"/>
      <c r="Q99" s="42"/>
      <c r="R99" s="42"/>
      <c r="S99" s="42"/>
      <c r="T99" s="42"/>
      <c r="U99" s="42"/>
      <c r="V99" s="42"/>
      <c r="W99" s="42"/>
      <c r="X99" s="42"/>
      <c r="Y99" s="42"/>
      <c r="Z99" s="42"/>
    </row>
    <row r="100" ht="15.75" customHeight="1">
      <c r="A100" s="42"/>
      <c r="B100" s="42"/>
      <c r="C100" s="42"/>
      <c r="D100" s="42"/>
      <c r="E100" s="42"/>
      <c r="F100" s="42"/>
      <c r="G100" s="42"/>
      <c r="H100" s="63"/>
      <c r="I100" s="42"/>
      <c r="J100" s="41" t="s">
        <v>1720</v>
      </c>
      <c r="K100" s="41" t="s">
        <v>1704</v>
      </c>
      <c r="L100" s="41">
        <v>123.61</v>
      </c>
      <c r="M100" s="41"/>
      <c r="N100" s="42"/>
      <c r="O100" s="42"/>
      <c r="P100" s="42"/>
      <c r="Q100" s="42"/>
      <c r="R100" s="42"/>
      <c r="S100" s="42"/>
      <c r="T100" s="42"/>
      <c r="U100" s="42"/>
      <c r="V100" s="42"/>
      <c r="W100" s="42"/>
      <c r="X100" s="42"/>
      <c r="Y100" s="42"/>
      <c r="Z100" s="42"/>
    </row>
    <row r="101" ht="15.75" customHeight="1">
      <c r="A101" s="42"/>
      <c r="B101" s="42"/>
      <c r="C101" s="42"/>
      <c r="D101" s="42"/>
      <c r="E101" s="42"/>
      <c r="F101" s="42"/>
      <c r="G101" s="42"/>
      <c r="H101" s="63"/>
      <c r="I101" s="42"/>
      <c r="J101" s="41" t="s">
        <v>1721</v>
      </c>
      <c r="K101" s="41" t="s">
        <v>1697</v>
      </c>
      <c r="L101" s="41">
        <v>135.15</v>
      </c>
      <c r="M101" s="41"/>
      <c r="N101" s="42"/>
      <c r="O101" s="42"/>
      <c r="P101" s="42"/>
      <c r="Q101" s="42"/>
      <c r="R101" s="42"/>
      <c r="S101" s="42"/>
      <c r="T101" s="42"/>
      <c r="U101" s="42"/>
      <c r="V101" s="42"/>
      <c r="W101" s="42"/>
      <c r="X101" s="42"/>
      <c r="Y101" s="42"/>
      <c r="Z101" s="42"/>
    </row>
    <row r="102" ht="15.75" customHeight="1">
      <c r="A102" s="42"/>
      <c r="B102" s="42"/>
      <c r="C102" s="42"/>
      <c r="D102" s="42"/>
      <c r="E102" s="42"/>
      <c r="F102" s="42"/>
      <c r="G102" s="42"/>
      <c r="H102" s="63"/>
      <c r="I102" s="42"/>
      <c r="J102" s="41" t="s">
        <v>1722</v>
      </c>
      <c r="K102" s="41"/>
      <c r="L102" s="41"/>
      <c r="M102" s="41"/>
      <c r="N102" s="42"/>
      <c r="O102" s="42"/>
      <c r="P102" s="42"/>
      <c r="Q102" s="42"/>
      <c r="R102" s="42"/>
      <c r="S102" s="42"/>
      <c r="T102" s="42"/>
      <c r="U102" s="42"/>
      <c r="V102" s="42"/>
      <c r="W102" s="42"/>
      <c r="X102" s="42"/>
      <c r="Y102" s="42"/>
      <c r="Z102" s="42"/>
    </row>
    <row r="103" ht="15.75" customHeight="1">
      <c r="A103" s="42"/>
      <c r="B103" s="42"/>
      <c r="C103" s="42"/>
      <c r="D103" s="42"/>
      <c r="E103" s="42"/>
      <c r="F103" s="42"/>
      <c r="G103" s="42"/>
      <c r="H103" s="63"/>
      <c r="I103" s="42"/>
      <c r="J103" s="41" t="s">
        <v>1723</v>
      </c>
      <c r="K103" s="41"/>
      <c r="L103" s="41">
        <v>62.98</v>
      </c>
      <c r="M103" s="41"/>
      <c r="N103" s="42"/>
      <c r="O103" s="42"/>
      <c r="P103" s="42"/>
      <c r="Q103" s="42"/>
      <c r="R103" s="42"/>
      <c r="S103" s="42"/>
      <c r="T103" s="42"/>
      <c r="U103" s="42"/>
      <c r="V103" s="42"/>
      <c r="W103" s="42"/>
      <c r="X103" s="42"/>
      <c r="Y103" s="42"/>
      <c r="Z103" s="42"/>
    </row>
    <row r="104" ht="15.75" customHeight="1">
      <c r="A104" s="42"/>
      <c r="B104" s="42"/>
      <c r="C104" s="42"/>
      <c r="D104" s="42"/>
      <c r="E104" s="42"/>
      <c r="F104" s="42"/>
      <c r="G104" s="42"/>
      <c r="H104" s="63"/>
      <c r="I104" s="42"/>
      <c r="J104" s="41" t="s">
        <v>1724</v>
      </c>
      <c r="K104" s="41"/>
      <c r="L104" s="41">
        <v>104.86</v>
      </c>
      <c r="M104" s="41"/>
      <c r="N104" s="42"/>
      <c r="O104" s="42"/>
      <c r="P104" s="42"/>
      <c r="Q104" s="42"/>
      <c r="R104" s="42"/>
      <c r="S104" s="42"/>
      <c r="T104" s="42"/>
      <c r="U104" s="42"/>
      <c r="V104" s="42"/>
      <c r="W104" s="42"/>
      <c r="X104" s="42"/>
      <c r="Y104" s="42"/>
      <c r="Z104" s="42"/>
    </row>
    <row r="105" ht="15.75" customHeight="1">
      <c r="A105" s="42"/>
      <c r="B105" s="42"/>
      <c r="C105" s="42"/>
      <c r="D105" s="42"/>
      <c r="E105" s="42"/>
      <c r="F105" s="42"/>
      <c r="G105" s="42"/>
      <c r="H105" s="63"/>
      <c r="I105" s="42"/>
      <c r="J105" s="41" t="s">
        <v>1725</v>
      </c>
      <c r="K105" s="41" t="s">
        <v>610</v>
      </c>
      <c r="L105" s="41">
        <v>124.57</v>
      </c>
      <c r="M105" s="41"/>
      <c r="N105" s="42"/>
      <c r="O105" s="42"/>
      <c r="P105" s="42"/>
      <c r="Q105" s="42"/>
      <c r="R105" s="42"/>
      <c r="S105" s="42"/>
      <c r="T105" s="42"/>
      <c r="U105" s="42"/>
      <c r="V105" s="42"/>
      <c r="W105" s="42"/>
      <c r="X105" s="42"/>
      <c r="Y105" s="42"/>
      <c r="Z105" s="42"/>
    </row>
    <row r="106" ht="15.75" customHeight="1">
      <c r="A106" s="42"/>
      <c r="B106" s="42"/>
      <c r="C106" s="42"/>
      <c r="D106" s="42"/>
      <c r="E106" s="42"/>
      <c r="F106" s="42"/>
      <c r="G106" s="42"/>
      <c r="H106" s="63"/>
      <c r="I106" s="42"/>
      <c r="J106" s="41" t="s">
        <v>1726</v>
      </c>
      <c r="K106" s="41" t="s">
        <v>610</v>
      </c>
      <c r="L106" s="41">
        <v>123.57</v>
      </c>
      <c r="M106" s="41"/>
      <c r="N106" s="42"/>
      <c r="O106" s="42"/>
      <c r="P106" s="42"/>
      <c r="Q106" s="42"/>
      <c r="R106" s="42"/>
      <c r="S106" s="42"/>
      <c r="T106" s="42"/>
      <c r="U106" s="42"/>
      <c r="V106" s="42"/>
      <c r="W106" s="42"/>
      <c r="X106" s="42"/>
      <c r="Y106" s="42"/>
      <c r="Z106" s="42"/>
    </row>
    <row r="107" ht="15.75" customHeight="1">
      <c r="A107" s="42"/>
      <c r="B107" s="42"/>
      <c r="C107" s="42"/>
      <c r="D107" s="42"/>
      <c r="E107" s="42"/>
      <c r="F107" s="42"/>
      <c r="G107" s="42"/>
      <c r="H107" s="63"/>
      <c r="I107" s="42"/>
      <c r="J107" s="41" t="s">
        <v>1727</v>
      </c>
      <c r="K107" s="41"/>
      <c r="L107" s="41">
        <v>118.14</v>
      </c>
      <c r="M107" s="41"/>
      <c r="N107" s="42"/>
      <c r="O107" s="42"/>
      <c r="P107" s="42"/>
      <c r="Q107" s="42"/>
      <c r="R107" s="42"/>
      <c r="S107" s="42"/>
      <c r="T107" s="42"/>
      <c r="U107" s="42"/>
      <c r="V107" s="42"/>
      <c r="W107" s="42"/>
      <c r="X107" s="42"/>
      <c r="Y107" s="42"/>
      <c r="Z107" s="42"/>
    </row>
    <row r="108" ht="15.75" customHeight="1">
      <c r="A108" s="42"/>
      <c r="B108" s="42"/>
      <c r="C108" s="42"/>
      <c r="D108" s="42"/>
      <c r="E108" s="42"/>
      <c r="F108" s="42"/>
      <c r="G108" s="42"/>
      <c r="H108" s="63"/>
      <c r="I108" s="42"/>
      <c r="J108" s="41" t="s">
        <v>1728</v>
      </c>
      <c r="K108" s="41" t="s">
        <v>1667</v>
      </c>
      <c r="L108" s="41">
        <v>147.13</v>
      </c>
      <c r="M108" s="41"/>
      <c r="N108" s="42"/>
      <c r="O108" s="42"/>
      <c r="P108" s="42"/>
      <c r="Q108" s="42"/>
      <c r="R108" s="42"/>
      <c r="S108" s="42"/>
      <c r="T108" s="42"/>
      <c r="U108" s="42"/>
      <c r="V108" s="42"/>
      <c r="W108" s="42"/>
      <c r="X108" s="42"/>
      <c r="Y108" s="42"/>
      <c r="Z108" s="42"/>
    </row>
    <row r="109" ht="15.75" customHeight="1">
      <c r="A109" s="42"/>
      <c r="B109" s="42"/>
      <c r="C109" s="42"/>
      <c r="D109" s="42"/>
      <c r="E109" s="42"/>
      <c r="F109" s="42"/>
      <c r="G109" s="42"/>
      <c r="H109" s="63"/>
      <c r="I109" s="42"/>
      <c r="J109" s="41" t="s">
        <v>1729</v>
      </c>
      <c r="K109" s="41"/>
      <c r="L109" s="41">
        <v>86.09</v>
      </c>
      <c r="M109" s="41"/>
      <c r="N109" s="42"/>
      <c r="O109" s="42"/>
      <c r="P109" s="42"/>
      <c r="Q109" s="42"/>
      <c r="R109" s="42"/>
      <c r="S109" s="42"/>
      <c r="T109" s="42"/>
      <c r="U109" s="42"/>
      <c r="V109" s="42"/>
      <c r="W109" s="42"/>
      <c r="X109" s="42"/>
      <c r="Y109" s="42"/>
      <c r="Z109" s="42"/>
    </row>
    <row r="110" ht="15.75" customHeight="1">
      <c r="A110" s="42"/>
      <c r="B110" s="42"/>
      <c r="C110" s="42"/>
      <c r="D110" s="42"/>
      <c r="E110" s="42"/>
      <c r="F110" s="42"/>
      <c r="G110" s="42"/>
      <c r="H110" s="63"/>
      <c r="I110" s="42"/>
      <c r="J110" s="41" t="s">
        <v>1730</v>
      </c>
      <c r="K110" s="41"/>
      <c r="L110" s="41">
        <v>102.68</v>
      </c>
      <c r="M110" s="41"/>
      <c r="N110" s="42"/>
      <c r="O110" s="42"/>
      <c r="P110" s="42"/>
      <c r="Q110" s="42"/>
      <c r="R110" s="42"/>
      <c r="S110" s="42"/>
      <c r="T110" s="42"/>
      <c r="U110" s="42"/>
      <c r="V110" s="42"/>
      <c r="W110" s="42"/>
      <c r="X110" s="42"/>
      <c r="Y110" s="42"/>
      <c r="Z110" s="42"/>
    </row>
    <row r="111" ht="15.75" customHeight="1">
      <c r="A111" s="42"/>
      <c r="B111" s="42"/>
      <c r="C111" s="42"/>
      <c r="D111" s="42"/>
      <c r="E111" s="42"/>
      <c r="F111" s="42"/>
      <c r="G111" s="42"/>
      <c r="H111" s="63"/>
      <c r="I111" s="42"/>
      <c r="J111" s="42"/>
      <c r="K111" s="41"/>
      <c r="L111" s="41"/>
      <c r="M111" s="41"/>
      <c r="N111" s="42"/>
      <c r="O111" s="42"/>
      <c r="P111" s="42"/>
      <c r="Q111" s="42"/>
      <c r="R111" s="42"/>
      <c r="S111" s="42"/>
      <c r="T111" s="42"/>
      <c r="U111" s="42"/>
      <c r="V111" s="42"/>
      <c r="W111" s="42"/>
      <c r="X111" s="42"/>
      <c r="Y111" s="42"/>
      <c r="Z111" s="42"/>
    </row>
    <row r="112" ht="15.75" customHeight="1">
      <c r="A112" s="42"/>
      <c r="B112" s="42"/>
      <c r="C112" s="42"/>
      <c r="D112" s="42"/>
      <c r="E112" s="42"/>
      <c r="F112" s="42"/>
      <c r="G112" s="42"/>
      <c r="H112" s="63"/>
      <c r="I112" s="42"/>
      <c r="J112" s="42"/>
      <c r="K112" s="41"/>
      <c r="L112" s="41"/>
      <c r="M112" s="41"/>
      <c r="N112" s="42"/>
      <c r="O112" s="42"/>
      <c r="P112" s="42"/>
      <c r="Q112" s="42"/>
      <c r="R112" s="42"/>
      <c r="S112" s="42"/>
      <c r="T112" s="42"/>
      <c r="U112" s="42"/>
      <c r="V112" s="42"/>
      <c r="W112" s="42"/>
      <c r="X112" s="42"/>
      <c r="Y112" s="42"/>
      <c r="Z112" s="42"/>
    </row>
    <row r="113" ht="15.75" customHeight="1">
      <c r="A113" s="42"/>
      <c r="B113" s="42"/>
      <c r="C113" s="42"/>
      <c r="D113" s="42"/>
      <c r="E113" s="42"/>
      <c r="F113" s="42"/>
      <c r="G113" s="42"/>
      <c r="H113" s="63"/>
      <c r="I113" s="42"/>
      <c r="J113" s="42"/>
      <c r="K113" s="41"/>
      <c r="L113" s="41"/>
      <c r="M113" s="41"/>
      <c r="N113" s="42"/>
      <c r="O113" s="42"/>
      <c r="P113" s="42"/>
      <c r="Q113" s="42"/>
      <c r="R113" s="42"/>
      <c r="S113" s="42"/>
      <c r="T113" s="42"/>
      <c r="U113" s="42"/>
      <c r="V113" s="42"/>
      <c r="W113" s="42"/>
      <c r="X113" s="42"/>
      <c r="Y113" s="42"/>
      <c r="Z113" s="42"/>
    </row>
    <row r="114" ht="15.75" customHeight="1">
      <c r="A114" s="42"/>
      <c r="B114" s="42"/>
      <c r="C114" s="42"/>
      <c r="D114" s="42"/>
      <c r="E114" s="42"/>
      <c r="F114" s="42"/>
      <c r="G114" s="42"/>
      <c r="H114" s="63"/>
      <c r="I114" s="42"/>
      <c r="J114" s="42"/>
      <c r="K114" s="41"/>
      <c r="L114" s="41"/>
      <c r="M114" s="41"/>
      <c r="N114" s="42"/>
      <c r="O114" s="42"/>
      <c r="P114" s="42"/>
      <c r="Q114" s="42"/>
      <c r="R114" s="42"/>
      <c r="S114" s="42"/>
      <c r="T114" s="42"/>
      <c r="U114" s="42"/>
      <c r="V114" s="42"/>
      <c r="W114" s="42"/>
      <c r="X114" s="42"/>
      <c r="Y114" s="42"/>
      <c r="Z114" s="42"/>
    </row>
    <row r="115" ht="15.75" customHeight="1">
      <c r="A115" s="42"/>
      <c r="B115" s="42"/>
      <c r="C115" s="42"/>
      <c r="D115" s="42"/>
      <c r="E115" s="42"/>
      <c r="F115" s="42"/>
      <c r="G115" s="42"/>
      <c r="H115" s="63"/>
      <c r="I115" s="42"/>
      <c r="J115" s="42"/>
      <c r="K115" s="41"/>
      <c r="L115" s="41"/>
      <c r="M115" s="41"/>
      <c r="N115" s="42"/>
      <c r="O115" s="42"/>
      <c r="P115" s="42"/>
      <c r="Q115" s="42"/>
      <c r="R115" s="42"/>
      <c r="S115" s="42"/>
      <c r="T115" s="42"/>
      <c r="U115" s="42"/>
      <c r="V115" s="42"/>
      <c r="W115" s="42"/>
      <c r="X115" s="42"/>
      <c r="Y115" s="42"/>
      <c r="Z115" s="42"/>
    </row>
    <row r="116" ht="15.75" customHeight="1">
      <c r="A116" s="42"/>
      <c r="B116" s="42"/>
      <c r="C116" s="42"/>
      <c r="D116" s="42"/>
      <c r="E116" s="42"/>
      <c r="F116" s="42"/>
      <c r="G116" s="42"/>
      <c r="H116" s="63"/>
      <c r="I116" s="42"/>
      <c r="J116" s="42"/>
      <c r="K116" s="41"/>
      <c r="L116" s="41"/>
      <c r="M116" s="41"/>
      <c r="N116" s="42"/>
      <c r="O116" s="42"/>
      <c r="P116" s="42"/>
      <c r="Q116" s="42"/>
      <c r="R116" s="42"/>
      <c r="S116" s="42"/>
      <c r="T116" s="42"/>
      <c r="U116" s="42"/>
      <c r="V116" s="42"/>
      <c r="W116" s="42"/>
      <c r="X116" s="42"/>
      <c r="Y116" s="42"/>
      <c r="Z116" s="42"/>
    </row>
    <row r="117" ht="15.75" customHeight="1">
      <c r="A117" s="42"/>
      <c r="B117" s="42"/>
      <c r="C117" s="42"/>
      <c r="D117" s="42"/>
      <c r="E117" s="42"/>
      <c r="F117" s="42"/>
      <c r="G117" s="42"/>
      <c r="H117" s="63"/>
      <c r="I117" s="42"/>
      <c r="J117" s="42"/>
      <c r="K117" s="41"/>
      <c r="L117" s="41"/>
      <c r="M117" s="41"/>
      <c r="N117" s="42"/>
      <c r="O117" s="42"/>
      <c r="P117" s="42"/>
      <c r="Q117" s="42"/>
      <c r="R117" s="42"/>
      <c r="S117" s="42"/>
      <c r="T117" s="42"/>
      <c r="U117" s="42"/>
      <c r="V117" s="42"/>
      <c r="W117" s="42"/>
      <c r="X117" s="42"/>
      <c r="Y117" s="42"/>
      <c r="Z117" s="42"/>
    </row>
    <row r="118" ht="15.75" customHeight="1">
      <c r="A118" s="42"/>
      <c r="B118" s="42"/>
      <c r="C118" s="42"/>
      <c r="D118" s="42"/>
      <c r="E118" s="42"/>
      <c r="F118" s="42"/>
      <c r="G118" s="42"/>
      <c r="H118" s="63"/>
      <c r="I118" s="42"/>
      <c r="J118" s="42"/>
      <c r="K118" s="41"/>
      <c r="L118" s="41"/>
      <c r="M118" s="42"/>
      <c r="N118" s="42"/>
      <c r="O118" s="42"/>
      <c r="P118" s="42"/>
      <c r="Q118" s="42"/>
      <c r="R118" s="42"/>
      <c r="S118" s="42"/>
      <c r="T118" s="42"/>
      <c r="U118" s="42"/>
      <c r="V118" s="42"/>
      <c r="W118" s="42"/>
      <c r="X118" s="42"/>
      <c r="Y118" s="42"/>
      <c r="Z118" s="42"/>
    </row>
    <row r="119" ht="15.75" customHeight="1">
      <c r="A119" s="42"/>
      <c r="B119" s="42"/>
      <c r="C119" s="42"/>
      <c r="D119" s="42"/>
      <c r="E119" s="42"/>
      <c r="F119" s="42"/>
      <c r="G119" s="42"/>
      <c r="H119" s="63"/>
      <c r="I119" s="42"/>
      <c r="J119" s="42"/>
      <c r="K119" s="41"/>
      <c r="L119" s="42"/>
      <c r="M119" s="42"/>
      <c r="N119" s="42"/>
      <c r="O119" s="42"/>
      <c r="P119" s="42"/>
      <c r="Q119" s="42"/>
      <c r="R119" s="42"/>
      <c r="S119" s="42"/>
      <c r="T119" s="42"/>
      <c r="U119" s="42"/>
      <c r="V119" s="42"/>
      <c r="W119" s="42"/>
      <c r="X119" s="42"/>
      <c r="Y119" s="42"/>
      <c r="Z119" s="42"/>
    </row>
    <row r="120" ht="15.75" customHeight="1">
      <c r="A120" s="42"/>
      <c r="B120" s="42"/>
      <c r="C120" s="42"/>
      <c r="D120" s="42"/>
      <c r="E120" s="42"/>
      <c r="F120" s="42"/>
      <c r="G120" s="42"/>
      <c r="H120" s="63"/>
      <c r="I120" s="42"/>
      <c r="J120" s="42"/>
      <c r="K120" s="41"/>
      <c r="L120" s="42"/>
      <c r="M120" s="42"/>
      <c r="N120" s="42"/>
      <c r="O120" s="42"/>
      <c r="P120" s="42"/>
      <c r="Q120" s="42"/>
      <c r="R120" s="42"/>
      <c r="S120" s="42"/>
      <c r="T120" s="42"/>
      <c r="U120" s="42"/>
      <c r="V120" s="42"/>
      <c r="W120" s="42"/>
      <c r="X120" s="42"/>
      <c r="Y120" s="42"/>
      <c r="Z120" s="42"/>
    </row>
    <row r="121" ht="15.75" customHeight="1">
      <c r="A121" s="42"/>
      <c r="B121" s="42"/>
      <c r="C121" s="42"/>
      <c r="D121" s="42"/>
      <c r="E121" s="42"/>
      <c r="F121" s="42"/>
      <c r="G121" s="42"/>
      <c r="H121" s="63"/>
      <c r="I121" s="42"/>
      <c r="J121" s="42"/>
      <c r="K121" s="41"/>
      <c r="L121" s="42"/>
      <c r="M121" s="42"/>
      <c r="N121" s="42"/>
      <c r="O121" s="42"/>
      <c r="P121" s="42"/>
      <c r="Q121" s="42"/>
      <c r="R121" s="42"/>
      <c r="S121" s="42"/>
      <c r="T121" s="42"/>
      <c r="U121" s="42"/>
      <c r="V121" s="42"/>
      <c r="W121" s="42"/>
      <c r="X121" s="42"/>
      <c r="Y121" s="42"/>
      <c r="Z121" s="42"/>
    </row>
    <row r="122" ht="15.75" customHeight="1">
      <c r="A122" s="42"/>
      <c r="B122" s="42"/>
      <c r="C122" s="42"/>
      <c r="D122" s="42"/>
      <c r="E122" s="42"/>
      <c r="F122" s="42"/>
      <c r="G122" s="42"/>
      <c r="H122" s="63"/>
      <c r="I122" s="42"/>
      <c r="J122" s="42"/>
      <c r="K122" s="41"/>
      <c r="L122" s="42"/>
      <c r="M122" s="42"/>
      <c r="N122" s="42"/>
      <c r="O122" s="42"/>
      <c r="P122" s="42"/>
      <c r="Q122" s="42"/>
      <c r="R122" s="42"/>
      <c r="S122" s="42"/>
      <c r="T122" s="42"/>
      <c r="U122" s="42"/>
      <c r="V122" s="42"/>
      <c r="W122" s="42"/>
      <c r="X122" s="42"/>
      <c r="Y122" s="42"/>
      <c r="Z122" s="42"/>
    </row>
    <row r="123" ht="15.75" customHeight="1">
      <c r="A123" s="42"/>
      <c r="B123" s="42"/>
      <c r="C123" s="42"/>
      <c r="D123" s="42"/>
      <c r="E123" s="42"/>
      <c r="F123" s="42"/>
      <c r="G123" s="42"/>
      <c r="H123" s="63"/>
      <c r="I123" s="42"/>
      <c r="J123" s="42"/>
      <c r="K123" s="41"/>
      <c r="L123" s="42"/>
      <c r="M123" s="42"/>
      <c r="N123" s="42"/>
      <c r="O123" s="42"/>
      <c r="P123" s="42"/>
      <c r="Q123" s="42"/>
      <c r="R123" s="42"/>
      <c r="S123" s="42"/>
      <c r="T123" s="42"/>
      <c r="U123" s="42"/>
      <c r="V123" s="42"/>
      <c r="W123" s="42"/>
      <c r="X123" s="42"/>
      <c r="Y123" s="42"/>
      <c r="Z123" s="42"/>
    </row>
    <row r="124" ht="15.75" customHeight="1">
      <c r="A124" s="42"/>
      <c r="B124" s="42"/>
      <c r="C124" s="42"/>
      <c r="D124" s="42"/>
      <c r="E124" s="42"/>
      <c r="F124" s="42"/>
      <c r="G124" s="42"/>
      <c r="H124" s="63"/>
      <c r="I124" s="42"/>
      <c r="J124" s="42"/>
      <c r="K124" s="41"/>
      <c r="L124" s="42"/>
      <c r="M124" s="42"/>
      <c r="N124" s="42"/>
      <c r="O124" s="42"/>
      <c r="P124" s="42"/>
      <c r="Q124" s="42"/>
      <c r="R124" s="42"/>
      <c r="S124" s="42"/>
      <c r="T124" s="42"/>
      <c r="U124" s="42"/>
      <c r="V124" s="42"/>
      <c r="W124" s="42"/>
      <c r="X124" s="42"/>
      <c r="Y124" s="42"/>
      <c r="Z124" s="42"/>
    </row>
    <row r="125" ht="15.75" customHeight="1">
      <c r="A125" s="42"/>
      <c r="B125" s="42"/>
      <c r="C125" s="42"/>
      <c r="D125" s="42"/>
      <c r="E125" s="42"/>
      <c r="F125" s="42"/>
      <c r="G125" s="42"/>
      <c r="H125" s="63"/>
      <c r="I125" s="42"/>
      <c r="J125" s="42"/>
      <c r="K125" s="41"/>
      <c r="L125" s="42"/>
      <c r="M125" s="42"/>
      <c r="N125" s="42"/>
      <c r="O125" s="42"/>
      <c r="P125" s="42"/>
      <c r="Q125" s="42"/>
      <c r="R125" s="42"/>
      <c r="S125" s="42"/>
      <c r="T125" s="42"/>
      <c r="U125" s="42"/>
      <c r="V125" s="42"/>
      <c r="W125" s="42"/>
      <c r="X125" s="42"/>
      <c r="Y125" s="42"/>
      <c r="Z125" s="42"/>
    </row>
    <row r="126" ht="15.75" customHeight="1">
      <c r="A126" s="42"/>
      <c r="B126" s="42"/>
      <c r="C126" s="42"/>
      <c r="D126" s="42"/>
      <c r="E126" s="42"/>
      <c r="F126" s="42"/>
      <c r="G126" s="42"/>
      <c r="H126" s="63"/>
      <c r="I126" s="42"/>
      <c r="J126" s="42"/>
      <c r="K126" s="41"/>
      <c r="L126" s="42"/>
      <c r="M126" s="42"/>
      <c r="N126" s="42"/>
      <c r="O126" s="42"/>
      <c r="P126" s="42"/>
      <c r="Q126" s="42"/>
      <c r="R126" s="42"/>
      <c r="S126" s="42"/>
      <c r="T126" s="42"/>
      <c r="U126" s="42"/>
      <c r="V126" s="42"/>
      <c r="W126" s="42"/>
      <c r="X126" s="42"/>
      <c r="Y126" s="42"/>
      <c r="Z126" s="42"/>
    </row>
    <row r="127" ht="15.75" customHeight="1">
      <c r="A127" s="42"/>
      <c r="B127" s="42"/>
      <c r="C127" s="42"/>
      <c r="D127" s="42"/>
      <c r="E127" s="42"/>
      <c r="F127" s="42"/>
      <c r="G127" s="42"/>
      <c r="H127" s="63"/>
      <c r="I127" s="42"/>
      <c r="J127" s="42"/>
      <c r="K127" s="42"/>
      <c r="L127" s="42"/>
      <c r="M127" s="42"/>
      <c r="N127" s="42"/>
      <c r="O127" s="42"/>
      <c r="P127" s="42"/>
      <c r="Q127" s="42"/>
      <c r="R127" s="42"/>
      <c r="S127" s="42"/>
      <c r="T127" s="42"/>
      <c r="U127" s="42"/>
      <c r="V127" s="42"/>
      <c r="W127" s="42"/>
      <c r="X127" s="42"/>
      <c r="Y127" s="42"/>
      <c r="Z127" s="42"/>
    </row>
    <row r="128" ht="15.75" customHeight="1">
      <c r="A128" s="42"/>
      <c r="B128" s="42"/>
      <c r="C128" s="42"/>
      <c r="D128" s="42"/>
      <c r="E128" s="42"/>
      <c r="F128" s="42"/>
      <c r="G128" s="42"/>
      <c r="H128" s="63"/>
      <c r="I128" s="42"/>
      <c r="J128" s="42"/>
      <c r="K128" s="42"/>
      <c r="L128" s="42"/>
      <c r="M128" s="42"/>
      <c r="N128" s="42"/>
      <c r="O128" s="42"/>
      <c r="P128" s="42"/>
      <c r="Q128" s="42"/>
      <c r="R128" s="42"/>
      <c r="S128" s="42"/>
      <c r="T128" s="42"/>
      <c r="U128" s="42"/>
      <c r="V128" s="42"/>
      <c r="W128" s="42"/>
      <c r="X128" s="42"/>
      <c r="Y128" s="42"/>
      <c r="Z128" s="42"/>
    </row>
    <row r="129" ht="15.75" customHeight="1">
      <c r="A129" s="42"/>
      <c r="B129" s="42"/>
      <c r="C129" s="42"/>
      <c r="D129" s="42"/>
      <c r="E129" s="42"/>
      <c r="F129" s="42"/>
      <c r="G129" s="42"/>
      <c r="H129" s="63"/>
      <c r="I129" s="42"/>
      <c r="J129" s="42"/>
      <c r="K129" s="42"/>
      <c r="L129" s="42"/>
      <c r="M129" s="42"/>
      <c r="N129" s="42"/>
      <c r="O129" s="42"/>
      <c r="P129" s="42"/>
      <c r="Q129" s="42"/>
      <c r="R129" s="42"/>
      <c r="S129" s="42"/>
      <c r="T129" s="42"/>
      <c r="U129" s="42"/>
      <c r="V129" s="42"/>
      <c r="W129" s="42"/>
      <c r="X129" s="42"/>
      <c r="Y129" s="42"/>
      <c r="Z129" s="42"/>
    </row>
    <row r="130" ht="15.75" customHeight="1">
      <c r="A130" s="42"/>
      <c r="B130" s="42"/>
      <c r="C130" s="42"/>
      <c r="D130" s="42"/>
      <c r="E130" s="42"/>
      <c r="F130" s="42"/>
      <c r="G130" s="42"/>
      <c r="H130" s="63"/>
      <c r="I130" s="42"/>
      <c r="J130" s="42"/>
      <c r="K130" s="42"/>
      <c r="L130" s="42"/>
      <c r="M130" s="42"/>
      <c r="N130" s="42"/>
      <c r="O130" s="42"/>
      <c r="P130" s="42"/>
      <c r="Q130" s="42"/>
      <c r="R130" s="42"/>
      <c r="S130" s="42"/>
      <c r="T130" s="42"/>
      <c r="U130" s="42"/>
      <c r="V130" s="42"/>
      <c r="W130" s="42"/>
      <c r="X130" s="42"/>
      <c r="Y130" s="42"/>
      <c r="Z130" s="42"/>
    </row>
    <row r="131" ht="15.75" customHeight="1">
      <c r="A131" s="42"/>
      <c r="B131" s="42"/>
      <c r="C131" s="42"/>
      <c r="D131" s="42"/>
      <c r="E131" s="42"/>
      <c r="F131" s="42"/>
      <c r="G131" s="42"/>
      <c r="H131" s="63"/>
      <c r="I131" s="42"/>
      <c r="J131" s="42"/>
      <c r="K131" s="42"/>
      <c r="L131" s="42"/>
      <c r="M131" s="42"/>
      <c r="N131" s="42"/>
      <c r="O131" s="42"/>
      <c r="P131" s="42"/>
      <c r="Q131" s="42"/>
      <c r="R131" s="42"/>
      <c r="S131" s="42"/>
      <c r="T131" s="42"/>
      <c r="U131" s="42"/>
      <c r="V131" s="42"/>
      <c r="W131" s="42"/>
      <c r="X131" s="42"/>
      <c r="Y131" s="42"/>
      <c r="Z131" s="42"/>
    </row>
    <row r="132" ht="15.75" customHeight="1">
      <c r="A132" s="42"/>
      <c r="B132" s="42"/>
      <c r="C132" s="42"/>
      <c r="D132" s="42"/>
      <c r="E132" s="42"/>
      <c r="F132" s="42"/>
      <c r="G132" s="42"/>
      <c r="H132" s="63"/>
      <c r="I132" s="42"/>
      <c r="J132" s="42"/>
      <c r="K132" s="42"/>
      <c r="L132" s="42"/>
      <c r="M132" s="42"/>
      <c r="N132" s="42"/>
      <c r="O132" s="42"/>
      <c r="P132" s="42"/>
      <c r="Q132" s="42"/>
      <c r="R132" s="42"/>
      <c r="S132" s="42"/>
      <c r="T132" s="42"/>
      <c r="U132" s="42"/>
      <c r="V132" s="42"/>
      <c r="W132" s="42"/>
      <c r="X132" s="42"/>
      <c r="Y132" s="42"/>
      <c r="Z132" s="42"/>
    </row>
    <row r="133" ht="15.75" customHeight="1">
      <c r="A133" s="42"/>
      <c r="B133" s="42"/>
      <c r="C133" s="42"/>
      <c r="D133" s="42"/>
      <c r="E133" s="42"/>
      <c r="F133" s="42"/>
      <c r="G133" s="42"/>
      <c r="H133" s="63"/>
      <c r="I133" s="42"/>
      <c r="J133" s="42"/>
      <c r="K133" s="42"/>
      <c r="L133" s="42"/>
      <c r="M133" s="42"/>
      <c r="N133" s="42"/>
      <c r="O133" s="42"/>
      <c r="P133" s="42"/>
      <c r="Q133" s="42"/>
      <c r="R133" s="42"/>
      <c r="S133" s="42"/>
      <c r="T133" s="42"/>
      <c r="U133" s="42"/>
      <c r="V133" s="42"/>
      <c r="W133" s="42"/>
      <c r="X133" s="42"/>
      <c r="Y133" s="42"/>
      <c r="Z133" s="42"/>
    </row>
    <row r="134" ht="15.75" customHeight="1">
      <c r="A134" s="42"/>
      <c r="B134" s="42"/>
      <c r="C134" s="42"/>
      <c r="D134" s="42"/>
      <c r="E134" s="42"/>
      <c r="F134" s="42"/>
      <c r="G134" s="42"/>
      <c r="H134" s="63"/>
      <c r="I134" s="42"/>
      <c r="J134" s="42"/>
      <c r="K134" s="42"/>
      <c r="L134" s="42"/>
      <c r="M134" s="42"/>
      <c r="N134" s="42"/>
      <c r="O134" s="42"/>
      <c r="P134" s="42"/>
      <c r="Q134" s="42"/>
      <c r="R134" s="42"/>
      <c r="S134" s="42"/>
      <c r="T134" s="42"/>
      <c r="U134" s="42"/>
      <c r="V134" s="42"/>
      <c r="W134" s="42"/>
      <c r="X134" s="42"/>
      <c r="Y134" s="42"/>
      <c r="Z134" s="42"/>
    </row>
    <row r="135" ht="15.75" customHeight="1">
      <c r="A135" s="42"/>
      <c r="B135" s="42"/>
      <c r="C135" s="42"/>
      <c r="D135" s="42"/>
      <c r="E135" s="42"/>
      <c r="F135" s="42"/>
      <c r="G135" s="42"/>
      <c r="H135" s="63"/>
      <c r="I135" s="42"/>
      <c r="J135" s="42"/>
      <c r="K135" s="42"/>
      <c r="L135" s="42"/>
      <c r="M135" s="42"/>
      <c r="N135" s="42"/>
      <c r="O135" s="42"/>
      <c r="P135" s="42"/>
      <c r="Q135" s="42"/>
      <c r="R135" s="42"/>
      <c r="S135" s="42"/>
      <c r="T135" s="42"/>
      <c r="U135" s="42"/>
      <c r="V135" s="42"/>
      <c r="W135" s="42"/>
      <c r="X135" s="42"/>
      <c r="Y135" s="42"/>
      <c r="Z135" s="42"/>
    </row>
    <row r="136" ht="15.75" customHeight="1">
      <c r="A136" s="42"/>
      <c r="B136" s="42"/>
      <c r="C136" s="42"/>
      <c r="D136" s="42"/>
      <c r="E136" s="42"/>
      <c r="F136" s="42"/>
      <c r="G136" s="42"/>
      <c r="H136" s="63"/>
      <c r="I136" s="42"/>
      <c r="J136" s="42"/>
      <c r="K136" s="42"/>
      <c r="L136" s="42"/>
      <c r="M136" s="42"/>
      <c r="N136" s="42"/>
      <c r="O136" s="42"/>
      <c r="P136" s="42"/>
      <c r="Q136" s="42"/>
      <c r="R136" s="42"/>
      <c r="S136" s="42"/>
      <c r="T136" s="42"/>
      <c r="U136" s="42"/>
      <c r="V136" s="42"/>
      <c r="W136" s="42"/>
      <c r="X136" s="42"/>
      <c r="Y136" s="42"/>
      <c r="Z136" s="42"/>
    </row>
    <row r="137" ht="15.75" customHeight="1">
      <c r="A137" s="42"/>
      <c r="B137" s="42"/>
      <c r="C137" s="42"/>
      <c r="D137" s="42"/>
      <c r="E137" s="42"/>
      <c r="F137" s="42"/>
      <c r="G137" s="42"/>
      <c r="H137" s="63"/>
      <c r="I137" s="42"/>
      <c r="J137" s="42"/>
      <c r="K137" s="42"/>
      <c r="L137" s="42"/>
      <c r="M137" s="42"/>
      <c r="N137" s="42"/>
      <c r="O137" s="42"/>
      <c r="P137" s="42"/>
      <c r="Q137" s="42"/>
      <c r="R137" s="42"/>
      <c r="S137" s="42"/>
      <c r="T137" s="42"/>
      <c r="U137" s="42"/>
      <c r="V137" s="42"/>
      <c r="W137" s="42"/>
      <c r="X137" s="42"/>
      <c r="Y137" s="42"/>
      <c r="Z137" s="42"/>
    </row>
    <row r="138" ht="15.75" customHeight="1">
      <c r="A138" s="42"/>
      <c r="B138" s="42"/>
      <c r="C138" s="42"/>
      <c r="D138" s="42"/>
      <c r="E138" s="42"/>
      <c r="F138" s="42"/>
      <c r="G138" s="42"/>
      <c r="H138" s="63"/>
      <c r="I138" s="42"/>
      <c r="J138" s="42"/>
      <c r="K138" s="42"/>
      <c r="L138" s="42"/>
      <c r="M138" s="42"/>
      <c r="N138" s="42"/>
      <c r="O138" s="42"/>
      <c r="P138" s="42"/>
      <c r="Q138" s="42"/>
      <c r="R138" s="42"/>
      <c r="S138" s="42"/>
      <c r="T138" s="42"/>
      <c r="U138" s="42"/>
      <c r="V138" s="42"/>
      <c r="W138" s="42"/>
      <c r="X138" s="42"/>
      <c r="Y138" s="42"/>
      <c r="Z138" s="42"/>
    </row>
    <row r="139" ht="15.75" customHeight="1">
      <c r="A139" s="42"/>
      <c r="B139" s="42"/>
      <c r="C139" s="42"/>
      <c r="D139" s="42"/>
      <c r="E139" s="42"/>
      <c r="F139" s="42"/>
      <c r="G139" s="42"/>
      <c r="H139" s="63"/>
      <c r="I139" s="42"/>
      <c r="J139" s="42"/>
      <c r="K139" s="42"/>
      <c r="L139" s="42"/>
      <c r="M139" s="42"/>
      <c r="N139" s="42"/>
      <c r="O139" s="42"/>
      <c r="P139" s="42"/>
      <c r="Q139" s="42"/>
      <c r="R139" s="42"/>
      <c r="S139" s="42"/>
      <c r="T139" s="42"/>
      <c r="U139" s="42"/>
      <c r="V139" s="42"/>
      <c r="W139" s="42"/>
      <c r="X139" s="42"/>
      <c r="Y139" s="42"/>
      <c r="Z139" s="42"/>
    </row>
    <row r="140" ht="15.75" customHeight="1">
      <c r="A140" s="42"/>
      <c r="B140" s="42"/>
      <c r="C140" s="42"/>
      <c r="D140" s="42"/>
      <c r="E140" s="42"/>
      <c r="F140" s="42"/>
      <c r="G140" s="42"/>
      <c r="H140" s="63"/>
      <c r="I140" s="42"/>
      <c r="J140" s="42"/>
      <c r="K140" s="42"/>
      <c r="L140" s="42"/>
      <c r="M140" s="42"/>
      <c r="N140" s="42"/>
      <c r="O140" s="42"/>
      <c r="P140" s="42"/>
      <c r="Q140" s="42"/>
      <c r="R140" s="42"/>
      <c r="S140" s="42"/>
      <c r="T140" s="42"/>
      <c r="U140" s="42"/>
      <c r="V140" s="42"/>
      <c r="W140" s="42"/>
      <c r="X140" s="42"/>
      <c r="Y140" s="42"/>
      <c r="Z140" s="42"/>
    </row>
    <row r="141" ht="15.75" customHeight="1">
      <c r="A141" s="42"/>
      <c r="B141" s="42"/>
      <c r="C141" s="42"/>
      <c r="D141" s="42"/>
      <c r="E141" s="42"/>
      <c r="F141" s="42"/>
      <c r="G141" s="42"/>
      <c r="H141" s="63"/>
      <c r="I141" s="42"/>
      <c r="J141" s="42"/>
      <c r="K141" s="42"/>
      <c r="L141" s="42"/>
      <c r="M141" s="42"/>
      <c r="N141" s="42"/>
      <c r="O141" s="42"/>
      <c r="P141" s="42"/>
      <c r="Q141" s="42"/>
      <c r="R141" s="42"/>
      <c r="S141" s="42"/>
      <c r="T141" s="42"/>
      <c r="U141" s="42"/>
      <c r="V141" s="42"/>
      <c r="W141" s="42"/>
      <c r="X141" s="42"/>
      <c r="Y141" s="42"/>
      <c r="Z141" s="42"/>
    </row>
    <row r="142" ht="15.75" customHeight="1">
      <c r="A142" s="42"/>
      <c r="B142" s="42"/>
      <c r="C142" s="42"/>
      <c r="D142" s="42"/>
      <c r="E142" s="42"/>
      <c r="F142" s="42"/>
      <c r="G142" s="42"/>
      <c r="H142" s="63"/>
      <c r="I142" s="42"/>
      <c r="J142" s="42"/>
      <c r="K142" s="42"/>
      <c r="L142" s="42"/>
      <c r="M142" s="42"/>
      <c r="N142" s="42"/>
      <c r="O142" s="42"/>
      <c r="P142" s="42"/>
      <c r="Q142" s="42"/>
      <c r="R142" s="42"/>
      <c r="S142" s="42"/>
      <c r="T142" s="42"/>
      <c r="U142" s="42"/>
      <c r="V142" s="42"/>
      <c r="W142" s="42"/>
      <c r="X142" s="42"/>
      <c r="Y142" s="42"/>
      <c r="Z142" s="42"/>
    </row>
    <row r="143" ht="15.75" customHeight="1">
      <c r="A143" s="42"/>
      <c r="B143" s="42"/>
      <c r="C143" s="42"/>
      <c r="D143" s="42"/>
      <c r="E143" s="42"/>
      <c r="F143" s="42"/>
      <c r="G143" s="42"/>
      <c r="H143" s="63"/>
      <c r="I143" s="42"/>
      <c r="J143" s="42"/>
      <c r="K143" s="42"/>
      <c r="L143" s="42"/>
      <c r="M143" s="42"/>
      <c r="N143" s="42"/>
      <c r="O143" s="42"/>
      <c r="P143" s="42"/>
      <c r="Q143" s="42"/>
      <c r="R143" s="42"/>
      <c r="S143" s="42"/>
      <c r="T143" s="42"/>
      <c r="U143" s="42"/>
      <c r="V143" s="42"/>
      <c r="W143" s="42"/>
      <c r="X143" s="42"/>
      <c r="Y143" s="42"/>
      <c r="Z143" s="42"/>
    </row>
    <row r="144" ht="15.75" customHeight="1">
      <c r="A144" s="42"/>
      <c r="B144" s="42"/>
      <c r="C144" s="42"/>
      <c r="D144" s="42"/>
      <c r="E144" s="42"/>
      <c r="F144" s="42"/>
      <c r="G144" s="42"/>
      <c r="H144" s="63"/>
      <c r="I144" s="42"/>
      <c r="J144" s="42"/>
      <c r="K144" s="42"/>
      <c r="L144" s="42"/>
      <c r="M144" s="42"/>
      <c r="N144" s="42"/>
      <c r="O144" s="42"/>
      <c r="P144" s="42"/>
      <c r="Q144" s="42"/>
      <c r="R144" s="42"/>
      <c r="S144" s="42"/>
      <c r="T144" s="42"/>
      <c r="U144" s="42"/>
      <c r="V144" s="42"/>
      <c r="W144" s="42"/>
      <c r="X144" s="42"/>
      <c r="Y144" s="42"/>
      <c r="Z144" s="42"/>
    </row>
    <row r="145" ht="15.75" customHeight="1">
      <c r="A145" s="42"/>
      <c r="B145" s="42"/>
      <c r="C145" s="42"/>
      <c r="D145" s="42"/>
      <c r="E145" s="42"/>
      <c r="F145" s="42"/>
      <c r="G145" s="42"/>
      <c r="H145" s="63"/>
      <c r="I145" s="42"/>
      <c r="J145" s="42"/>
      <c r="K145" s="42"/>
      <c r="L145" s="42"/>
      <c r="M145" s="42"/>
      <c r="N145" s="42"/>
      <c r="O145" s="42"/>
      <c r="P145" s="42"/>
      <c r="Q145" s="42"/>
      <c r="R145" s="42"/>
      <c r="S145" s="42"/>
      <c r="T145" s="42"/>
      <c r="U145" s="42"/>
      <c r="V145" s="42"/>
      <c r="W145" s="42"/>
      <c r="X145" s="42"/>
      <c r="Y145" s="42"/>
      <c r="Z145" s="42"/>
    </row>
    <row r="146" ht="15.75" customHeight="1">
      <c r="A146" s="42"/>
      <c r="B146" s="42"/>
      <c r="C146" s="42"/>
      <c r="D146" s="42"/>
      <c r="E146" s="42"/>
      <c r="F146" s="42"/>
      <c r="G146" s="42"/>
      <c r="H146" s="63"/>
      <c r="I146" s="42"/>
      <c r="J146" s="42"/>
      <c r="K146" s="42"/>
      <c r="L146" s="42"/>
      <c r="M146" s="42"/>
      <c r="N146" s="42"/>
      <c r="O146" s="42"/>
      <c r="P146" s="42"/>
      <c r="Q146" s="42"/>
      <c r="R146" s="42"/>
      <c r="S146" s="42"/>
      <c r="T146" s="42"/>
      <c r="U146" s="42"/>
      <c r="V146" s="42"/>
      <c r="W146" s="42"/>
      <c r="X146" s="42"/>
      <c r="Y146" s="42"/>
      <c r="Z146" s="42"/>
    </row>
    <row r="147" ht="15.75" customHeight="1">
      <c r="A147" s="42"/>
      <c r="B147" s="42"/>
      <c r="C147" s="42"/>
      <c r="D147" s="42"/>
      <c r="E147" s="42"/>
      <c r="F147" s="42"/>
      <c r="G147" s="42"/>
      <c r="H147" s="63"/>
      <c r="I147" s="42"/>
      <c r="J147" s="42"/>
      <c r="K147" s="42"/>
      <c r="L147" s="42"/>
      <c r="M147" s="42"/>
      <c r="N147" s="42"/>
      <c r="O147" s="42"/>
      <c r="P147" s="42"/>
      <c r="Q147" s="42"/>
      <c r="R147" s="42"/>
      <c r="S147" s="42"/>
      <c r="T147" s="42"/>
      <c r="U147" s="42"/>
      <c r="V147" s="42"/>
      <c r="W147" s="42"/>
      <c r="X147" s="42"/>
      <c r="Y147" s="42"/>
      <c r="Z147" s="42"/>
    </row>
    <row r="148" ht="15.75" customHeight="1">
      <c r="A148" s="42"/>
      <c r="B148" s="42"/>
      <c r="C148" s="42"/>
      <c r="D148" s="42"/>
      <c r="E148" s="42"/>
      <c r="F148" s="42"/>
      <c r="G148" s="42"/>
      <c r="H148" s="63"/>
      <c r="I148" s="42"/>
      <c r="J148" s="42"/>
      <c r="K148" s="42"/>
      <c r="L148" s="42"/>
      <c r="M148" s="42"/>
      <c r="N148" s="42"/>
      <c r="O148" s="42"/>
      <c r="P148" s="42"/>
      <c r="Q148" s="42"/>
      <c r="R148" s="42"/>
      <c r="S148" s="42"/>
      <c r="T148" s="42"/>
      <c r="U148" s="42"/>
      <c r="V148" s="42"/>
      <c r="W148" s="42"/>
      <c r="X148" s="42"/>
      <c r="Y148" s="42"/>
      <c r="Z148" s="42"/>
    </row>
    <row r="149" ht="15.75" customHeight="1">
      <c r="A149" s="42"/>
      <c r="B149" s="42"/>
      <c r="C149" s="42"/>
      <c r="D149" s="42"/>
      <c r="E149" s="42"/>
      <c r="F149" s="42"/>
      <c r="G149" s="42"/>
      <c r="H149" s="63"/>
      <c r="I149" s="42"/>
      <c r="J149" s="42"/>
      <c r="K149" s="42"/>
      <c r="L149" s="42"/>
      <c r="M149" s="42"/>
      <c r="N149" s="42"/>
      <c r="O149" s="42"/>
      <c r="P149" s="42"/>
      <c r="Q149" s="42"/>
      <c r="R149" s="42"/>
      <c r="S149" s="42"/>
      <c r="T149" s="42"/>
      <c r="U149" s="42"/>
      <c r="V149" s="42"/>
      <c r="W149" s="42"/>
      <c r="X149" s="42"/>
      <c r="Y149" s="42"/>
      <c r="Z149" s="42"/>
    </row>
    <row r="150" ht="15.75" customHeight="1">
      <c r="A150" s="42"/>
      <c r="B150" s="42"/>
      <c r="C150" s="42"/>
      <c r="D150" s="42"/>
      <c r="E150" s="42"/>
      <c r="F150" s="42"/>
      <c r="G150" s="42"/>
      <c r="H150" s="63"/>
      <c r="I150" s="42"/>
      <c r="J150" s="42"/>
      <c r="K150" s="42"/>
      <c r="L150" s="42"/>
      <c r="M150" s="42"/>
      <c r="N150" s="42"/>
      <c r="O150" s="42"/>
      <c r="P150" s="42"/>
      <c r="Q150" s="42"/>
      <c r="R150" s="42"/>
      <c r="S150" s="42"/>
      <c r="T150" s="42"/>
      <c r="U150" s="42"/>
      <c r="V150" s="42"/>
      <c r="W150" s="42"/>
      <c r="X150" s="42"/>
      <c r="Y150" s="42"/>
      <c r="Z150" s="42"/>
    </row>
    <row r="151" ht="15.75" customHeight="1">
      <c r="A151" s="42"/>
      <c r="B151" s="42"/>
      <c r="C151" s="42"/>
      <c r="D151" s="42"/>
      <c r="E151" s="42"/>
      <c r="F151" s="42"/>
      <c r="G151" s="42"/>
      <c r="H151" s="63"/>
      <c r="I151" s="42"/>
      <c r="J151" s="42"/>
      <c r="K151" s="42"/>
      <c r="L151" s="42"/>
      <c r="M151" s="42"/>
      <c r="N151" s="42"/>
      <c r="O151" s="42"/>
      <c r="P151" s="42"/>
      <c r="Q151" s="42"/>
      <c r="R151" s="42"/>
      <c r="S151" s="42"/>
      <c r="T151" s="42"/>
      <c r="U151" s="42"/>
      <c r="V151" s="42"/>
      <c r="W151" s="42"/>
      <c r="X151" s="42"/>
      <c r="Y151" s="42"/>
      <c r="Z151" s="42"/>
    </row>
    <row r="152" ht="15.75" customHeight="1">
      <c r="A152" s="42"/>
      <c r="B152" s="42"/>
      <c r="C152" s="42"/>
      <c r="D152" s="42"/>
      <c r="E152" s="42"/>
      <c r="F152" s="42"/>
      <c r="G152" s="42"/>
      <c r="H152" s="63"/>
      <c r="I152" s="42"/>
      <c r="J152" s="42"/>
      <c r="K152" s="42"/>
      <c r="L152" s="42"/>
      <c r="M152" s="42"/>
      <c r="N152" s="42"/>
      <c r="O152" s="42"/>
      <c r="P152" s="42"/>
      <c r="Q152" s="42"/>
      <c r="R152" s="42"/>
      <c r="S152" s="42"/>
      <c r="T152" s="42"/>
      <c r="U152" s="42"/>
      <c r="V152" s="42"/>
      <c r="W152" s="42"/>
      <c r="X152" s="42"/>
      <c r="Y152" s="42"/>
      <c r="Z152" s="42"/>
    </row>
    <row r="153" ht="15.75" customHeight="1">
      <c r="A153" s="42"/>
      <c r="B153" s="42"/>
      <c r="C153" s="42"/>
      <c r="D153" s="42"/>
      <c r="E153" s="42"/>
      <c r="F153" s="42"/>
      <c r="G153" s="42"/>
      <c r="H153" s="63"/>
      <c r="I153" s="42"/>
      <c r="J153" s="42"/>
      <c r="K153" s="42"/>
      <c r="L153" s="42"/>
      <c r="M153" s="42"/>
      <c r="N153" s="42"/>
      <c r="O153" s="42"/>
      <c r="P153" s="42"/>
      <c r="Q153" s="42"/>
      <c r="R153" s="42"/>
      <c r="S153" s="42"/>
      <c r="T153" s="42"/>
      <c r="U153" s="42"/>
      <c r="V153" s="42"/>
      <c r="W153" s="42"/>
      <c r="X153" s="42"/>
      <c r="Y153" s="42"/>
      <c r="Z153" s="42"/>
    </row>
    <row r="154" ht="15.75" customHeight="1">
      <c r="A154" s="42"/>
      <c r="B154" s="42"/>
      <c r="C154" s="42"/>
      <c r="D154" s="42"/>
      <c r="E154" s="42"/>
      <c r="F154" s="42"/>
      <c r="G154" s="42"/>
      <c r="H154" s="63"/>
      <c r="I154" s="42"/>
      <c r="J154" s="42"/>
      <c r="K154" s="42"/>
      <c r="L154" s="42"/>
      <c r="M154" s="42"/>
      <c r="N154" s="42"/>
      <c r="O154" s="42"/>
      <c r="P154" s="42"/>
      <c r="Q154" s="42"/>
      <c r="R154" s="42"/>
      <c r="S154" s="42"/>
      <c r="T154" s="42"/>
      <c r="U154" s="42"/>
      <c r="V154" s="42"/>
      <c r="W154" s="42"/>
      <c r="X154" s="42"/>
      <c r="Y154" s="42"/>
      <c r="Z154" s="42"/>
    </row>
    <row r="155" ht="15.75" customHeight="1">
      <c r="A155" s="42"/>
      <c r="B155" s="42"/>
      <c r="C155" s="42"/>
      <c r="D155" s="42"/>
      <c r="E155" s="42"/>
      <c r="F155" s="42"/>
      <c r="G155" s="42"/>
      <c r="H155" s="63"/>
      <c r="I155" s="42"/>
      <c r="J155" s="42"/>
      <c r="K155" s="42"/>
      <c r="L155" s="42"/>
      <c r="M155" s="42"/>
      <c r="N155" s="42"/>
      <c r="O155" s="42"/>
      <c r="P155" s="42"/>
      <c r="Q155" s="42"/>
      <c r="R155" s="42"/>
      <c r="S155" s="42"/>
      <c r="T155" s="42"/>
      <c r="U155" s="42"/>
      <c r="V155" s="42"/>
      <c r="W155" s="42"/>
      <c r="X155" s="42"/>
      <c r="Y155" s="42"/>
      <c r="Z155" s="42"/>
    </row>
    <row r="156" ht="15.75" customHeight="1">
      <c r="A156" s="42"/>
      <c r="B156" s="42"/>
      <c r="C156" s="42"/>
      <c r="D156" s="42"/>
      <c r="E156" s="42"/>
      <c r="F156" s="42"/>
      <c r="G156" s="42"/>
      <c r="H156" s="63"/>
      <c r="I156" s="42"/>
      <c r="J156" s="42"/>
      <c r="K156" s="42"/>
      <c r="L156" s="42"/>
      <c r="M156" s="42"/>
      <c r="N156" s="42"/>
      <c r="O156" s="42"/>
      <c r="P156" s="42"/>
      <c r="Q156" s="42"/>
      <c r="R156" s="42"/>
      <c r="S156" s="42"/>
      <c r="T156" s="42"/>
      <c r="U156" s="42"/>
      <c r="V156" s="42"/>
      <c r="W156" s="42"/>
      <c r="X156" s="42"/>
      <c r="Y156" s="42"/>
      <c r="Z156" s="42"/>
    </row>
    <row r="157" ht="15.75" customHeight="1">
      <c r="A157" s="42"/>
      <c r="B157" s="42"/>
      <c r="C157" s="42"/>
      <c r="D157" s="42"/>
      <c r="E157" s="42"/>
      <c r="F157" s="42"/>
      <c r="G157" s="42"/>
      <c r="H157" s="63"/>
      <c r="I157" s="42"/>
      <c r="J157" s="42"/>
      <c r="K157" s="42"/>
      <c r="L157" s="42"/>
      <c r="M157" s="42"/>
      <c r="N157" s="42"/>
      <c r="O157" s="42"/>
      <c r="P157" s="42"/>
      <c r="Q157" s="42"/>
      <c r="R157" s="42"/>
      <c r="S157" s="42"/>
      <c r="T157" s="42"/>
      <c r="U157" s="42"/>
      <c r="V157" s="42"/>
      <c r="W157" s="42"/>
      <c r="X157" s="42"/>
      <c r="Y157" s="42"/>
      <c r="Z157" s="42"/>
    </row>
    <row r="158" ht="15.75" customHeight="1">
      <c r="A158" s="42"/>
      <c r="B158" s="42"/>
      <c r="C158" s="42"/>
      <c r="D158" s="42"/>
      <c r="E158" s="42"/>
      <c r="F158" s="42"/>
      <c r="G158" s="42"/>
      <c r="H158" s="63"/>
      <c r="I158" s="42"/>
      <c r="J158" s="42"/>
      <c r="K158" s="42"/>
      <c r="L158" s="42"/>
      <c r="M158" s="42"/>
      <c r="N158" s="42"/>
      <c r="O158" s="42"/>
      <c r="P158" s="42"/>
      <c r="Q158" s="42"/>
      <c r="R158" s="42"/>
      <c r="S158" s="42"/>
      <c r="T158" s="42"/>
      <c r="U158" s="42"/>
      <c r="V158" s="42"/>
      <c r="W158" s="42"/>
      <c r="X158" s="42"/>
      <c r="Y158" s="42"/>
      <c r="Z158" s="42"/>
    </row>
    <row r="159" ht="15.75" customHeight="1">
      <c r="A159" s="42"/>
      <c r="B159" s="42"/>
      <c r="C159" s="42"/>
      <c r="D159" s="42"/>
      <c r="E159" s="42"/>
      <c r="F159" s="42"/>
      <c r="G159" s="42"/>
      <c r="H159" s="63"/>
      <c r="I159" s="42"/>
      <c r="J159" s="42"/>
      <c r="K159" s="42"/>
      <c r="L159" s="42"/>
      <c r="M159" s="42"/>
      <c r="N159" s="42"/>
      <c r="O159" s="42"/>
      <c r="P159" s="42"/>
      <c r="Q159" s="42"/>
      <c r="R159" s="42"/>
      <c r="S159" s="42"/>
      <c r="T159" s="42"/>
      <c r="U159" s="42"/>
      <c r="V159" s="42"/>
      <c r="W159" s="42"/>
      <c r="X159" s="42"/>
      <c r="Y159" s="42"/>
      <c r="Z159" s="42"/>
    </row>
    <row r="160" ht="15.75" customHeight="1">
      <c r="A160" s="42"/>
      <c r="C160" s="42"/>
      <c r="D160" s="42"/>
      <c r="E160" s="42"/>
      <c r="F160" s="42"/>
      <c r="G160" s="42"/>
      <c r="H160" s="63"/>
      <c r="I160" s="42"/>
      <c r="J160" s="42"/>
      <c r="K160" s="42"/>
      <c r="L160" s="42"/>
      <c r="M160" s="42"/>
      <c r="N160" s="42"/>
      <c r="O160" s="42"/>
      <c r="P160" s="42"/>
      <c r="Q160" s="42"/>
      <c r="R160" s="42"/>
      <c r="S160" s="42"/>
      <c r="T160" s="42"/>
      <c r="U160" s="42"/>
      <c r="V160" s="42"/>
      <c r="W160" s="42"/>
      <c r="X160" s="42"/>
      <c r="Y160" s="42"/>
      <c r="Z160" s="42"/>
    </row>
    <row r="161" ht="15.75" customHeight="1">
      <c r="A161" s="42"/>
      <c r="C161" s="42"/>
      <c r="D161" s="42"/>
      <c r="E161" s="42"/>
      <c r="F161" s="42"/>
      <c r="G161" s="42"/>
      <c r="H161" s="63"/>
      <c r="I161" s="42"/>
      <c r="J161" s="42"/>
      <c r="K161" s="42"/>
      <c r="L161" s="42"/>
      <c r="M161" s="42"/>
      <c r="N161" s="42"/>
      <c r="O161" s="42"/>
      <c r="P161" s="42"/>
      <c r="Q161" s="42"/>
      <c r="R161" s="42"/>
      <c r="S161" s="42"/>
      <c r="T161" s="42"/>
      <c r="U161" s="42"/>
      <c r="V161" s="42"/>
      <c r="W161" s="42"/>
      <c r="X161" s="42"/>
      <c r="Y161" s="42"/>
      <c r="Z161" s="42"/>
    </row>
    <row r="162" ht="15.75" customHeight="1">
      <c r="A162" s="42"/>
      <c r="C162" s="42"/>
      <c r="D162" s="42"/>
      <c r="E162" s="42"/>
      <c r="F162" s="42"/>
      <c r="G162" s="42"/>
      <c r="H162" s="63"/>
      <c r="I162" s="42"/>
      <c r="J162" s="42"/>
      <c r="K162" s="42"/>
      <c r="L162" s="42"/>
      <c r="M162" s="42"/>
      <c r="N162" s="42"/>
      <c r="O162" s="42"/>
      <c r="P162" s="42"/>
      <c r="Q162" s="42"/>
      <c r="R162" s="42"/>
      <c r="S162" s="42"/>
      <c r="T162" s="42"/>
      <c r="U162" s="42"/>
      <c r="V162" s="42"/>
      <c r="W162" s="42"/>
      <c r="X162" s="42"/>
      <c r="Y162" s="42"/>
      <c r="Z162" s="42"/>
    </row>
    <row r="163" ht="15.75" customHeight="1">
      <c r="A163" s="42"/>
      <c r="C163" s="42"/>
      <c r="D163" s="42"/>
      <c r="E163" s="42"/>
      <c r="F163" s="42"/>
      <c r="G163" s="42"/>
      <c r="H163" s="63"/>
      <c r="I163" s="42"/>
      <c r="J163" s="42"/>
      <c r="K163" s="42"/>
      <c r="L163" s="42"/>
      <c r="M163" s="42"/>
      <c r="N163" s="42"/>
      <c r="O163" s="42"/>
      <c r="P163" s="42"/>
      <c r="Q163" s="42"/>
      <c r="R163" s="42"/>
      <c r="S163" s="42"/>
      <c r="T163" s="42"/>
      <c r="U163" s="42"/>
      <c r="V163" s="42"/>
      <c r="W163" s="42"/>
      <c r="X163" s="42"/>
      <c r="Y163" s="42"/>
      <c r="Z163" s="42"/>
    </row>
    <row r="164" ht="15.75" customHeight="1">
      <c r="A164" s="42"/>
      <c r="C164" s="42"/>
      <c r="D164" s="42"/>
      <c r="E164" s="42"/>
      <c r="F164" s="42"/>
      <c r="G164" s="42"/>
      <c r="H164" s="63"/>
      <c r="I164" s="42"/>
      <c r="J164" s="42"/>
      <c r="K164" s="42"/>
      <c r="L164" s="42"/>
      <c r="M164" s="42"/>
      <c r="N164" s="42"/>
      <c r="O164" s="42"/>
      <c r="P164" s="42"/>
      <c r="Q164" s="42"/>
      <c r="R164" s="42"/>
      <c r="S164" s="42"/>
      <c r="T164" s="42"/>
      <c r="U164" s="42"/>
      <c r="V164" s="42"/>
      <c r="W164" s="42"/>
      <c r="X164" s="42"/>
      <c r="Y164" s="42"/>
      <c r="Z164" s="42"/>
    </row>
    <row r="165" ht="15.75" customHeight="1">
      <c r="A165" s="42"/>
      <c r="C165" s="42"/>
      <c r="D165" s="42"/>
      <c r="E165" s="42"/>
      <c r="F165" s="42"/>
      <c r="G165" s="42"/>
      <c r="H165" s="63"/>
      <c r="I165" s="42"/>
      <c r="J165" s="42"/>
      <c r="K165" s="42"/>
      <c r="L165" s="42"/>
      <c r="M165" s="42"/>
      <c r="N165" s="42"/>
      <c r="O165" s="42"/>
      <c r="P165" s="42"/>
      <c r="Q165" s="42"/>
      <c r="R165" s="42"/>
      <c r="S165" s="42"/>
      <c r="T165" s="42"/>
      <c r="U165" s="42"/>
      <c r="V165" s="42"/>
      <c r="W165" s="42"/>
      <c r="X165" s="42"/>
      <c r="Y165" s="42"/>
      <c r="Z165" s="42"/>
    </row>
    <row r="166" ht="15.75" customHeight="1">
      <c r="A166" s="42"/>
      <c r="C166" s="42"/>
      <c r="D166" s="42"/>
      <c r="E166" s="42"/>
      <c r="F166" s="42"/>
      <c r="G166" s="42"/>
      <c r="H166" s="63"/>
      <c r="I166" s="42"/>
      <c r="J166" s="42"/>
      <c r="K166" s="42"/>
      <c r="L166" s="42"/>
      <c r="M166" s="42"/>
      <c r="N166" s="42"/>
      <c r="O166" s="42"/>
      <c r="P166" s="42"/>
      <c r="Q166" s="42"/>
      <c r="R166" s="42"/>
      <c r="S166" s="42"/>
      <c r="T166" s="42"/>
      <c r="U166" s="42"/>
      <c r="V166" s="42"/>
      <c r="W166" s="42"/>
      <c r="X166" s="42"/>
      <c r="Y166" s="42"/>
      <c r="Z166" s="42"/>
    </row>
    <row r="167" ht="15.75" customHeight="1">
      <c r="A167" s="42"/>
      <c r="C167" s="42"/>
      <c r="D167" s="42"/>
      <c r="E167" s="42"/>
      <c r="F167" s="42"/>
      <c r="G167" s="42"/>
      <c r="H167" s="63"/>
      <c r="I167" s="42"/>
      <c r="J167" s="42"/>
      <c r="K167" s="42"/>
      <c r="L167" s="42"/>
      <c r="M167" s="42"/>
      <c r="N167" s="42"/>
      <c r="O167" s="42"/>
      <c r="P167" s="42"/>
      <c r="Q167" s="42"/>
      <c r="R167" s="42"/>
      <c r="S167" s="42"/>
      <c r="T167" s="42"/>
      <c r="U167" s="42"/>
      <c r="V167" s="42"/>
      <c r="W167" s="42"/>
      <c r="X167" s="42"/>
      <c r="Y167" s="42"/>
      <c r="Z167" s="42"/>
    </row>
    <row r="168" ht="15.75" customHeight="1">
      <c r="A168" s="42"/>
      <c r="C168" s="42"/>
      <c r="D168" s="42"/>
      <c r="E168" s="42"/>
      <c r="F168" s="42"/>
      <c r="G168" s="42"/>
      <c r="H168" s="63"/>
      <c r="I168" s="42"/>
      <c r="J168" s="42"/>
      <c r="K168" s="42"/>
      <c r="L168" s="42"/>
      <c r="M168" s="42"/>
      <c r="N168" s="42"/>
      <c r="O168" s="42"/>
      <c r="P168" s="42"/>
      <c r="Q168" s="42"/>
      <c r="R168" s="42"/>
      <c r="S168" s="42"/>
      <c r="T168" s="42"/>
      <c r="U168" s="42"/>
      <c r="V168" s="42"/>
      <c r="W168" s="42"/>
      <c r="X168" s="42"/>
      <c r="Y168" s="42"/>
      <c r="Z168" s="42"/>
    </row>
    <row r="169" ht="15.75" customHeight="1">
      <c r="A169" s="42"/>
      <c r="C169" s="42"/>
      <c r="D169" s="42"/>
      <c r="E169" s="42"/>
      <c r="F169" s="42"/>
      <c r="G169" s="42"/>
      <c r="H169" s="63"/>
      <c r="I169" s="42"/>
      <c r="J169" s="42"/>
      <c r="K169" s="42"/>
      <c r="L169" s="42"/>
      <c r="M169" s="42"/>
      <c r="N169" s="42"/>
      <c r="O169" s="42"/>
      <c r="P169" s="42"/>
      <c r="Q169" s="42"/>
      <c r="R169" s="42"/>
      <c r="S169" s="42"/>
      <c r="T169" s="42"/>
      <c r="U169" s="42"/>
      <c r="V169" s="42"/>
      <c r="W169" s="42"/>
      <c r="X169" s="42"/>
      <c r="Y169" s="42"/>
      <c r="Z169" s="42"/>
    </row>
    <row r="170" ht="15.75" customHeight="1">
      <c r="A170" s="42"/>
      <c r="C170" s="42"/>
      <c r="D170" s="42"/>
      <c r="E170" s="42"/>
      <c r="F170" s="42"/>
      <c r="G170" s="42"/>
      <c r="H170" s="63"/>
      <c r="I170" s="42"/>
      <c r="J170" s="42"/>
      <c r="K170" s="42"/>
      <c r="L170" s="42"/>
      <c r="M170" s="42"/>
      <c r="N170" s="42"/>
      <c r="O170" s="42"/>
      <c r="P170" s="42"/>
      <c r="Q170" s="42"/>
      <c r="R170" s="42"/>
      <c r="S170" s="42"/>
      <c r="T170" s="42"/>
      <c r="U170" s="42"/>
      <c r="V170" s="42"/>
      <c r="W170" s="42"/>
      <c r="X170" s="42"/>
      <c r="Y170" s="42"/>
      <c r="Z170" s="42"/>
    </row>
    <row r="171" ht="15.75" customHeight="1">
      <c r="A171" s="42"/>
      <c r="C171" s="42"/>
      <c r="D171" s="42"/>
      <c r="E171" s="42"/>
      <c r="F171" s="42"/>
      <c r="G171" s="42"/>
      <c r="H171" s="63"/>
      <c r="I171" s="42"/>
      <c r="J171" s="42"/>
      <c r="K171" s="42"/>
      <c r="L171" s="42"/>
      <c r="M171" s="42"/>
      <c r="N171" s="42"/>
      <c r="O171" s="42"/>
      <c r="P171" s="42"/>
      <c r="Q171" s="42"/>
      <c r="R171" s="42"/>
      <c r="S171" s="42"/>
      <c r="T171" s="42"/>
      <c r="U171" s="42"/>
      <c r="V171" s="42"/>
      <c r="W171" s="42"/>
      <c r="X171" s="42"/>
      <c r="Y171" s="42"/>
      <c r="Z171" s="42"/>
    </row>
    <row r="172" ht="15.75" customHeight="1">
      <c r="A172" s="42"/>
      <c r="C172" s="42"/>
      <c r="D172" s="42"/>
      <c r="E172" s="42"/>
      <c r="F172" s="42"/>
      <c r="G172" s="42"/>
      <c r="H172" s="63"/>
      <c r="I172" s="42"/>
      <c r="J172" s="42"/>
      <c r="K172" s="42"/>
      <c r="L172" s="42"/>
      <c r="M172" s="42"/>
      <c r="N172" s="42"/>
      <c r="O172" s="42"/>
      <c r="P172" s="42"/>
      <c r="Q172" s="42"/>
      <c r="R172" s="42"/>
      <c r="S172" s="42"/>
      <c r="T172" s="42"/>
      <c r="U172" s="42"/>
      <c r="V172" s="42"/>
      <c r="W172" s="42"/>
      <c r="X172" s="42"/>
      <c r="Y172" s="42"/>
      <c r="Z172" s="42"/>
    </row>
    <row r="173" ht="15.75" customHeight="1">
      <c r="A173" s="42"/>
      <c r="C173" s="42"/>
      <c r="D173" s="42"/>
      <c r="E173" s="42"/>
      <c r="F173" s="42"/>
      <c r="G173" s="42"/>
      <c r="H173" s="63"/>
      <c r="I173" s="42"/>
      <c r="J173" s="42"/>
      <c r="K173" s="42"/>
      <c r="L173" s="42"/>
      <c r="M173" s="42"/>
      <c r="N173" s="42"/>
      <c r="O173" s="42"/>
      <c r="P173" s="42"/>
      <c r="Q173" s="42"/>
      <c r="R173" s="42"/>
      <c r="S173" s="42"/>
      <c r="T173" s="42"/>
      <c r="U173" s="42"/>
      <c r="V173" s="42"/>
      <c r="W173" s="42"/>
      <c r="X173" s="42"/>
      <c r="Y173" s="42"/>
      <c r="Z173" s="42"/>
    </row>
    <row r="174" ht="15.75" customHeight="1">
      <c r="A174" s="42"/>
      <c r="C174" s="42"/>
      <c r="D174" s="42"/>
      <c r="E174" s="42"/>
      <c r="F174" s="42"/>
      <c r="G174" s="42"/>
      <c r="H174" s="63"/>
      <c r="I174" s="42"/>
      <c r="J174" s="42"/>
      <c r="K174" s="42"/>
      <c r="L174" s="42"/>
      <c r="M174" s="42"/>
      <c r="N174" s="42"/>
      <c r="O174" s="42"/>
      <c r="P174" s="42"/>
      <c r="Q174" s="42"/>
      <c r="R174" s="42"/>
      <c r="S174" s="42"/>
      <c r="T174" s="42"/>
      <c r="U174" s="42"/>
      <c r="V174" s="42"/>
      <c r="W174" s="42"/>
      <c r="X174" s="42"/>
      <c r="Y174" s="42"/>
      <c r="Z174" s="42"/>
    </row>
    <row r="175" ht="15.75" customHeight="1">
      <c r="A175" s="42"/>
      <c r="C175" s="42"/>
      <c r="D175" s="42"/>
      <c r="E175" s="42"/>
      <c r="F175" s="42"/>
      <c r="G175" s="42"/>
      <c r="H175" s="63"/>
      <c r="I175" s="42"/>
      <c r="J175" s="42"/>
      <c r="K175" s="42"/>
      <c r="L175" s="42"/>
      <c r="M175" s="42"/>
      <c r="N175" s="42"/>
      <c r="O175" s="42"/>
      <c r="P175" s="42"/>
      <c r="Q175" s="42"/>
      <c r="R175" s="42"/>
      <c r="S175" s="42"/>
      <c r="T175" s="42"/>
      <c r="U175" s="42"/>
      <c r="V175" s="42"/>
      <c r="W175" s="42"/>
      <c r="X175" s="42"/>
      <c r="Y175" s="42"/>
      <c r="Z175" s="42"/>
    </row>
    <row r="176" ht="15.75" customHeight="1">
      <c r="A176" s="42"/>
      <c r="C176" s="42"/>
      <c r="D176" s="42"/>
      <c r="E176" s="42"/>
      <c r="F176" s="42"/>
      <c r="G176" s="42"/>
      <c r="H176" s="63"/>
      <c r="I176" s="42"/>
      <c r="J176" s="42"/>
      <c r="K176" s="42"/>
      <c r="L176" s="42"/>
      <c r="M176" s="42"/>
      <c r="N176" s="42"/>
      <c r="O176" s="42"/>
      <c r="P176" s="42"/>
      <c r="Q176" s="42"/>
      <c r="R176" s="42"/>
      <c r="S176" s="42"/>
      <c r="T176" s="42"/>
      <c r="U176" s="42"/>
      <c r="V176" s="42"/>
      <c r="W176" s="42"/>
      <c r="X176" s="42"/>
      <c r="Y176" s="42"/>
      <c r="Z176" s="42"/>
    </row>
    <row r="177" ht="15.75" customHeight="1">
      <c r="A177" s="42"/>
      <c r="C177" s="42"/>
      <c r="D177" s="42"/>
      <c r="E177" s="42"/>
      <c r="F177" s="42"/>
      <c r="G177" s="42"/>
      <c r="H177" s="63"/>
      <c r="I177" s="42"/>
      <c r="J177" s="42"/>
      <c r="K177" s="42"/>
      <c r="L177" s="42"/>
      <c r="M177" s="42"/>
      <c r="N177" s="42"/>
      <c r="O177" s="42"/>
      <c r="P177" s="42"/>
      <c r="Q177" s="42"/>
      <c r="R177" s="42"/>
      <c r="S177" s="42"/>
      <c r="T177" s="42"/>
      <c r="U177" s="42"/>
      <c r="V177" s="42"/>
      <c r="W177" s="42"/>
      <c r="X177" s="42"/>
      <c r="Y177" s="42"/>
      <c r="Z177" s="42"/>
    </row>
    <row r="178" ht="15.75" customHeight="1">
      <c r="A178" s="42"/>
      <c r="C178" s="42"/>
      <c r="D178" s="42"/>
      <c r="E178" s="42"/>
      <c r="F178" s="42"/>
      <c r="G178" s="42"/>
      <c r="H178" s="63"/>
      <c r="I178" s="42"/>
      <c r="J178" s="42"/>
      <c r="K178" s="42"/>
      <c r="L178" s="42"/>
      <c r="M178" s="42"/>
      <c r="N178" s="42"/>
      <c r="O178" s="42"/>
      <c r="P178" s="42"/>
      <c r="Q178" s="42"/>
      <c r="R178" s="42"/>
      <c r="S178" s="42"/>
      <c r="T178" s="42"/>
      <c r="U178" s="42"/>
      <c r="V178" s="42"/>
      <c r="W178" s="42"/>
      <c r="X178" s="42"/>
      <c r="Y178" s="42"/>
      <c r="Z178" s="42"/>
    </row>
    <row r="179" ht="15.75" customHeight="1">
      <c r="A179" s="42"/>
      <c r="C179" s="42"/>
      <c r="D179" s="42"/>
      <c r="E179" s="42"/>
      <c r="F179" s="42"/>
      <c r="G179" s="42"/>
      <c r="H179" s="63"/>
      <c r="I179" s="42"/>
      <c r="J179" s="42"/>
      <c r="K179" s="42"/>
      <c r="L179" s="42"/>
      <c r="M179" s="42"/>
      <c r="N179" s="42"/>
      <c r="O179" s="42"/>
      <c r="P179" s="42"/>
      <c r="Q179" s="42"/>
      <c r="R179" s="42"/>
      <c r="S179" s="42"/>
      <c r="T179" s="42"/>
      <c r="U179" s="42"/>
      <c r="V179" s="42"/>
      <c r="W179" s="42"/>
      <c r="X179" s="42"/>
      <c r="Y179" s="42"/>
      <c r="Z179" s="42"/>
    </row>
    <row r="180" ht="15.75" customHeight="1">
      <c r="A180" s="42"/>
      <c r="C180" s="42"/>
      <c r="D180" s="42"/>
      <c r="E180" s="42"/>
      <c r="F180" s="42"/>
      <c r="G180" s="42"/>
      <c r="H180" s="63"/>
      <c r="I180" s="42"/>
      <c r="J180" s="42"/>
      <c r="K180" s="42"/>
      <c r="L180" s="42"/>
      <c r="M180" s="42"/>
      <c r="N180" s="42"/>
      <c r="O180" s="42"/>
      <c r="P180" s="42"/>
      <c r="Q180" s="42"/>
      <c r="R180" s="42"/>
      <c r="S180" s="42"/>
      <c r="T180" s="42"/>
      <c r="U180" s="42"/>
      <c r="V180" s="42"/>
      <c r="W180" s="42"/>
      <c r="X180" s="42"/>
      <c r="Y180" s="42"/>
      <c r="Z180" s="42"/>
    </row>
    <row r="181" ht="15.75" customHeight="1">
      <c r="A181" s="42"/>
      <c r="C181" s="42"/>
      <c r="D181" s="42"/>
      <c r="E181" s="42"/>
      <c r="F181" s="42"/>
      <c r="G181" s="42"/>
      <c r="H181" s="63"/>
      <c r="I181" s="42"/>
      <c r="J181" s="42"/>
      <c r="K181" s="42"/>
      <c r="L181" s="42"/>
      <c r="M181" s="42"/>
      <c r="N181" s="42"/>
      <c r="O181" s="42"/>
      <c r="P181" s="42"/>
      <c r="Q181" s="42"/>
      <c r="R181" s="42"/>
      <c r="S181" s="42"/>
      <c r="T181" s="42"/>
      <c r="U181" s="42"/>
      <c r="V181" s="42"/>
      <c r="W181" s="42"/>
      <c r="X181" s="42"/>
      <c r="Y181" s="42"/>
      <c r="Z181" s="42"/>
    </row>
    <row r="182" ht="15.75" customHeight="1">
      <c r="A182" s="42"/>
      <c r="C182" s="42"/>
      <c r="D182" s="42"/>
      <c r="E182" s="42"/>
      <c r="F182" s="42"/>
      <c r="G182" s="42"/>
      <c r="H182" s="63"/>
      <c r="I182" s="42"/>
      <c r="J182" s="42"/>
      <c r="K182" s="42"/>
      <c r="L182" s="42"/>
      <c r="M182" s="42"/>
      <c r="N182" s="42"/>
      <c r="O182" s="42"/>
      <c r="P182" s="42"/>
      <c r="Q182" s="42"/>
      <c r="R182" s="42"/>
      <c r="S182" s="42"/>
      <c r="T182" s="42"/>
      <c r="U182" s="42"/>
      <c r="V182" s="42"/>
      <c r="W182" s="42"/>
      <c r="X182" s="42"/>
      <c r="Y182" s="42"/>
      <c r="Z182" s="42"/>
    </row>
    <row r="183" ht="15.75" customHeight="1">
      <c r="A183" s="42"/>
      <c r="C183" s="42"/>
      <c r="D183" s="42"/>
      <c r="E183" s="42"/>
      <c r="F183" s="42"/>
      <c r="G183" s="42"/>
      <c r="H183" s="63"/>
      <c r="I183" s="42"/>
      <c r="J183" s="42"/>
      <c r="K183" s="42"/>
      <c r="L183" s="42"/>
      <c r="M183" s="42"/>
      <c r="N183" s="42"/>
      <c r="O183" s="42"/>
      <c r="P183" s="42"/>
      <c r="Q183" s="42"/>
      <c r="R183" s="42"/>
      <c r="S183" s="42"/>
      <c r="T183" s="42"/>
      <c r="U183" s="42"/>
      <c r="V183" s="42"/>
      <c r="W183" s="42"/>
      <c r="X183" s="42"/>
      <c r="Y183" s="42"/>
      <c r="Z183" s="42"/>
    </row>
    <row r="184" ht="15.75" customHeight="1">
      <c r="A184" s="42"/>
      <c r="B184" s="42"/>
      <c r="C184" s="42"/>
      <c r="D184" s="42"/>
      <c r="E184" s="42"/>
      <c r="F184" s="42"/>
      <c r="G184" s="42"/>
      <c r="H184" s="63"/>
      <c r="I184" s="42"/>
      <c r="J184" s="42"/>
      <c r="K184" s="42"/>
      <c r="L184" s="42"/>
      <c r="M184" s="42"/>
      <c r="N184" s="42"/>
      <c r="O184" s="42"/>
      <c r="P184" s="42"/>
      <c r="Q184" s="42"/>
      <c r="R184" s="42"/>
      <c r="S184" s="42"/>
      <c r="T184" s="42"/>
      <c r="U184" s="42"/>
      <c r="V184" s="42"/>
      <c r="W184" s="42"/>
      <c r="X184" s="42"/>
      <c r="Y184" s="42"/>
      <c r="Z184" s="42"/>
    </row>
    <row r="185" ht="15.75" customHeight="1">
      <c r="A185" s="42"/>
      <c r="B185" s="42"/>
      <c r="C185" s="42"/>
      <c r="D185" s="42"/>
      <c r="E185" s="42"/>
      <c r="F185" s="42"/>
      <c r="G185" s="42"/>
      <c r="H185" s="63"/>
      <c r="I185" s="42"/>
      <c r="J185" s="42"/>
      <c r="K185" s="42"/>
      <c r="L185" s="42"/>
      <c r="M185" s="42"/>
      <c r="N185" s="42"/>
      <c r="O185" s="42"/>
      <c r="P185" s="42"/>
      <c r="Q185" s="42"/>
      <c r="R185" s="42"/>
      <c r="S185" s="42"/>
      <c r="T185" s="42"/>
      <c r="U185" s="42"/>
      <c r="V185" s="42"/>
      <c r="W185" s="42"/>
      <c r="X185" s="42"/>
      <c r="Y185" s="42"/>
      <c r="Z185" s="42"/>
    </row>
    <row r="186" ht="15.75" customHeight="1">
      <c r="A186" s="42"/>
      <c r="B186" s="42"/>
      <c r="C186" s="42"/>
      <c r="D186" s="42"/>
      <c r="E186" s="42"/>
      <c r="F186" s="42"/>
      <c r="G186" s="42"/>
      <c r="H186" s="63"/>
      <c r="I186" s="42"/>
      <c r="J186" s="42"/>
      <c r="K186" s="42"/>
      <c r="L186" s="42"/>
      <c r="M186" s="42"/>
      <c r="N186" s="42"/>
      <c r="O186" s="42"/>
      <c r="P186" s="42"/>
      <c r="Q186" s="42"/>
      <c r="R186" s="42"/>
      <c r="S186" s="42"/>
      <c r="T186" s="42"/>
      <c r="U186" s="42"/>
      <c r="V186" s="42"/>
      <c r="W186" s="42"/>
      <c r="X186" s="42"/>
      <c r="Y186" s="42"/>
      <c r="Z186" s="42"/>
    </row>
    <row r="187" ht="15.75" customHeight="1">
      <c r="A187" s="42"/>
      <c r="B187" s="42"/>
      <c r="C187" s="42"/>
      <c r="D187" s="42"/>
      <c r="E187" s="42"/>
      <c r="F187" s="42"/>
      <c r="G187" s="42"/>
      <c r="H187" s="63"/>
      <c r="I187" s="42"/>
      <c r="J187" s="42"/>
      <c r="K187" s="42"/>
      <c r="L187" s="42"/>
      <c r="M187" s="42"/>
      <c r="N187" s="42"/>
      <c r="O187" s="42"/>
      <c r="P187" s="42"/>
      <c r="Q187" s="42"/>
      <c r="R187" s="42"/>
      <c r="S187" s="42"/>
      <c r="T187" s="42"/>
      <c r="U187" s="42"/>
      <c r="V187" s="42"/>
      <c r="W187" s="42"/>
      <c r="X187" s="42"/>
      <c r="Y187" s="42"/>
      <c r="Z187" s="42"/>
    </row>
    <row r="188" ht="15.75" customHeight="1">
      <c r="A188" s="42"/>
      <c r="B188" s="42"/>
      <c r="C188" s="42"/>
      <c r="D188" s="42"/>
      <c r="E188" s="42"/>
      <c r="F188" s="42"/>
      <c r="G188" s="42"/>
      <c r="H188" s="63"/>
      <c r="I188" s="42"/>
      <c r="J188" s="42"/>
      <c r="K188" s="42"/>
      <c r="L188" s="42"/>
      <c r="M188" s="42"/>
      <c r="N188" s="42"/>
      <c r="O188" s="42"/>
      <c r="P188" s="42"/>
      <c r="Q188" s="42"/>
      <c r="R188" s="42"/>
      <c r="S188" s="42"/>
      <c r="T188" s="42"/>
      <c r="U188" s="42"/>
      <c r="V188" s="42"/>
      <c r="W188" s="42"/>
      <c r="X188" s="42"/>
      <c r="Y188" s="42"/>
      <c r="Z188" s="42"/>
    </row>
    <row r="189" ht="15.75" customHeight="1">
      <c r="A189" s="42"/>
      <c r="B189" s="42"/>
      <c r="C189" s="42"/>
      <c r="D189" s="42"/>
      <c r="E189" s="42"/>
      <c r="F189" s="42"/>
      <c r="G189" s="42"/>
      <c r="H189" s="63"/>
      <c r="I189" s="42"/>
      <c r="J189" s="42"/>
      <c r="K189" s="42"/>
      <c r="L189" s="42"/>
      <c r="M189" s="42"/>
      <c r="N189" s="42"/>
      <c r="O189" s="42"/>
      <c r="P189" s="42"/>
      <c r="Q189" s="42"/>
      <c r="R189" s="42"/>
      <c r="S189" s="42"/>
      <c r="T189" s="42"/>
      <c r="U189" s="42"/>
      <c r="V189" s="42"/>
      <c r="W189" s="42"/>
      <c r="X189" s="42"/>
      <c r="Y189" s="42"/>
      <c r="Z189" s="42"/>
    </row>
    <row r="190" ht="15.75" customHeight="1">
      <c r="A190" s="42"/>
      <c r="B190" s="42"/>
      <c r="C190" s="42"/>
      <c r="D190" s="42"/>
      <c r="E190" s="42"/>
      <c r="F190" s="42"/>
      <c r="G190" s="42"/>
      <c r="H190" s="63"/>
      <c r="I190" s="42"/>
      <c r="J190" s="42"/>
      <c r="K190" s="42"/>
      <c r="L190" s="42"/>
      <c r="M190" s="42"/>
      <c r="N190" s="42"/>
      <c r="O190" s="42"/>
      <c r="P190" s="42"/>
      <c r="Q190" s="42"/>
      <c r="R190" s="42"/>
      <c r="S190" s="42"/>
      <c r="T190" s="42"/>
      <c r="U190" s="42"/>
      <c r="V190" s="42"/>
      <c r="W190" s="42"/>
      <c r="X190" s="42"/>
      <c r="Y190" s="42"/>
      <c r="Z190" s="42"/>
    </row>
    <row r="191" ht="15.75" customHeight="1">
      <c r="A191" s="42"/>
      <c r="B191" s="42"/>
      <c r="C191" s="42"/>
      <c r="D191" s="42"/>
      <c r="E191" s="42"/>
      <c r="F191" s="42"/>
      <c r="G191" s="42"/>
      <c r="H191" s="63"/>
      <c r="I191" s="42"/>
      <c r="J191" s="42"/>
      <c r="K191" s="42"/>
      <c r="L191" s="42"/>
      <c r="M191" s="42"/>
      <c r="N191" s="42"/>
      <c r="O191" s="42"/>
      <c r="P191" s="42"/>
      <c r="Q191" s="42"/>
      <c r="R191" s="42"/>
      <c r="S191" s="42"/>
      <c r="T191" s="42"/>
      <c r="U191" s="42"/>
      <c r="V191" s="42"/>
      <c r="W191" s="42"/>
      <c r="X191" s="42"/>
      <c r="Y191" s="42"/>
      <c r="Z191" s="42"/>
    </row>
    <row r="192" ht="15.75" customHeight="1">
      <c r="A192" s="42"/>
      <c r="B192" s="42"/>
      <c r="C192" s="42"/>
      <c r="D192" s="42"/>
      <c r="E192" s="42"/>
      <c r="F192" s="42"/>
      <c r="G192" s="42"/>
      <c r="H192" s="63"/>
      <c r="I192" s="42"/>
      <c r="J192" s="42"/>
      <c r="K192" s="42"/>
      <c r="L192" s="42"/>
      <c r="M192" s="42"/>
      <c r="N192" s="42"/>
      <c r="O192" s="42"/>
      <c r="P192" s="42"/>
      <c r="Q192" s="42"/>
      <c r="R192" s="42"/>
      <c r="S192" s="42"/>
      <c r="T192" s="42"/>
      <c r="U192" s="42"/>
      <c r="V192" s="42"/>
      <c r="W192" s="42"/>
      <c r="X192" s="42"/>
      <c r="Y192" s="42"/>
      <c r="Z192" s="42"/>
    </row>
    <row r="193" ht="15.75" customHeight="1">
      <c r="A193" s="42"/>
      <c r="B193" s="42"/>
      <c r="C193" s="42"/>
      <c r="D193" s="42"/>
      <c r="E193" s="42"/>
      <c r="F193" s="42"/>
      <c r="G193" s="42"/>
      <c r="H193" s="63"/>
      <c r="I193" s="42"/>
      <c r="J193" s="42"/>
      <c r="K193" s="42"/>
      <c r="L193" s="42"/>
      <c r="M193" s="42"/>
      <c r="N193" s="42"/>
      <c r="O193" s="42"/>
      <c r="P193" s="42"/>
      <c r="Q193" s="42"/>
      <c r="R193" s="42"/>
      <c r="S193" s="42"/>
      <c r="T193" s="42"/>
      <c r="U193" s="42"/>
      <c r="V193" s="42"/>
      <c r="W193" s="42"/>
      <c r="X193" s="42"/>
      <c r="Y193" s="42"/>
      <c r="Z193" s="42"/>
    </row>
    <row r="194" ht="15.75" customHeight="1">
      <c r="A194" s="42"/>
      <c r="B194" s="42"/>
      <c r="C194" s="42"/>
      <c r="D194" s="42"/>
      <c r="E194" s="42"/>
      <c r="F194" s="42"/>
      <c r="G194" s="42"/>
      <c r="H194" s="63"/>
      <c r="I194" s="42"/>
      <c r="J194" s="42"/>
      <c r="K194" s="42"/>
      <c r="L194" s="42"/>
      <c r="M194" s="42"/>
      <c r="N194" s="42"/>
      <c r="O194" s="42"/>
      <c r="P194" s="42"/>
      <c r="Q194" s="42"/>
      <c r="R194" s="42"/>
      <c r="S194" s="42"/>
      <c r="T194" s="42"/>
      <c r="U194" s="42"/>
      <c r="V194" s="42"/>
      <c r="W194" s="42"/>
      <c r="X194" s="42"/>
      <c r="Y194" s="42"/>
      <c r="Z194" s="42"/>
    </row>
    <row r="195" ht="15.75" customHeight="1">
      <c r="A195" s="42"/>
      <c r="B195" s="42"/>
      <c r="C195" s="42"/>
      <c r="D195" s="42"/>
      <c r="E195" s="42"/>
      <c r="F195" s="42"/>
      <c r="G195" s="42"/>
      <c r="H195" s="63"/>
      <c r="I195" s="42"/>
      <c r="J195" s="42"/>
      <c r="K195" s="42"/>
      <c r="L195" s="42"/>
      <c r="M195" s="42"/>
      <c r="N195" s="42"/>
      <c r="O195" s="42"/>
      <c r="P195" s="42"/>
      <c r="Q195" s="42"/>
      <c r="R195" s="42"/>
      <c r="S195" s="42"/>
      <c r="T195" s="42"/>
      <c r="U195" s="42"/>
      <c r="V195" s="42"/>
      <c r="W195" s="42"/>
      <c r="X195" s="42"/>
      <c r="Y195" s="42"/>
      <c r="Z195" s="42"/>
    </row>
    <row r="196" ht="15.75" customHeight="1">
      <c r="A196" s="42"/>
      <c r="B196" s="42"/>
      <c r="C196" s="42"/>
      <c r="D196" s="42"/>
      <c r="E196" s="42"/>
      <c r="F196" s="42"/>
      <c r="G196" s="42"/>
      <c r="H196" s="63"/>
      <c r="I196" s="42"/>
      <c r="J196" s="42"/>
      <c r="K196" s="42"/>
      <c r="L196" s="42"/>
      <c r="M196" s="42"/>
      <c r="N196" s="42"/>
      <c r="O196" s="42"/>
      <c r="P196" s="42"/>
      <c r="Q196" s="42"/>
      <c r="R196" s="42"/>
      <c r="S196" s="42"/>
      <c r="T196" s="42"/>
      <c r="U196" s="42"/>
      <c r="V196" s="42"/>
      <c r="W196" s="42"/>
      <c r="X196" s="42"/>
      <c r="Y196" s="42"/>
      <c r="Z196" s="42"/>
    </row>
    <row r="197" ht="15.75" customHeight="1">
      <c r="A197" s="42"/>
      <c r="B197" s="42"/>
      <c r="C197" s="42"/>
      <c r="D197" s="42"/>
      <c r="E197" s="42"/>
      <c r="F197" s="42"/>
      <c r="G197" s="42"/>
      <c r="H197" s="63"/>
      <c r="I197" s="42"/>
      <c r="J197" s="42"/>
      <c r="K197" s="42"/>
      <c r="L197" s="42"/>
      <c r="M197" s="42"/>
      <c r="N197" s="42"/>
      <c r="O197" s="42"/>
      <c r="P197" s="42"/>
      <c r="Q197" s="42"/>
      <c r="R197" s="42"/>
      <c r="S197" s="42"/>
      <c r="T197" s="42"/>
      <c r="U197" s="42"/>
      <c r="V197" s="42"/>
      <c r="W197" s="42"/>
      <c r="X197" s="42"/>
      <c r="Y197" s="42"/>
      <c r="Z197" s="42"/>
    </row>
    <row r="198" ht="15.75" customHeight="1">
      <c r="A198" s="42"/>
      <c r="B198" s="42"/>
      <c r="C198" s="42"/>
      <c r="D198" s="42"/>
      <c r="E198" s="42"/>
      <c r="F198" s="42"/>
      <c r="G198" s="42"/>
      <c r="H198" s="63"/>
      <c r="I198" s="42"/>
      <c r="J198" s="42"/>
      <c r="K198" s="42"/>
      <c r="L198" s="42"/>
      <c r="M198" s="42"/>
      <c r="N198" s="42"/>
      <c r="O198" s="42"/>
      <c r="P198" s="42"/>
      <c r="Q198" s="42"/>
      <c r="R198" s="42"/>
      <c r="S198" s="42"/>
      <c r="T198" s="42"/>
      <c r="U198" s="42"/>
      <c r="V198" s="42"/>
      <c r="W198" s="42"/>
      <c r="X198" s="42"/>
      <c r="Y198" s="42"/>
      <c r="Z198" s="42"/>
    </row>
    <row r="199" ht="15.75" customHeight="1">
      <c r="A199" s="42"/>
      <c r="B199" s="42"/>
      <c r="C199" s="42"/>
      <c r="D199" s="42"/>
      <c r="E199" s="42"/>
      <c r="F199" s="42"/>
      <c r="G199" s="42"/>
      <c r="H199" s="63"/>
      <c r="I199" s="42"/>
      <c r="J199" s="42"/>
      <c r="K199" s="42"/>
      <c r="L199" s="42"/>
      <c r="M199" s="42"/>
      <c r="N199" s="42"/>
      <c r="O199" s="42"/>
      <c r="P199" s="42"/>
      <c r="Q199" s="42"/>
      <c r="R199" s="42"/>
      <c r="S199" s="42"/>
      <c r="T199" s="42"/>
      <c r="U199" s="42"/>
      <c r="V199" s="42"/>
      <c r="W199" s="42"/>
      <c r="X199" s="42"/>
      <c r="Y199" s="42"/>
      <c r="Z199" s="42"/>
    </row>
    <row r="200" ht="15.75" customHeight="1">
      <c r="A200" s="42"/>
      <c r="B200" s="42"/>
      <c r="C200" s="42"/>
      <c r="D200" s="42"/>
      <c r="E200" s="42"/>
      <c r="F200" s="42"/>
      <c r="G200" s="42"/>
      <c r="H200" s="63"/>
      <c r="I200" s="42"/>
      <c r="J200" s="42"/>
      <c r="K200" s="42"/>
      <c r="L200" s="42"/>
      <c r="M200" s="42"/>
      <c r="N200" s="42"/>
      <c r="O200" s="42"/>
      <c r="P200" s="42"/>
      <c r="Q200" s="42"/>
      <c r="R200" s="42"/>
      <c r="S200" s="42"/>
      <c r="T200" s="42"/>
      <c r="U200" s="42"/>
      <c r="V200" s="42"/>
      <c r="W200" s="42"/>
      <c r="X200" s="42"/>
      <c r="Y200" s="42"/>
      <c r="Z200" s="42"/>
    </row>
    <row r="201" ht="15.75" customHeight="1">
      <c r="A201" s="42"/>
      <c r="B201" s="42"/>
      <c r="C201" s="42"/>
      <c r="D201" s="42"/>
      <c r="E201" s="42"/>
      <c r="F201" s="42"/>
      <c r="G201" s="42"/>
      <c r="H201" s="63"/>
      <c r="I201" s="42"/>
      <c r="J201" s="42"/>
      <c r="K201" s="42"/>
      <c r="L201" s="42"/>
      <c r="M201" s="42"/>
      <c r="N201" s="42"/>
      <c r="O201" s="42"/>
      <c r="P201" s="42"/>
      <c r="Q201" s="42"/>
      <c r="R201" s="42"/>
      <c r="S201" s="42"/>
      <c r="T201" s="42"/>
      <c r="U201" s="42"/>
      <c r="V201" s="42"/>
      <c r="W201" s="42"/>
      <c r="X201" s="42"/>
      <c r="Y201" s="42"/>
      <c r="Z201" s="42"/>
    </row>
    <row r="202" ht="15.75" customHeight="1">
      <c r="A202" s="42"/>
      <c r="B202" s="42"/>
      <c r="C202" s="42"/>
      <c r="D202" s="42"/>
      <c r="E202" s="42"/>
      <c r="F202" s="42"/>
      <c r="G202" s="42"/>
      <c r="H202" s="63"/>
      <c r="I202" s="42"/>
      <c r="J202" s="42"/>
      <c r="K202" s="42"/>
      <c r="L202" s="42"/>
      <c r="M202" s="42"/>
      <c r="N202" s="42"/>
      <c r="O202" s="42"/>
      <c r="P202" s="42"/>
      <c r="Q202" s="42"/>
      <c r="R202" s="42"/>
      <c r="S202" s="42"/>
      <c r="T202" s="42"/>
      <c r="U202" s="42"/>
      <c r="V202" s="42"/>
      <c r="W202" s="42"/>
      <c r="X202" s="42"/>
      <c r="Y202" s="42"/>
      <c r="Z202" s="42"/>
    </row>
    <row r="203" ht="15.75" customHeight="1">
      <c r="A203" s="42"/>
      <c r="B203" s="42"/>
      <c r="C203" s="42"/>
      <c r="D203" s="42"/>
      <c r="E203" s="42"/>
      <c r="F203" s="42"/>
      <c r="G203" s="42"/>
      <c r="H203" s="63"/>
      <c r="I203" s="42"/>
      <c r="J203" s="42"/>
      <c r="K203" s="42"/>
      <c r="L203" s="42"/>
      <c r="M203" s="42"/>
      <c r="N203" s="42"/>
      <c r="O203" s="42"/>
      <c r="P203" s="42"/>
      <c r="Q203" s="42"/>
      <c r="R203" s="42"/>
      <c r="S203" s="42"/>
      <c r="T203" s="42"/>
      <c r="U203" s="42"/>
      <c r="V203" s="42"/>
      <c r="W203" s="42"/>
      <c r="X203" s="42"/>
      <c r="Y203" s="42"/>
      <c r="Z203" s="42"/>
    </row>
    <row r="204" ht="15.75" customHeight="1">
      <c r="A204" s="42"/>
      <c r="B204" s="42"/>
      <c r="C204" s="42"/>
      <c r="D204" s="42"/>
      <c r="E204" s="42"/>
      <c r="F204" s="42"/>
      <c r="G204" s="42"/>
      <c r="H204" s="63"/>
      <c r="I204" s="42"/>
      <c r="J204" s="42"/>
      <c r="K204" s="42"/>
      <c r="L204" s="42"/>
      <c r="M204" s="42"/>
      <c r="N204" s="42"/>
      <c r="O204" s="42"/>
      <c r="P204" s="42"/>
      <c r="Q204" s="42"/>
      <c r="R204" s="42"/>
      <c r="S204" s="42"/>
      <c r="T204" s="42"/>
      <c r="U204" s="42"/>
      <c r="V204" s="42"/>
      <c r="W204" s="42"/>
      <c r="X204" s="42"/>
      <c r="Y204" s="42"/>
      <c r="Z204" s="42"/>
    </row>
    <row r="205" ht="15.75" customHeight="1">
      <c r="A205" s="42"/>
      <c r="B205" s="42"/>
      <c r="C205" s="42"/>
      <c r="D205" s="42"/>
      <c r="E205" s="42"/>
      <c r="F205" s="42"/>
      <c r="G205" s="42"/>
      <c r="H205" s="63"/>
      <c r="I205" s="42"/>
      <c r="J205" s="42"/>
      <c r="K205" s="42"/>
      <c r="L205" s="42"/>
      <c r="M205" s="42"/>
      <c r="N205" s="42"/>
      <c r="O205" s="42"/>
      <c r="P205" s="42"/>
      <c r="Q205" s="42"/>
      <c r="R205" s="42"/>
      <c r="S205" s="42"/>
      <c r="T205" s="42"/>
      <c r="U205" s="42"/>
      <c r="V205" s="42"/>
      <c r="W205" s="42"/>
      <c r="X205" s="42"/>
      <c r="Y205" s="42"/>
      <c r="Z205" s="42"/>
    </row>
    <row r="206" ht="15.75" customHeight="1">
      <c r="A206" s="42"/>
      <c r="B206" s="42"/>
      <c r="C206" s="42"/>
      <c r="D206" s="42"/>
      <c r="E206" s="42"/>
      <c r="F206" s="42"/>
      <c r="G206" s="42"/>
      <c r="H206" s="63"/>
      <c r="I206" s="42"/>
      <c r="J206" s="42"/>
      <c r="K206" s="42"/>
      <c r="L206" s="42"/>
      <c r="M206" s="42"/>
      <c r="N206" s="42"/>
      <c r="O206" s="42"/>
      <c r="P206" s="42"/>
      <c r="Q206" s="42"/>
      <c r="R206" s="42"/>
      <c r="S206" s="42"/>
      <c r="T206" s="42"/>
      <c r="U206" s="42"/>
      <c r="V206" s="42"/>
      <c r="W206" s="42"/>
      <c r="X206" s="42"/>
      <c r="Y206" s="42"/>
      <c r="Z206" s="42"/>
    </row>
    <row r="207" ht="15.75" customHeight="1">
      <c r="A207" s="42"/>
      <c r="B207" s="42"/>
      <c r="C207" s="42"/>
      <c r="D207" s="42"/>
      <c r="E207" s="42"/>
      <c r="F207" s="42"/>
      <c r="G207" s="42"/>
      <c r="H207" s="63"/>
      <c r="I207" s="42"/>
      <c r="J207" s="42"/>
      <c r="K207" s="42"/>
      <c r="L207" s="42"/>
      <c r="M207" s="42"/>
      <c r="N207" s="42"/>
      <c r="O207" s="42"/>
      <c r="P207" s="42"/>
      <c r="Q207" s="42"/>
      <c r="R207" s="42"/>
      <c r="S207" s="42"/>
      <c r="T207" s="42"/>
      <c r="U207" s="42"/>
      <c r="V207" s="42"/>
      <c r="W207" s="42"/>
      <c r="X207" s="42"/>
      <c r="Y207" s="42"/>
      <c r="Z207" s="42"/>
    </row>
    <row r="208" ht="15.75" customHeight="1">
      <c r="A208" s="42"/>
      <c r="B208" s="42"/>
      <c r="C208" s="42"/>
      <c r="D208" s="42"/>
      <c r="E208" s="42"/>
      <c r="F208" s="42"/>
      <c r="G208" s="42"/>
      <c r="H208" s="63"/>
      <c r="I208" s="42"/>
      <c r="J208" s="42"/>
      <c r="K208" s="42"/>
      <c r="L208" s="42"/>
      <c r="M208" s="42"/>
      <c r="N208" s="42"/>
      <c r="O208" s="42"/>
      <c r="P208" s="42"/>
      <c r="Q208" s="42"/>
      <c r="R208" s="42"/>
      <c r="S208" s="42"/>
      <c r="T208" s="42"/>
      <c r="U208" s="42"/>
      <c r="V208" s="42"/>
      <c r="W208" s="42"/>
      <c r="X208" s="42"/>
      <c r="Y208" s="42"/>
      <c r="Z208" s="42"/>
    </row>
    <row r="209" ht="15.75" customHeight="1">
      <c r="A209" s="42"/>
      <c r="B209" s="42"/>
      <c r="C209" s="42"/>
      <c r="D209" s="42"/>
      <c r="E209" s="42"/>
      <c r="F209" s="42"/>
      <c r="G209" s="42"/>
      <c r="H209" s="63"/>
      <c r="I209" s="42"/>
      <c r="J209" s="42"/>
      <c r="K209" s="42"/>
      <c r="L209" s="42"/>
      <c r="M209" s="42"/>
      <c r="N209" s="42"/>
      <c r="O209" s="42"/>
      <c r="P209" s="42"/>
      <c r="Q209" s="42"/>
      <c r="R209" s="42"/>
      <c r="S209" s="42"/>
      <c r="T209" s="42"/>
      <c r="U209" s="42"/>
      <c r="V209" s="42"/>
      <c r="W209" s="42"/>
      <c r="X209" s="42"/>
      <c r="Y209" s="42"/>
      <c r="Z209" s="42"/>
    </row>
    <row r="210" ht="15.75" customHeight="1">
      <c r="A210" s="42"/>
      <c r="B210" s="42"/>
      <c r="C210" s="42"/>
      <c r="D210" s="42"/>
      <c r="E210" s="42"/>
      <c r="F210" s="42"/>
      <c r="G210" s="42"/>
      <c r="H210" s="63"/>
      <c r="I210" s="42"/>
      <c r="J210" s="42"/>
      <c r="K210" s="42"/>
      <c r="L210" s="42"/>
      <c r="M210" s="42"/>
      <c r="N210" s="42"/>
      <c r="O210" s="42"/>
      <c r="P210" s="42"/>
      <c r="Q210" s="42"/>
      <c r="R210" s="42"/>
      <c r="S210" s="42"/>
      <c r="T210" s="42"/>
      <c r="U210" s="42"/>
      <c r="V210" s="42"/>
      <c r="W210" s="42"/>
      <c r="X210" s="42"/>
      <c r="Y210" s="42"/>
      <c r="Z210" s="42"/>
    </row>
    <row r="211" ht="15.75" customHeight="1">
      <c r="A211" s="42"/>
      <c r="B211" s="42"/>
      <c r="C211" s="42"/>
      <c r="D211" s="42"/>
      <c r="E211" s="42"/>
      <c r="F211" s="42"/>
      <c r="G211" s="42"/>
      <c r="H211" s="63"/>
      <c r="I211" s="42"/>
      <c r="J211" s="42"/>
      <c r="K211" s="42"/>
      <c r="L211" s="42"/>
      <c r="M211" s="42"/>
      <c r="N211" s="42"/>
      <c r="O211" s="42"/>
      <c r="P211" s="42"/>
      <c r="Q211" s="42"/>
      <c r="R211" s="42"/>
      <c r="S211" s="42"/>
      <c r="T211" s="42"/>
      <c r="U211" s="42"/>
      <c r="V211" s="42"/>
      <c r="W211" s="42"/>
      <c r="X211" s="42"/>
      <c r="Y211" s="42"/>
      <c r="Z211" s="42"/>
    </row>
    <row r="212" ht="15.75" customHeight="1">
      <c r="A212" s="42"/>
      <c r="B212" s="42"/>
      <c r="C212" s="42"/>
      <c r="D212" s="42"/>
      <c r="E212" s="42"/>
      <c r="F212" s="42"/>
      <c r="G212" s="42"/>
      <c r="H212" s="63"/>
      <c r="I212" s="42"/>
      <c r="J212" s="42"/>
      <c r="K212" s="42"/>
      <c r="L212" s="42"/>
      <c r="M212" s="42"/>
      <c r="N212" s="42"/>
      <c r="O212" s="42"/>
      <c r="P212" s="42"/>
      <c r="Q212" s="42"/>
      <c r="R212" s="42"/>
      <c r="S212" s="42"/>
      <c r="T212" s="42"/>
      <c r="U212" s="42"/>
      <c r="V212" s="42"/>
      <c r="W212" s="42"/>
      <c r="X212" s="42"/>
      <c r="Y212" s="42"/>
      <c r="Z212" s="42"/>
    </row>
    <row r="213" ht="15.75" customHeight="1">
      <c r="A213" s="42"/>
      <c r="B213" s="42"/>
      <c r="C213" s="42"/>
      <c r="D213" s="42"/>
      <c r="E213" s="42"/>
      <c r="F213" s="42"/>
      <c r="G213" s="42"/>
      <c r="H213" s="63"/>
      <c r="I213" s="42"/>
      <c r="J213" s="42"/>
      <c r="K213" s="42"/>
      <c r="L213" s="42"/>
      <c r="M213" s="42"/>
      <c r="N213" s="42"/>
      <c r="O213" s="42"/>
      <c r="P213" s="42"/>
      <c r="Q213" s="42"/>
      <c r="R213" s="42"/>
      <c r="S213" s="42"/>
      <c r="T213" s="42"/>
      <c r="U213" s="42"/>
      <c r="V213" s="42"/>
      <c r="W213" s="42"/>
      <c r="X213" s="42"/>
      <c r="Y213" s="42"/>
      <c r="Z213" s="42"/>
    </row>
    <row r="214" ht="15.75" customHeight="1">
      <c r="A214" s="42"/>
      <c r="B214" s="42"/>
      <c r="C214" s="42"/>
      <c r="D214" s="42"/>
      <c r="E214" s="42"/>
      <c r="F214" s="42"/>
      <c r="G214" s="42"/>
      <c r="H214" s="63"/>
      <c r="I214" s="42"/>
      <c r="J214" s="42"/>
      <c r="K214" s="42"/>
      <c r="L214" s="42"/>
      <c r="M214" s="42"/>
      <c r="N214" s="42"/>
      <c r="O214" s="42"/>
      <c r="P214" s="42"/>
      <c r="Q214" s="42"/>
      <c r="R214" s="42"/>
      <c r="S214" s="42"/>
      <c r="T214" s="42"/>
      <c r="U214" s="42"/>
      <c r="V214" s="42"/>
      <c r="W214" s="42"/>
      <c r="X214" s="42"/>
      <c r="Y214" s="42"/>
      <c r="Z214" s="42"/>
    </row>
    <row r="215" ht="15.75" customHeight="1">
      <c r="A215" s="42"/>
      <c r="B215" s="42"/>
      <c r="C215" s="42"/>
      <c r="D215" s="42"/>
      <c r="E215" s="42"/>
      <c r="F215" s="42"/>
      <c r="G215" s="42"/>
      <c r="H215" s="63"/>
      <c r="I215" s="42"/>
      <c r="J215" s="42"/>
      <c r="K215" s="42"/>
      <c r="L215" s="42"/>
      <c r="M215" s="42"/>
      <c r="N215" s="42"/>
      <c r="O215" s="42"/>
      <c r="P215" s="42"/>
      <c r="Q215" s="42"/>
      <c r="R215" s="42"/>
      <c r="S215" s="42"/>
      <c r="T215" s="42"/>
      <c r="U215" s="42"/>
      <c r="V215" s="42"/>
      <c r="W215" s="42"/>
      <c r="X215" s="42"/>
      <c r="Y215" s="42"/>
      <c r="Z215" s="42"/>
    </row>
    <row r="216" ht="15.75" customHeight="1">
      <c r="A216" s="42"/>
      <c r="B216" s="42"/>
      <c r="C216" s="42"/>
      <c r="D216" s="42"/>
      <c r="E216" s="42"/>
      <c r="F216" s="42"/>
      <c r="G216" s="42"/>
      <c r="H216" s="63"/>
      <c r="I216" s="42"/>
      <c r="J216" s="42"/>
      <c r="K216" s="42"/>
      <c r="L216" s="42"/>
      <c r="M216" s="42"/>
      <c r="N216" s="42"/>
      <c r="O216" s="42"/>
      <c r="P216" s="42"/>
      <c r="Q216" s="42"/>
      <c r="R216" s="42"/>
      <c r="S216" s="42"/>
      <c r="T216" s="42"/>
      <c r="U216" s="42"/>
      <c r="V216" s="42"/>
      <c r="W216" s="42"/>
      <c r="X216" s="42"/>
      <c r="Y216" s="42"/>
      <c r="Z216" s="42"/>
    </row>
    <row r="217" ht="15.75" customHeight="1">
      <c r="A217" s="42"/>
      <c r="B217" s="42"/>
      <c r="C217" s="42"/>
      <c r="D217" s="42"/>
      <c r="E217" s="42"/>
      <c r="F217" s="42"/>
      <c r="G217" s="42"/>
      <c r="H217" s="63"/>
      <c r="I217" s="42"/>
      <c r="J217" s="42"/>
      <c r="K217" s="42"/>
      <c r="L217" s="42"/>
      <c r="M217" s="42"/>
      <c r="N217" s="42"/>
      <c r="O217" s="42"/>
      <c r="P217" s="42"/>
      <c r="Q217" s="42"/>
      <c r="R217" s="42"/>
      <c r="S217" s="42"/>
      <c r="T217" s="42"/>
      <c r="U217" s="42"/>
      <c r="V217" s="42"/>
      <c r="W217" s="42"/>
      <c r="X217" s="42"/>
      <c r="Y217" s="42"/>
      <c r="Z217" s="42"/>
    </row>
    <row r="218" ht="15.75" customHeight="1">
      <c r="A218" s="42"/>
      <c r="B218" s="42"/>
      <c r="C218" s="42"/>
      <c r="D218" s="42"/>
      <c r="E218" s="42"/>
      <c r="F218" s="42"/>
      <c r="G218" s="42"/>
      <c r="H218" s="63"/>
      <c r="I218" s="42"/>
      <c r="J218" s="42"/>
      <c r="K218" s="42"/>
      <c r="L218" s="42"/>
      <c r="M218" s="42"/>
      <c r="N218" s="42"/>
      <c r="O218" s="42"/>
      <c r="P218" s="42"/>
      <c r="Q218" s="42"/>
      <c r="R218" s="42"/>
      <c r="S218" s="42"/>
      <c r="T218" s="42"/>
      <c r="U218" s="42"/>
      <c r="V218" s="42"/>
      <c r="W218" s="42"/>
      <c r="X218" s="42"/>
      <c r="Y218" s="42"/>
      <c r="Z218" s="42"/>
    </row>
    <row r="219" ht="15.75" customHeight="1">
      <c r="A219" s="42"/>
      <c r="B219" s="42"/>
      <c r="C219" s="42"/>
      <c r="D219" s="42"/>
      <c r="E219" s="42"/>
      <c r="F219" s="42"/>
      <c r="G219" s="42"/>
      <c r="H219" s="63"/>
      <c r="I219" s="42"/>
      <c r="J219" s="42"/>
      <c r="K219" s="42"/>
      <c r="L219" s="42"/>
      <c r="M219" s="42"/>
      <c r="N219" s="42"/>
      <c r="O219" s="42"/>
      <c r="P219" s="42"/>
      <c r="Q219" s="42"/>
      <c r="R219" s="42"/>
      <c r="S219" s="42"/>
      <c r="T219" s="42"/>
      <c r="U219" s="42"/>
      <c r="V219" s="42"/>
      <c r="W219" s="42"/>
      <c r="X219" s="42"/>
      <c r="Y219" s="42"/>
      <c r="Z219" s="42"/>
    </row>
    <row r="220" ht="15.75" customHeight="1">
      <c r="A220" s="42"/>
      <c r="B220" s="42"/>
      <c r="C220" s="42"/>
      <c r="D220" s="42"/>
      <c r="E220" s="42"/>
      <c r="F220" s="42"/>
      <c r="G220" s="42"/>
      <c r="H220" s="63"/>
      <c r="I220" s="42"/>
      <c r="J220" s="42"/>
      <c r="K220" s="42"/>
      <c r="L220" s="42"/>
      <c r="M220" s="42"/>
      <c r="N220" s="42"/>
      <c r="O220" s="42"/>
      <c r="P220" s="42"/>
      <c r="Q220" s="42"/>
      <c r="R220" s="42"/>
      <c r="S220" s="42"/>
      <c r="T220" s="42"/>
      <c r="U220" s="42"/>
      <c r="V220" s="42"/>
      <c r="W220" s="42"/>
      <c r="X220" s="42"/>
      <c r="Y220" s="42"/>
      <c r="Z220" s="42"/>
    </row>
    <row r="221" ht="15.75" customHeight="1">
      <c r="A221" s="42"/>
      <c r="B221" s="42"/>
      <c r="C221" s="42"/>
      <c r="D221" s="42"/>
      <c r="E221" s="42"/>
      <c r="F221" s="42"/>
      <c r="G221" s="42"/>
      <c r="H221" s="63"/>
      <c r="I221" s="42"/>
      <c r="J221" s="42"/>
      <c r="K221" s="42"/>
      <c r="L221" s="42"/>
      <c r="M221" s="42"/>
      <c r="N221" s="42"/>
      <c r="O221" s="42"/>
      <c r="P221" s="42"/>
      <c r="Q221" s="42"/>
      <c r="R221" s="42"/>
      <c r="S221" s="42"/>
      <c r="T221" s="42"/>
      <c r="U221" s="42"/>
      <c r="V221" s="42"/>
      <c r="W221" s="42"/>
      <c r="X221" s="42"/>
      <c r="Y221" s="42"/>
      <c r="Z221" s="42"/>
    </row>
    <row r="222" ht="15.75" customHeight="1">
      <c r="A222" s="42"/>
      <c r="B222" s="42"/>
      <c r="C222" s="42"/>
      <c r="D222" s="42"/>
      <c r="E222" s="42"/>
      <c r="F222" s="42"/>
      <c r="G222" s="42"/>
      <c r="H222" s="63"/>
      <c r="I222" s="42"/>
      <c r="J222" s="42"/>
      <c r="K222" s="42"/>
      <c r="L222" s="42"/>
      <c r="M222" s="42"/>
      <c r="N222" s="42"/>
      <c r="O222" s="42"/>
      <c r="P222" s="42"/>
      <c r="Q222" s="42"/>
      <c r="R222" s="42"/>
      <c r="S222" s="42"/>
      <c r="T222" s="42"/>
      <c r="U222" s="42"/>
      <c r="V222" s="42"/>
      <c r="W222" s="42"/>
      <c r="X222" s="42"/>
      <c r="Y222" s="42"/>
      <c r="Z222" s="42"/>
    </row>
    <row r="223" ht="15.75" customHeight="1">
      <c r="A223" s="42"/>
      <c r="B223" s="42"/>
      <c r="C223" s="42"/>
      <c r="D223" s="42"/>
      <c r="E223" s="42"/>
      <c r="F223" s="42"/>
      <c r="G223" s="42"/>
      <c r="H223" s="63"/>
      <c r="I223" s="42"/>
      <c r="J223" s="42"/>
      <c r="K223" s="42"/>
      <c r="L223" s="42"/>
      <c r="M223" s="42"/>
      <c r="N223" s="42"/>
      <c r="O223" s="42"/>
      <c r="P223" s="42"/>
      <c r="Q223" s="42"/>
      <c r="R223" s="42"/>
      <c r="S223" s="42"/>
      <c r="T223" s="42"/>
      <c r="U223" s="42"/>
      <c r="V223" s="42"/>
      <c r="W223" s="42"/>
      <c r="X223" s="42"/>
      <c r="Y223" s="42"/>
      <c r="Z223" s="42"/>
    </row>
    <row r="224" ht="15.75" customHeight="1">
      <c r="A224" s="42"/>
      <c r="B224" s="42"/>
      <c r="C224" s="42"/>
      <c r="D224" s="42"/>
      <c r="E224" s="42"/>
      <c r="F224" s="42"/>
      <c r="G224" s="42"/>
      <c r="H224" s="63"/>
      <c r="I224" s="42"/>
      <c r="J224" s="42"/>
      <c r="K224" s="42"/>
      <c r="L224" s="42"/>
      <c r="M224" s="42"/>
      <c r="N224" s="42"/>
      <c r="O224" s="42"/>
      <c r="P224" s="42"/>
      <c r="Q224" s="42"/>
      <c r="R224" s="42"/>
      <c r="S224" s="42"/>
      <c r="T224" s="42"/>
      <c r="U224" s="42"/>
      <c r="V224" s="42"/>
      <c r="W224" s="42"/>
      <c r="X224" s="42"/>
      <c r="Y224" s="42"/>
      <c r="Z224" s="42"/>
    </row>
    <row r="225" ht="15.75" customHeight="1">
      <c r="A225" s="42"/>
      <c r="B225" s="42"/>
      <c r="C225" s="42"/>
      <c r="D225" s="42"/>
      <c r="E225" s="42"/>
      <c r="F225" s="42"/>
      <c r="G225" s="42"/>
      <c r="H225" s="63"/>
      <c r="I225" s="42"/>
      <c r="J225" s="42"/>
      <c r="K225" s="42"/>
      <c r="L225" s="42"/>
      <c r="M225" s="42"/>
      <c r="N225" s="42"/>
      <c r="O225" s="42"/>
      <c r="P225" s="42"/>
      <c r="Q225" s="42"/>
      <c r="R225" s="42"/>
      <c r="S225" s="42"/>
      <c r="T225" s="42"/>
      <c r="U225" s="42"/>
      <c r="V225" s="42"/>
      <c r="W225" s="42"/>
      <c r="X225" s="42"/>
      <c r="Y225" s="42"/>
      <c r="Z225" s="42"/>
    </row>
    <row r="226" ht="15.75" customHeight="1">
      <c r="A226" s="42"/>
      <c r="B226" s="42"/>
      <c r="C226" s="42"/>
      <c r="D226" s="42"/>
      <c r="E226" s="42"/>
      <c r="F226" s="42"/>
      <c r="G226" s="42"/>
      <c r="H226" s="63"/>
      <c r="I226" s="42"/>
      <c r="J226" s="42"/>
      <c r="K226" s="42"/>
      <c r="L226" s="42"/>
      <c r="M226" s="42"/>
      <c r="N226" s="42"/>
      <c r="O226" s="42"/>
      <c r="P226" s="42"/>
      <c r="Q226" s="42"/>
      <c r="R226" s="42"/>
      <c r="S226" s="42"/>
      <c r="T226" s="42"/>
      <c r="U226" s="42"/>
      <c r="V226" s="42"/>
      <c r="W226" s="42"/>
      <c r="X226" s="42"/>
      <c r="Y226" s="42"/>
      <c r="Z226" s="42"/>
    </row>
    <row r="227" ht="15.75" customHeight="1">
      <c r="A227" s="42"/>
      <c r="B227" s="42"/>
      <c r="C227" s="42"/>
      <c r="D227" s="42"/>
      <c r="E227" s="42"/>
      <c r="F227" s="42"/>
      <c r="G227" s="42"/>
      <c r="H227" s="63"/>
      <c r="I227" s="42"/>
      <c r="J227" s="42"/>
      <c r="K227" s="42"/>
      <c r="L227" s="42"/>
      <c r="M227" s="42"/>
      <c r="N227" s="42"/>
      <c r="O227" s="42"/>
      <c r="P227" s="42"/>
      <c r="Q227" s="42"/>
      <c r="R227" s="42"/>
      <c r="S227" s="42"/>
      <c r="T227" s="42"/>
      <c r="U227" s="42"/>
      <c r="V227" s="42"/>
      <c r="W227" s="42"/>
      <c r="X227" s="42"/>
      <c r="Y227" s="42"/>
      <c r="Z227" s="42"/>
    </row>
    <row r="228" ht="15.75" customHeight="1">
      <c r="A228" s="42"/>
      <c r="B228" s="42"/>
      <c r="C228" s="42"/>
      <c r="D228" s="42"/>
      <c r="E228" s="42"/>
      <c r="F228" s="42"/>
      <c r="G228" s="42"/>
      <c r="H228" s="63"/>
      <c r="I228" s="42"/>
      <c r="J228" s="42"/>
      <c r="K228" s="42"/>
      <c r="L228" s="42"/>
      <c r="M228" s="42"/>
      <c r="N228" s="42"/>
      <c r="O228" s="42"/>
      <c r="P228" s="42"/>
      <c r="Q228" s="42"/>
      <c r="R228" s="42"/>
      <c r="S228" s="42"/>
      <c r="T228" s="42"/>
      <c r="U228" s="42"/>
      <c r="V228" s="42"/>
      <c r="W228" s="42"/>
      <c r="X228" s="42"/>
      <c r="Y228" s="42"/>
      <c r="Z228" s="42"/>
    </row>
    <row r="229" ht="15.75" customHeight="1">
      <c r="A229" s="42"/>
      <c r="B229" s="42"/>
      <c r="C229" s="42"/>
      <c r="D229" s="42"/>
      <c r="E229" s="42"/>
      <c r="F229" s="42"/>
      <c r="G229" s="42"/>
      <c r="H229" s="63"/>
      <c r="I229" s="42"/>
      <c r="J229" s="42"/>
      <c r="K229" s="42"/>
      <c r="L229" s="42"/>
      <c r="M229" s="42"/>
      <c r="N229" s="42"/>
      <c r="O229" s="42"/>
      <c r="P229" s="42"/>
      <c r="Q229" s="42"/>
      <c r="R229" s="42"/>
      <c r="S229" s="42"/>
      <c r="T229" s="42"/>
      <c r="U229" s="42"/>
      <c r="V229" s="42"/>
      <c r="W229" s="42"/>
      <c r="X229" s="42"/>
      <c r="Y229" s="42"/>
      <c r="Z229" s="42"/>
    </row>
    <row r="230" ht="15.75" customHeight="1">
      <c r="A230" s="42"/>
      <c r="B230" s="42"/>
      <c r="C230" s="42"/>
      <c r="D230" s="42"/>
      <c r="E230" s="42"/>
      <c r="F230" s="42"/>
      <c r="G230" s="42"/>
      <c r="H230" s="63"/>
      <c r="I230" s="42"/>
      <c r="J230" s="42"/>
      <c r="K230" s="42"/>
      <c r="L230" s="42"/>
      <c r="M230" s="42"/>
      <c r="N230" s="42"/>
      <c r="O230" s="42"/>
      <c r="P230" s="42"/>
      <c r="Q230" s="42"/>
      <c r="R230" s="42"/>
      <c r="S230" s="42"/>
      <c r="T230" s="42"/>
      <c r="U230" s="42"/>
      <c r="V230" s="42"/>
      <c r="W230" s="42"/>
      <c r="X230" s="42"/>
      <c r="Y230" s="42"/>
      <c r="Z230" s="42"/>
    </row>
    <row r="231" ht="15.75" customHeight="1">
      <c r="A231" s="42"/>
      <c r="B231" s="42"/>
      <c r="C231" s="42"/>
      <c r="D231" s="42"/>
      <c r="E231" s="42"/>
      <c r="F231" s="42"/>
      <c r="G231" s="42"/>
      <c r="H231" s="63"/>
      <c r="I231" s="42"/>
      <c r="J231" s="42"/>
      <c r="K231" s="42"/>
      <c r="L231" s="42"/>
      <c r="M231" s="42"/>
      <c r="N231" s="42"/>
      <c r="O231" s="42"/>
      <c r="P231" s="42"/>
      <c r="Q231" s="42"/>
      <c r="R231" s="42"/>
      <c r="S231" s="42"/>
      <c r="T231" s="42"/>
      <c r="U231" s="42"/>
      <c r="V231" s="42"/>
      <c r="W231" s="42"/>
      <c r="X231" s="42"/>
      <c r="Y231" s="42"/>
      <c r="Z231" s="42"/>
    </row>
    <row r="232" ht="15.75" customHeight="1">
      <c r="A232" s="42"/>
      <c r="B232" s="42"/>
      <c r="C232" s="42"/>
      <c r="D232" s="42"/>
      <c r="E232" s="42"/>
      <c r="F232" s="42"/>
      <c r="G232" s="42"/>
      <c r="H232" s="63"/>
      <c r="I232" s="42"/>
      <c r="J232" s="42"/>
      <c r="K232" s="42"/>
      <c r="L232" s="42"/>
      <c r="M232" s="42"/>
      <c r="N232" s="42"/>
      <c r="O232" s="42"/>
      <c r="P232" s="42"/>
      <c r="Q232" s="42"/>
      <c r="R232" s="42"/>
      <c r="S232" s="42"/>
      <c r="T232" s="42"/>
      <c r="U232" s="42"/>
      <c r="V232" s="42"/>
      <c r="W232" s="42"/>
      <c r="X232" s="42"/>
      <c r="Y232" s="42"/>
      <c r="Z232" s="42"/>
    </row>
    <row r="233" ht="15.75" customHeight="1">
      <c r="A233" s="42"/>
      <c r="B233" s="42"/>
      <c r="C233" s="42"/>
      <c r="D233" s="42"/>
      <c r="E233" s="42"/>
      <c r="F233" s="42"/>
      <c r="G233" s="42"/>
      <c r="H233" s="63"/>
      <c r="I233" s="42"/>
      <c r="J233" s="42"/>
      <c r="K233" s="42"/>
      <c r="L233" s="42"/>
      <c r="M233" s="42"/>
      <c r="N233" s="42"/>
      <c r="O233" s="42"/>
      <c r="P233" s="42"/>
      <c r="Q233" s="42"/>
      <c r="R233" s="42"/>
      <c r="S233" s="42"/>
      <c r="T233" s="42"/>
      <c r="U233" s="42"/>
      <c r="V233" s="42"/>
      <c r="W233" s="42"/>
      <c r="X233" s="42"/>
      <c r="Y233" s="42"/>
      <c r="Z233" s="42"/>
    </row>
    <row r="234" ht="15.75" customHeight="1">
      <c r="A234" s="42"/>
      <c r="B234" s="42"/>
      <c r="C234" s="42"/>
      <c r="D234" s="42"/>
      <c r="E234" s="42"/>
      <c r="F234" s="42"/>
      <c r="G234" s="42"/>
      <c r="H234" s="63"/>
      <c r="I234" s="42"/>
      <c r="J234" s="42"/>
      <c r="K234" s="42"/>
      <c r="L234" s="42"/>
      <c r="M234" s="42"/>
      <c r="N234" s="42"/>
      <c r="O234" s="42"/>
      <c r="P234" s="42"/>
      <c r="Q234" s="42"/>
      <c r="R234" s="42"/>
      <c r="S234" s="42"/>
      <c r="T234" s="42"/>
      <c r="U234" s="42"/>
      <c r="V234" s="42"/>
      <c r="W234" s="42"/>
      <c r="X234" s="42"/>
      <c r="Y234" s="42"/>
      <c r="Z234" s="42"/>
    </row>
    <row r="235" ht="15.75" customHeight="1">
      <c r="A235" s="42"/>
      <c r="B235" s="42"/>
      <c r="C235" s="42"/>
      <c r="D235" s="42"/>
      <c r="E235" s="42"/>
      <c r="F235" s="42"/>
      <c r="G235" s="42"/>
      <c r="H235" s="63"/>
      <c r="I235" s="42"/>
      <c r="J235" s="42"/>
      <c r="K235" s="42"/>
      <c r="L235" s="42"/>
      <c r="M235" s="42"/>
      <c r="N235" s="42"/>
      <c r="O235" s="42"/>
      <c r="P235" s="42"/>
      <c r="Q235" s="42"/>
      <c r="R235" s="42"/>
      <c r="S235" s="42"/>
      <c r="T235" s="42"/>
      <c r="U235" s="42"/>
      <c r="V235" s="42"/>
      <c r="W235" s="42"/>
      <c r="X235" s="42"/>
      <c r="Y235" s="42"/>
      <c r="Z235" s="42"/>
    </row>
    <row r="236" ht="15.75" customHeight="1">
      <c r="A236" s="42"/>
      <c r="B236" s="42"/>
      <c r="C236" s="42"/>
      <c r="D236" s="42"/>
      <c r="E236" s="42"/>
      <c r="F236" s="42"/>
      <c r="G236" s="42"/>
      <c r="H236" s="63"/>
      <c r="I236" s="42"/>
      <c r="J236" s="42"/>
      <c r="K236" s="42"/>
      <c r="L236" s="42"/>
      <c r="M236" s="42"/>
      <c r="N236" s="42"/>
      <c r="O236" s="42"/>
      <c r="P236" s="42"/>
      <c r="Q236" s="42"/>
      <c r="R236" s="42"/>
      <c r="S236" s="42"/>
      <c r="T236" s="42"/>
      <c r="U236" s="42"/>
      <c r="V236" s="42"/>
      <c r="W236" s="42"/>
      <c r="X236" s="42"/>
      <c r="Y236" s="42"/>
      <c r="Z236" s="42"/>
    </row>
    <row r="237" ht="15.75" customHeight="1">
      <c r="A237" s="42"/>
      <c r="B237" s="42"/>
      <c r="C237" s="42"/>
      <c r="D237" s="42"/>
      <c r="E237" s="42"/>
      <c r="F237" s="42"/>
      <c r="G237" s="42"/>
      <c r="H237" s="63"/>
      <c r="I237" s="42"/>
      <c r="J237" s="42"/>
      <c r="K237" s="42"/>
      <c r="L237" s="42"/>
      <c r="M237" s="42"/>
      <c r="N237" s="42"/>
      <c r="O237" s="42"/>
      <c r="P237" s="42"/>
      <c r="Q237" s="42"/>
      <c r="R237" s="42"/>
      <c r="S237" s="42"/>
      <c r="T237" s="42"/>
      <c r="U237" s="42"/>
      <c r="V237" s="42"/>
      <c r="W237" s="42"/>
      <c r="X237" s="42"/>
      <c r="Y237" s="42"/>
      <c r="Z237" s="42"/>
    </row>
    <row r="238" ht="15.75" customHeight="1">
      <c r="A238" s="42"/>
      <c r="B238" s="42"/>
      <c r="C238" s="42"/>
      <c r="D238" s="42"/>
      <c r="E238" s="42"/>
      <c r="F238" s="42"/>
      <c r="G238" s="42"/>
      <c r="H238" s="63"/>
      <c r="I238" s="42"/>
      <c r="J238" s="42"/>
      <c r="K238" s="42"/>
      <c r="L238" s="42"/>
      <c r="M238" s="42"/>
      <c r="N238" s="42"/>
      <c r="O238" s="42"/>
      <c r="P238" s="42"/>
      <c r="Q238" s="42"/>
      <c r="R238" s="42"/>
      <c r="S238" s="42"/>
      <c r="T238" s="42"/>
      <c r="U238" s="42"/>
      <c r="V238" s="42"/>
      <c r="W238" s="42"/>
      <c r="X238" s="42"/>
      <c r="Y238" s="42"/>
      <c r="Z238" s="42"/>
    </row>
    <row r="239" ht="15.75" customHeight="1">
      <c r="A239" s="42"/>
      <c r="B239" s="42"/>
      <c r="C239" s="42"/>
      <c r="D239" s="42"/>
      <c r="E239" s="42"/>
      <c r="F239" s="42"/>
      <c r="G239" s="42"/>
      <c r="H239" s="63"/>
      <c r="I239" s="42"/>
      <c r="J239" s="42"/>
      <c r="K239" s="42"/>
      <c r="L239" s="42"/>
      <c r="M239" s="42"/>
      <c r="N239" s="42"/>
      <c r="O239" s="42"/>
      <c r="P239" s="42"/>
      <c r="Q239" s="42"/>
      <c r="R239" s="42"/>
      <c r="S239" s="42"/>
      <c r="T239" s="42"/>
      <c r="U239" s="42"/>
      <c r="V239" s="42"/>
      <c r="W239" s="42"/>
      <c r="X239" s="42"/>
      <c r="Y239" s="42"/>
      <c r="Z239" s="42"/>
    </row>
    <row r="240" ht="15.75" customHeight="1">
      <c r="A240" s="42"/>
      <c r="B240" s="42"/>
      <c r="C240" s="42"/>
      <c r="D240" s="42"/>
      <c r="E240" s="42"/>
      <c r="F240" s="42"/>
      <c r="G240" s="42"/>
      <c r="H240" s="63"/>
      <c r="I240" s="42"/>
      <c r="J240" s="42"/>
      <c r="K240" s="42"/>
      <c r="L240" s="42"/>
      <c r="M240" s="42"/>
      <c r="N240" s="42"/>
      <c r="O240" s="42"/>
      <c r="P240" s="42"/>
      <c r="Q240" s="42"/>
      <c r="R240" s="42"/>
      <c r="S240" s="42"/>
      <c r="T240" s="42"/>
      <c r="U240" s="42"/>
      <c r="V240" s="42"/>
      <c r="W240" s="42"/>
      <c r="X240" s="42"/>
      <c r="Y240" s="42"/>
      <c r="Z240" s="42"/>
    </row>
    <row r="241" ht="15.75" customHeight="1">
      <c r="A241" s="42"/>
      <c r="B241" s="42"/>
      <c r="C241" s="42"/>
      <c r="D241" s="42"/>
      <c r="E241" s="42"/>
      <c r="F241" s="42"/>
      <c r="G241" s="42"/>
      <c r="H241" s="63"/>
      <c r="I241" s="42"/>
      <c r="J241" s="42"/>
      <c r="K241" s="42"/>
      <c r="L241" s="42"/>
      <c r="M241" s="42"/>
      <c r="N241" s="42"/>
      <c r="O241" s="42"/>
      <c r="P241" s="42"/>
      <c r="Q241" s="42"/>
      <c r="R241" s="42"/>
      <c r="S241" s="42"/>
      <c r="T241" s="42"/>
      <c r="U241" s="42"/>
      <c r="V241" s="42"/>
      <c r="W241" s="42"/>
      <c r="X241" s="42"/>
      <c r="Y241" s="42"/>
      <c r="Z241" s="42"/>
    </row>
    <row r="242" ht="15.75" customHeight="1">
      <c r="A242" s="42"/>
      <c r="B242" s="42"/>
      <c r="C242" s="42"/>
      <c r="D242" s="42"/>
      <c r="E242" s="42"/>
      <c r="F242" s="42"/>
      <c r="G242" s="42"/>
      <c r="H242" s="63"/>
      <c r="I242" s="42"/>
      <c r="J242" s="42"/>
      <c r="K242" s="42"/>
      <c r="L242" s="42"/>
      <c r="M242" s="42"/>
      <c r="N242" s="42"/>
      <c r="O242" s="42"/>
      <c r="P242" s="42"/>
      <c r="Q242" s="42"/>
      <c r="R242" s="42"/>
      <c r="S242" s="42"/>
      <c r="T242" s="42"/>
      <c r="U242" s="42"/>
      <c r="V242" s="42"/>
      <c r="W242" s="42"/>
      <c r="X242" s="42"/>
      <c r="Y242" s="42"/>
      <c r="Z242" s="42"/>
    </row>
    <row r="243" ht="15.75" customHeight="1">
      <c r="A243" s="42"/>
      <c r="B243" s="42"/>
      <c r="C243" s="42"/>
      <c r="D243" s="42"/>
      <c r="E243" s="42"/>
      <c r="F243" s="42"/>
      <c r="G243" s="42"/>
      <c r="H243" s="63"/>
      <c r="I243" s="42"/>
      <c r="J243" s="42"/>
      <c r="K243" s="42"/>
      <c r="L243" s="42"/>
      <c r="M243" s="42"/>
      <c r="N243" s="42"/>
      <c r="O243" s="42"/>
      <c r="P243" s="42"/>
      <c r="Q243" s="42"/>
      <c r="R243" s="42"/>
      <c r="S243" s="42"/>
      <c r="T243" s="42"/>
      <c r="U243" s="42"/>
      <c r="V243" s="42"/>
      <c r="W243" s="42"/>
      <c r="X243" s="42"/>
      <c r="Y243" s="42"/>
      <c r="Z243" s="42"/>
    </row>
    <row r="244" ht="15.75" customHeight="1">
      <c r="A244" s="42"/>
      <c r="B244" s="42"/>
      <c r="C244" s="42"/>
      <c r="D244" s="42"/>
      <c r="E244" s="42"/>
      <c r="F244" s="42"/>
      <c r="G244" s="42"/>
      <c r="H244" s="63"/>
      <c r="I244" s="42"/>
      <c r="J244" s="42"/>
      <c r="K244" s="42"/>
      <c r="L244" s="42"/>
      <c r="M244" s="42"/>
      <c r="N244" s="42"/>
      <c r="O244" s="42"/>
      <c r="P244" s="42"/>
      <c r="Q244" s="42"/>
      <c r="R244" s="42"/>
      <c r="S244" s="42"/>
      <c r="T244" s="42"/>
      <c r="U244" s="42"/>
      <c r="V244" s="42"/>
      <c r="W244" s="42"/>
      <c r="X244" s="42"/>
      <c r="Y244" s="42"/>
      <c r="Z244" s="42"/>
    </row>
    <row r="245" ht="15.75" customHeight="1">
      <c r="A245" s="42"/>
      <c r="B245" s="42"/>
      <c r="C245" s="42"/>
      <c r="D245" s="42"/>
      <c r="E245" s="42"/>
      <c r="F245" s="42"/>
      <c r="G245" s="42"/>
      <c r="H245" s="63"/>
      <c r="I245" s="42"/>
      <c r="J245" s="42"/>
      <c r="K245" s="42"/>
      <c r="L245" s="42"/>
      <c r="M245" s="42"/>
      <c r="N245" s="42"/>
      <c r="O245" s="42"/>
      <c r="P245" s="42"/>
      <c r="Q245" s="42"/>
      <c r="R245" s="42"/>
      <c r="S245" s="42"/>
      <c r="T245" s="42"/>
      <c r="U245" s="42"/>
      <c r="V245" s="42"/>
      <c r="W245" s="42"/>
      <c r="X245" s="42"/>
      <c r="Y245" s="42"/>
      <c r="Z245" s="42"/>
    </row>
    <row r="246" ht="15.75" customHeight="1">
      <c r="A246" s="42"/>
      <c r="B246" s="42"/>
      <c r="C246" s="42"/>
      <c r="D246" s="42"/>
      <c r="E246" s="42"/>
      <c r="F246" s="42"/>
      <c r="G246" s="42"/>
      <c r="H246" s="63"/>
      <c r="I246" s="42"/>
      <c r="J246" s="42"/>
      <c r="K246" s="42"/>
      <c r="L246" s="42"/>
      <c r="M246" s="42"/>
      <c r="N246" s="42"/>
      <c r="O246" s="42"/>
      <c r="P246" s="42"/>
      <c r="Q246" s="42"/>
      <c r="R246" s="42"/>
      <c r="S246" s="42"/>
      <c r="T246" s="42"/>
      <c r="U246" s="42"/>
      <c r="V246" s="42"/>
      <c r="W246" s="42"/>
      <c r="X246" s="42"/>
      <c r="Y246" s="42"/>
      <c r="Z246" s="42"/>
    </row>
    <row r="247" ht="15.75" customHeight="1">
      <c r="A247" s="42"/>
      <c r="B247" s="42"/>
      <c r="C247" s="42"/>
      <c r="D247" s="42"/>
      <c r="E247" s="42"/>
      <c r="F247" s="42"/>
      <c r="G247" s="42"/>
      <c r="H247" s="63"/>
      <c r="I247" s="42"/>
      <c r="J247" s="42"/>
      <c r="K247" s="42"/>
      <c r="L247" s="42"/>
      <c r="M247" s="42"/>
      <c r="N247" s="42"/>
      <c r="O247" s="42"/>
      <c r="P247" s="42"/>
      <c r="Q247" s="42"/>
      <c r="R247" s="42"/>
      <c r="S247" s="42"/>
      <c r="T247" s="42"/>
      <c r="U247" s="42"/>
      <c r="V247" s="42"/>
      <c r="W247" s="42"/>
      <c r="X247" s="42"/>
      <c r="Y247" s="42"/>
      <c r="Z247" s="42"/>
    </row>
    <row r="248" ht="15.75" customHeight="1">
      <c r="A248" s="42"/>
      <c r="B248" s="42"/>
      <c r="C248" s="42"/>
      <c r="D248" s="42"/>
      <c r="E248" s="42"/>
      <c r="F248" s="42"/>
      <c r="G248" s="42"/>
      <c r="H248" s="63"/>
      <c r="I248" s="42"/>
      <c r="J248" s="42"/>
      <c r="K248" s="42"/>
      <c r="L248" s="42"/>
      <c r="M248" s="42"/>
      <c r="N248" s="42"/>
      <c r="O248" s="42"/>
      <c r="P248" s="42"/>
      <c r="Q248" s="42"/>
      <c r="R248" s="42"/>
      <c r="S248" s="42"/>
      <c r="T248" s="42"/>
      <c r="U248" s="42"/>
      <c r="V248" s="42"/>
      <c r="W248" s="42"/>
      <c r="X248" s="42"/>
      <c r="Y248" s="42"/>
      <c r="Z248" s="42"/>
    </row>
    <row r="249" ht="15.75" customHeight="1">
      <c r="A249" s="42"/>
      <c r="B249" s="42"/>
      <c r="C249" s="42"/>
      <c r="D249" s="42"/>
      <c r="E249" s="42"/>
      <c r="F249" s="42"/>
      <c r="G249" s="42"/>
      <c r="H249" s="63"/>
      <c r="I249" s="42"/>
      <c r="J249" s="42"/>
      <c r="K249" s="42"/>
      <c r="L249" s="42"/>
      <c r="M249" s="42"/>
      <c r="N249" s="42"/>
      <c r="O249" s="42"/>
      <c r="P249" s="42"/>
      <c r="Q249" s="42"/>
      <c r="R249" s="42"/>
      <c r="S249" s="42"/>
      <c r="T249" s="42"/>
      <c r="U249" s="42"/>
      <c r="V249" s="42"/>
      <c r="W249" s="42"/>
      <c r="X249" s="42"/>
      <c r="Y249" s="42"/>
      <c r="Z249" s="42"/>
    </row>
    <row r="250" ht="15.75" customHeight="1">
      <c r="A250" s="42"/>
      <c r="B250" s="42"/>
      <c r="C250" s="42"/>
      <c r="D250" s="42"/>
      <c r="E250" s="42"/>
      <c r="F250" s="42"/>
      <c r="G250" s="42"/>
      <c r="H250" s="63"/>
      <c r="I250" s="42"/>
      <c r="J250" s="42"/>
      <c r="K250" s="42"/>
      <c r="L250" s="42"/>
      <c r="M250" s="42"/>
      <c r="N250" s="42"/>
      <c r="O250" s="42"/>
      <c r="P250" s="42"/>
      <c r="Q250" s="42"/>
      <c r="R250" s="42"/>
      <c r="S250" s="42"/>
      <c r="T250" s="42"/>
      <c r="U250" s="42"/>
      <c r="V250" s="42"/>
      <c r="W250" s="42"/>
      <c r="X250" s="42"/>
      <c r="Y250" s="42"/>
      <c r="Z250" s="42"/>
    </row>
    <row r="251" ht="15.75" customHeight="1">
      <c r="A251" s="42"/>
      <c r="B251" s="42"/>
      <c r="C251" s="42"/>
      <c r="D251" s="42"/>
      <c r="E251" s="42"/>
      <c r="F251" s="42"/>
      <c r="G251" s="42"/>
      <c r="H251" s="63"/>
      <c r="I251" s="42"/>
      <c r="J251" s="42"/>
      <c r="K251" s="42"/>
      <c r="L251" s="42"/>
      <c r="M251" s="42"/>
      <c r="N251" s="42"/>
      <c r="O251" s="42"/>
      <c r="P251" s="42"/>
      <c r="Q251" s="42"/>
      <c r="R251" s="42"/>
      <c r="S251" s="42"/>
      <c r="T251" s="42"/>
      <c r="U251" s="42"/>
      <c r="V251" s="42"/>
      <c r="W251" s="42"/>
      <c r="X251" s="42"/>
      <c r="Y251" s="42"/>
      <c r="Z251" s="42"/>
    </row>
    <row r="252" ht="15.75" customHeight="1">
      <c r="A252" s="42"/>
      <c r="B252" s="42"/>
      <c r="C252" s="42"/>
      <c r="D252" s="42"/>
      <c r="E252" s="42"/>
      <c r="F252" s="42"/>
      <c r="G252" s="42"/>
      <c r="H252" s="63"/>
      <c r="I252" s="42"/>
      <c r="J252" s="42"/>
      <c r="K252" s="42"/>
      <c r="L252" s="42"/>
      <c r="M252" s="42"/>
      <c r="N252" s="42"/>
      <c r="O252" s="42"/>
      <c r="P252" s="42"/>
      <c r="Q252" s="42"/>
      <c r="R252" s="42"/>
      <c r="S252" s="42"/>
      <c r="T252" s="42"/>
      <c r="U252" s="42"/>
      <c r="V252" s="42"/>
      <c r="W252" s="42"/>
      <c r="X252" s="42"/>
      <c r="Y252" s="42"/>
      <c r="Z252" s="42"/>
    </row>
    <row r="253" ht="15.75" customHeight="1">
      <c r="A253" s="42"/>
      <c r="B253" s="42"/>
      <c r="C253" s="42"/>
      <c r="D253" s="42"/>
      <c r="E253" s="42"/>
      <c r="F253" s="42"/>
      <c r="G253" s="42"/>
      <c r="H253" s="63"/>
      <c r="I253" s="42"/>
      <c r="J253" s="42"/>
      <c r="K253" s="42"/>
      <c r="L253" s="42"/>
      <c r="M253" s="42"/>
      <c r="N253" s="42"/>
      <c r="O253" s="42"/>
      <c r="P253" s="42"/>
      <c r="Q253" s="42"/>
      <c r="R253" s="42"/>
      <c r="S253" s="42"/>
      <c r="T253" s="42"/>
      <c r="U253" s="42"/>
      <c r="V253" s="42"/>
      <c r="W253" s="42"/>
      <c r="X253" s="42"/>
      <c r="Y253" s="42"/>
      <c r="Z253" s="42"/>
    </row>
    <row r="254" ht="15.75" customHeight="1">
      <c r="A254" s="42"/>
      <c r="B254" s="42"/>
      <c r="C254" s="42"/>
      <c r="D254" s="42"/>
      <c r="E254" s="42"/>
      <c r="F254" s="42"/>
      <c r="G254" s="42"/>
      <c r="H254" s="63"/>
      <c r="I254" s="42"/>
      <c r="J254" s="42"/>
      <c r="K254" s="42"/>
      <c r="L254" s="42"/>
      <c r="M254" s="42"/>
      <c r="N254" s="42"/>
      <c r="O254" s="42"/>
      <c r="P254" s="42"/>
      <c r="Q254" s="42"/>
      <c r="R254" s="42"/>
      <c r="S254" s="42"/>
      <c r="T254" s="42"/>
      <c r="U254" s="42"/>
      <c r="V254" s="42"/>
      <c r="W254" s="42"/>
      <c r="X254" s="42"/>
      <c r="Y254" s="42"/>
      <c r="Z254" s="42"/>
    </row>
    <row r="255" ht="15.75" customHeight="1">
      <c r="A255" s="42"/>
      <c r="B255" s="42"/>
      <c r="C255" s="42"/>
      <c r="D255" s="42"/>
      <c r="E255" s="42"/>
      <c r="F255" s="42"/>
      <c r="G255" s="42"/>
      <c r="H255" s="63"/>
      <c r="I255" s="42"/>
      <c r="J255" s="42"/>
      <c r="K255" s="42"/>
      <c r="L255" s="42"/>
      <c r="M255" s="42"/>
      <c r="N255" s="42"/>
      <c r="O255" s="42"/>
      <c r="P255" s="42"/>
      <c r="Q255" s="42"/>
      <c r="R255" s="42"/>
      <c r="S255" s="42"/>
      <c r="T255" s="42"/>
      <c r="U255" s="42"/>
      <c r="V255" s="42"/>
      <c r="W255" s="42"/>
      <c r="X255" s="42"/>
      <c r="Y255" s="42"/>
      <c r="Z255" s="42"/>
    </row>
    <row r="256" ht="15.75" customHeight="1">
      <c r="A256" s="42"/>
      <c r="B256" s="42"/>
      <c r="C256" s="42"/>
      <c r="D256" s="42"/>
      <c r="E256" s="42"/>
      <c r="F256" s="42"/>
      <c r="G256" s="42"/>
      <c r="H256" s="63"/>
      <c r="I256" s="42"/>
      <c r="J256" s="42"/>
      <c r="K256" s="42"/>
      <c r="L256" s="42"/>
      <c r="M256" s="42"/>
      <c r="N256" s="42"/>
      <c r="O256" s="42"/>
      <c r="P256" s="42"/>
      <c r="Q256" s="42"/>
      <c r="R256" s="42"/>
      <c r="S256" s="42"/>
      <c r="T256" s="42"/>
      <c r="U256" s="42"/>
      <c r="V256" s="42"/>
      <c r="W256" s="42"/>
      <c r="X256" s="42"/>
      <c r="Y256" s="42"/>
      <c r="Z256" s="42"/>
    </row>
    <row r="257" ht="15.75" customHeight="1">
      <c r="A257" s="42"/>
      <c r="B257" s="42"/>
      <c r="C257" s="42"/>
      <c r="D257" s="42"/>
      <c r="E257" s="42"/>
      <c r="F257" s="42"/>
      <c r="G257" s="42"/>
      <c r="H257" s="63"/>
      <c r="I257" s="42"/>
      <c r="J257" s="42"/>
      <c r="K257" s="42"/>
      <c r="L257" s="42"/>
      <c r="M257" s="42"/>
      <c r="N257" s="42"/>
      <c r="O257" s="42"/>
      <c r="P257" s="42"/>
      <c r="Q257" s="42"/>
      <c r="R257" s="42"/>
      <c r="S257" s="42"/>
      <c r="T257" s="42"/>
      <c r="U257" s="42"/>
      <c r="V257" s="42"/>
      <c r="W257" s="42"/>
      <c r="X257" s="42"/>
      <c r="Y257" s="42"/>
      <c r="Z257" s="42"/>
    </row>
    <row r="258" ht="15.75" customHeight="1">
      <c r="A258" s="42"/>
      <c r="B258" s="42"/>
      <c r="C258" s="42"/>
      <c r="D258" s="42"/>
      <c r="E258" s="42"/>
      <c r="F258" s="42"/>
      <c r="G258" s="42"/>
      <c r="H258" s="63"/>
      <c r="I258" s="42"/>
      <c r="J258" s="42"/>
      <c r="K258" s="42"/>
      <c r="L258" s="42"/>
      <c r="M258" s="42"/>
      <c r="N258" s="42"/>
      <c r="O258" s="42"/>
      <c r="P258" s="42"/>
      <c r="Q258" s="42"/>
      <c r="R258" s="42"/>
      <c r="S258" s="42"/>
      <c r="T258" s="42"/>
      <c r="U258" s="42"/>
      <c r="V258" s="42"/>
      <c r="W258" s="42"/>
      <c r="X258" s="42"/>
      <c r="Y258" s="42"/>
      <c r="Z258" s="42"/>
    </row>
    <row r="259" ht="15.75" customHeight="1">
      <c r="A259" s="42"/>
      <c r="B259" s="42"/>
      <c r="C259" s="42"/>
      <c r="D259" s="42"/>
      <c r="E259" s="42"/>
      <c r="F259" s="42"/>
      <c r="G259" s="42"/>
      <c r="H259" s="63"/>
      <c r="I259" s="42"/>
      <c r="J259" s="42"/>
      <c r="K259" s="42"/>
      <c r="L259" s="42"/>
      <c r="M259" s="42"/>
      <c r="N259" s="42"/>
      <c r="O259" s="42"/>
      <c r="P259" s="42"/>
      <c r="Q259" s="42"/>
      <c r="R259" s="42"/>
      <c r="S259" s="42"/>
      <c r="T259" s="42"/>
      <c r="U259" s="42"/>
      <c r="V259" s="42"/>
      <c r="W259" s="42"/>
      <c r="X259" s="42"/>
      <c r="Y259" s="42"/>
      <c r="Z259" s="42"/>
    </row>
    <row r="260" ht="15.75" customHeight="1">
      <c r="A260" s="42"/>
      <c r="B260" s="42"/>
      <c r="C260" s="42"/>
      <c r="D260" s="42"/>
      <c r="E260" s="42"/>
      <c r="F260" s="42"/>
      <c r="G260" s="42"/>
      <c r="H260" s="63"/>
      <c r="I260" s="42"/>
      <c r="J260" s="42"/>
      <c r="K260" s="42"/>
      <c r="L260" s="42"/>
      <c r="M260" s="42"/>
      <c r="N260" s="42"/>
      <c r="O260" s="42"/>
      <c r="P260" s="42"/>
      <c r="Q260" s="42"/>
      <c r="R260" s="42"/>
      <c r="S260" s="42"/>
      <c r="T260" s="42"/>
      <c r="U260" s="42"/>
      <c r="V260" s="42"/>
      <c r="W260" s="42"/>
      <c r="X260" s="42"/>
      <c r="Y260" s="42"/>
      <c r="Z260" s="42"/>
    </row>
    <row r="261" ht="15.75" customHeight="1">
      <c r="A261" s="42"/>
      <c r="B261" s="42"/>
      <c r="C261" s="42"/>
      <c r="D261" s="42"/>
      <c r="E261" s="42"/>
      <c r="F261" s="42"/>
      <c r="G261" s="42"/>
      <c r="H261" s="63"/>
      <c r="I261" s="42"/>
      <c r="J261" s="42"/>
      <c r="K261" s="42"/>
      <c r="L261" s="42"/>
      <c r="M261" s="42"/>
      <c r="N261" s="42"/>
      <c r="O261" s="42"/>
      <c r="P261" s="42"/>
      <c r="Q261" s="42"/>
      <c r="R261" s="42"/>
      <c r="S261" s="42"/>
      <c r="T261" s="42"/>
      <c r="U261" s="42"/>
      <c r="V261" s="42"/>
      <c r="W261" s="42"/>
      <c r="X261" s="42"/>
      <c r="Y261" s="42"/>
      <c r="Z261" s="42"/>
    </row>
    <row r="262" ht="15.75" customHeight="1">
      <c r="A262" s="42"/>
      <c r="B262" s="42"/>
      <c r="C262" s="42"/>
      <c r="D262" s="42"/>
      <c r="E262" s="42"/>
      <c r="F262" s="42"/>
      <c r="G262" s="42"/>
      <c r="H262" s="63"/>
      <c r="I262" s="42"/>
      <c r="J262" s="42"/>
      <c r="K262" s="42"/>
      <c r="L262" s="42"/>
      <c r="M262" s="42"/>
      <c r="N262" s="42"/>
      <c r="O262" s="42"/>
      <c r="P262" s="42"/>
      <c r="Q262" s="42"/>
      <c r="R262" s="42"/>
      <c r="S262" s="42"/>
      <c r="T262" s="42"/>
      <c r="U262" s="42"/>
      <c r="V262" s="42"/>
      <c r="W262" s="42"/>
      <c r="X262" s="42"/>
      <c r="Y262" s="42"/>
      <c r="Z262" s="42"/>
    </row>
    <row r="263" ht="15.75" customHeight="1">
      <c r="A263" s="42"/>
      <c r="B263" s="42"/>
      <c r="C263" s="42"/>
      <c r="D263" s="42"/>
      <c r="E263" s="42"/>
      <c r="F263" s="42"/>
      <c r="G263" s="42"/>
      <c r="H263" s="63"/>
      <c r="I263" s="42"/>
      <c r="J263" s="42"/>
      <c r="K263" s="42"/>
      <c r="L263" s="42"/>
      <c r="M263" s="42"/>
      <c r="N263" s="42"/>
      <c r="O263" s="42"/>
      <c r="P263" s="42"/>
      <c r="Q263" s="42"/>
      <c r="R263" s="42"/>
      <c r="S263" s="42"/>
      <c r="T263" s="42"/>
      <c r="U263" s="42"/>
      <c r="V263" s="42"/>
      <c r="W263" s="42"/>
      <c r="X263" s="42"/>
      <c r="Y263" s="42"/>
      <c r="Z263" s="42"/>
    </row>
    <row r="264" ht="15.75" customHeight="1">
      <c r="A264" s="42"/>
      <c r="B264" s="42"/>
      <c r="C264" s="42"/>
      <c r="D264" s="42"/>
      <c r="E264" s="42"/>
      <c r="F264" s="42"/>
      <c r="G264" s="42"/>
      <c r="H264" s="63"/>
      <c r="I264" s="42"/>
      <c r="J264" s="42"/>
      <c r="K264" s="42"/>
      <c r="L264" s="42"/>
      <c r="M264" s="42"/>
      <c r="N264" s="42"/>
      <c r="O264" s="42"/>
      <c r="P264" s="42"/>
      <c r="Q264" s="42"/>
      <c r="R264" s="42"/>
      <c r="S264" s="42"/>
      <c r="T264" s="42"/>
      <c r="U264" s="42"/>
      <c r="V264" s="42"/>
      <c r="W264" s="42"/>
      <c r="X264" s="42"/>
      <c r="Y264" s="42"/>
      <c r="Z264" s="42"/>
    </row>
    <row r="265" ht="15.75" customHeight="1">
      <c r="A265" s="42"/>
      <c r="B265" s="42"/>
      <c r="C265" s="42"/>
      <c r="D265" s="42"/>
      <c r="E265" s="42"/>
      <c r="F265" s="42"/>
      <c r="G265" s="42"/>
      <c r="H265" s="63"/>
      <c r="I265" s="42"/>
      <c r="J265" s="42"/>
      <c r="K265" s="42"/>
      <c r="L265" s="42"/>
      <c r="M265" s="42"/>
      <c r="N265" s="42"/>
      <c r="O265" s="42"/>
      <c r="P265" s="42"/>
      <c r="Q265" s="42"/>
      <c r="R265" s="42"/>
      <c r="S265" s="42"/>
      <c r="T265" s="42"/>
      <c r="U265" s="42"/>
      <c r="V265" s="42"/>
      <c r="W265" s="42"/>
      <c r="X265" s="42"/>
      <c r="Y265" s="42"/>
      <c r="Z265" s="42"/>
    </row>
    <row r="266" ht="15.75" customHeight="1">
      <c r="A266" s="42"/>
      <c r="B266" s="42"/>
      <c r="C266" s="42"/>
      <c r="D266" s="42"/>
      <c r="E266" s="42"/>
      <c r="F266" s="42"/>
      <c r="G266" s="42"/>
      <c r="H266" s="63"/>
      <c r="I266" s="42"/>
      <c r="J266" s="42"/>
      <c r="K266" s="42"/>
      <c r="L266" s="42"/>
      <c r="M266" s="42"/>
      <c r="N266" s="42"/>
      <c r="O266" s="42"/>
      <c r="P266" s="42"/>
      <c r="Q266" s="42"/>
      <c r="R266" s="42"/>
      <c r="S266" s="42"/>
      <c r="T266" s="42"/>
      <c r="U266" s="42"/>
      <c r="V266" s="42"/>
      <c r="W266" s="42"/>
      <c r="X266" s="42"/>
      <c r="Y266" s="42"/>
      <c r="Z266" s="42"/>
    </row>
    <row r="267" ht="15.75" customHeight="1">
      <c r="A267" s="42"/>
      <c r="B267" s="42"/>
      <c r="C267" s="42"/>
      <c r="D267" s="42"/>
      <c r="E267" s="42"/>
      <c r="F267" s="42"/>
      <c r="G267" s="42"/>
      <c r="H267" s="63"/>
      <c r="I267" s="42"/>
      <c r="J267" s="42"/>
      <c r="K267" s="42"/>
      <c r="L267" s="42"/>
      <c r="M267" s="42"/>
      <c r="N267" s="42"/>
      <c r="O267" s="42"/>
      <c r="P267" s="42"/>
      <c r="Q267" s="42"/>
      <c r="R267" s="42"/>
      <c r="S267" s="42"/>
      <c r="T267" s="42"/>
      <c r="U267" s="42"/>
      <c r="V267" s="42"/>
      <c r="W267" s="42"/>
      <c r="X267" s="42"/>
      <c r="Y267" s="42"/>
      <c r="Z267" s="42"/>
    </row>
    <row r="268" ht="15.75" customHeight="1">
      <c r="A268" s="42"/>
      <c r="B268" s="42"/>
      <c r="C268" s="42"/>
      <c r="D268" s="42"/>
      <c r="E268" s="42"/>
      <c r="F268" s="42"/>
      <c r="G268" s="42"/>
      <c r="H268" s="63"/>
      <c r="I268" s="42"/>
      <c r="J268" s="42"/>
      <c r="K268" s="42"/>
      <c r="L268" s="42"/>
      <c r="M268" s="42"/>
      <c r="N268" s="42"/>
      <c r="O268" s="42"/>
      <c r="P268" s="42"/>
      <c r="Q268" s="42"/>
      <c r="R268" s="42"/>
      <c r="S268" s="42"/>
      <c r="T268" s="42"/>
      <c r="U268" s="42"/>
      <c r="V268" s="42"/>
      <c r="W268" s="42"/>
      <c r="X268" s="42"/>
      <c r="Y268" s="42"/>
      <c r="Z268" s="42"/>
    </row>
    <row r="269" ht="15.75" customHeight="1">
      <c r="A269" s="42"/>
      <c r="B269" s="42"/>
      <c r="C269" s="42"/>
      <c r="D269" s="42"/>
      <c r="E269" s="42"/>
      <c r="F269" s="42"/>
      <c r="G269" s="42"/>
      <c r="H269" s="63"/>
      <c r="I269" s="42"/>
      <c r="J269" s="42"/>
      <c r="K269" s="42"/>
      <c r="L269" s="42"/>
      <c r="M269" s="42"/>
      <c r="N269" s="42"/>
      <c r="O269" s="42"/>
      <c r="P269" s="42"/>
      <c r="Q269" s="42"/>
      <c r="R269" s="42"/>
      <c r="S269" s="42"/>
      <c r="T269" s="42"/>
      <c r="U269" s="42"/>
      <c r="V269" s="42"/>
      <c r="W269" s="42"/>
      <c r="X269" s="42"/>
      <c r="Y269" s="42"/>
      <c r="Z269" s="42"/>
    </row>
    <row r="270" ht="15.75" customHeight="1">
      <c r="A270" s="42"/>
      <c r="B270" s="42"/>
      <c r="C270" s="42"/>
      <c r="D270" s="42"/>
      <c r="E270" s="42"/>
      <c r="F270" s="42"/>
      <c r="G270" s="42"/>
      <c r="H270" s="63"/>
      <c r="I270" s="42"/>
      <c r="J270" s="42"/>
      <c r="K270" s="42"/>
      <c r="L270" s="42"/>
      <c r="M270" s="42"/>
      <c r="N270" s="42"/>
      <c r="O270" s="42"/>
      <c r="P270" s="42"/>
      <c r="Q270" s="42"/>
      <c r="R270" s="42"/>
      <c r="S270" s="42"/>
      <c r="T270" s="42"/>
      <c r="U270" s="42"/>
      <c r="V270" s="42"/>
      <c r="W270" s="42"/>
      <c r="X270" s="42"/>
      <c r="Y270" s="42"/>
      <c r="Z270" s="42"/>
    </row>
    <row r="271" ht="15.75" customHeight="1">
      <c r="A271" s="42"/>
      <c r="B271" s="42"/>
      <c r="C271" s="42"/>
      <c r="D271" s="42"/>
      <c r="E271" s="42"/>
      <c r="F271" s="42"/>
      <c r="G271" s="42"/>
      <c r="H271" s="63"/>
      <c r="I271" s="42"/>
      <c r="J271" s="42"/>
      <c r="K271" s="42"/>
      <c r="L271" s="42"/>
      <c r="M271" s="42"/>
      <c r="N271" s="42"/>
      <c r="O271" s="42"/>
      <c r="P271" s="42"/>
      <c r="Q271" s="42"/>
      <c r="R271" s="42"/>
      <c r="S271" s="42"/>
      <c r="T271" s="42"/>
      <c r="U271" s="42"/>
      <c r="V271" s="42"/>
      <c r="W271" s="42"/>
      <c r="X271" s="42"/>
      <c r="Y271" s="42"/>
      <c r="Z271" s="42"/>
    </row>
    <row r="272" ht="15.75" customHeight="1">
      <c r="A272" s="42"/>
      <c r="B272" s="42"/>
      <c r="C272" s="42"/>
      <c r="D272" s="42"/>
      <c r="E272" s="42"/>
      <c r="F272" s="42"/>
      <c r="G272" s="42"/>
      <c r="H272" s="63"/>
      <c r="I272" s="42"/>
      <c r="J272" s="42"/>
      <c r="K272" s="42"/>
      <c r="L272" s="42"/>
      <c r="M272" s="42"/>
      <c r="N272" s="42"/>
      <c r="O272" s="42"/>
      <c r="P272" s="42"/>
      <c r="Q272" s="42"/>
      <c r="R272" s="42"/>
      <c r="S272" s="42"/>
      <c r="T272" s="42"/>
      <c r="U272" s="42"/>
      <c r="V272" s="42"/>
      <c r="W272" s="42"/>
      <c r="X272" s="42"/>
      <c r="Y272" s="42"/>
      <c r="Z272" s="42"/>
    </row>
    <row r="273" ht="15.75" customHeight="1">
      <c r="A273" s="42"/>
      <c r="B273" s="42"/>
      <c r="C273" s="42"/>
      <c r="D273" s="42"/>
      <c r="E273" s="42"/>
      <c r="F273" s="42"/>
      <c r="G273" s="42"/>
      <c r="H273" s="63"/>
      <c r="I273" s="42"/>
      <c r="J273" s="42"/>
      <c r="K273" s="42"/>
      <c r="L273" s="42"/>
      <c r="M273" s="42"/>
      <c r="N273" s="42"/>
      <c r="O273" s="42"/>
      <c r="P273" s="42"/>
      <c r="Q273" s="42"/>
      <c r="R273" s="42"/>
      <c r="S273" s="42"/>
      <c r="T273" s="42"/>
      <c r="U273" s="42"/>
      <c r="V273" s="42"/>
      <c r="W273" s="42"/>
      <c r="X273" s="42"/>
      <c r="Y273" s="42"/>
      <c r="Z273" s="42"/>
    </row>
    <row r="274" ht="15.75" customHeight="1">
      <c r="A274" s="42"/>
      <c r="B274" s="42"/>
      <c r="C274" s="42"/>
      <c r="D274" s="42"/>
      <c r="E274" s="42"/>
      <c r="F274" s="42"/>
      <c r="G274" s="42"/>
      <c r="H274" s="63"/>
      <c r="I274" s="42"/>
      <c r="J274" s="42"/>
      <c r="K274" s="42"/>
      <c r="L274" s="42"/>
      <c r="M274" s="42"/>
      <c r="N274" s="42"/>
      <c r="O274" s="42"/>
      <c r="P274" s="42"/>
      <c r="Q274" s="42"/>
      <c r="R274" s="42"/>
      <c r="S274" s="42"/>
      <c r="T274" s="42"/>
      <c r="U274" s="42"/>
      <c r="V274" s="42"/>
      <c r="W274" s="42"/>
      <c r="X274" s="42"/>
      <c r="Y274" s="42"/>
      <c r="Z274" s="42"/>
    </row>
    <row r="275" ht="15.75" customHeight="1">
      <c r="A275" s="42"/>
      <c r="B275" s="42"/>
      <c r="C275" s="42"/>
      <c r="D275" s="42"/>
      <c r="E275" s="42"/>
      <c r="F275" s="42"/>
      <c r="G275" s="42"/>
      <c r="H275" s="63"/>
      <c r="I275" s="42"/>
      <c r="J275" s="42"/>
      <c r="K275" s="42"/>
      <c r="L275" s="42"/>
      <c r="M275" s="42"/>
      <c r="N275" s="42"/>
      <c r="O275" s="42"/>
      <c r="P275" s="42"/>
      <c r="Q275" s="42"/>
      <c r="R275" s="42"/>
      <c r="S275" s="42"/>
      <c r="T275" s="42"/>
      <c r="U275" s="42"/>
      <c r="V275" s="42"/>
      <c r="W275" s="42"/>
      <c r="X275" s="42"/>
      <c r="Y275" s="42"/>
      <c r="Z275" s="42"/>
    </row>
    <row r="276" ht="15.75" customHeight="1">
      <c r="A276" s="42"/>
      <c r="B276" s="42"/>
      <c r="C276" s="42"/>
      <c r="D276" s="42"/>
      <c r="E276" s="42"/>
      <c r="F276" s="42"/>
      <c r="G276" s="42"/>
      <c r="H276" s="63"/>
      <c r="I276" s="42"/>
      <c r="J276" s="42"/>
      <c r="K276" s="42"/>
      <c r="L276" s="42"/>
      <c r="M276" s="42"/>
      <c r="N276" s="42"/>
      <c r="O276" s="42"/>
      <c r="P276" s="42"/>
      <c r="Q276" s="42"/>
      <c r="R276" s="42"/>
      <c r="S276" s="42"/>
      <c r="T276" s="42"/>
      <c r="U276" s="42"/>
      <c r="V276" s="42"/>
      <c r="W276" s="42"/>
      <c r="X276" s="42"/>
      <c r="Y276" s="42"/>
      <c r="Z276" s="42"/>
    </row>
    <row r="277" ht="15.75" customHeight="1">
      <c r="A277" s="42"/>
      <c r="B277" s="42"/>
      <c r="C277" s="42"/>
      <c r="D277" s="42"/>
      <c r="E277" s="42"/>
      <c r="F277" s="42"/>
      <c r="G277" s="42"/>
      <c r="H277" s="63"/>
      <c r="I277" s="42"/>
      <c r="J277" s="42"/>
      <c r="K277" s="42"/>
      <c r="L277" s="42"/>
      <c r="M277" s="42"/>
      <c r="N277" s="42"/>
      <c r="O277" s="42"/>
      <c r="P277" s="42"/>
      <c r="Q277" s="42"/>
      <c r="R277" s="42"/>
      <c r="S277" s="42"/>
      <c r="T277" s="42"/>
      <c r="U277" s="42"/>
      <c r="V277" s="42"/>
      <c r="W277" s="42"/>
      <c r="X277" s="42"/>
      <c r="Y277" s="42"/>
      <c r="Z277" s="42"/>
    </row>
    <row r="278" ht="15.75" customHeight="1">
      <c r="A278" s="42"/>
      <c r="B278" s="42"/>
      <c r="C278" s="42"/>
      <c r="D278" s="42"/>
      <c r="E278" s="42"/>
      <c r="F278" s="42"/>
      <c r="G278" s="42"/>
      <c r="H278" s="63"/>
      <c r="I278" s="42"/>
      <c r="J278" s="42"/>
      <c r="K278" s="42"/>
      <c r="L278" s="42"/>
      <c r="M278" s="42"/>
      <c r="N278" s="42"/>
      <c r="O278" s="42"/>
      <c r="P278" s="42"/>
      <c r="Q278" s="42"/>
      <c r="R278" s="42"/>
      <c r="S278" s="42"/>
      <c r="T278" s="42"/>
      <c r="U278" s="42"/>
      <c r="V278" s="42"/>
      <c r="W278" s="42"/>
      <c r="X278" s="42"/>
      <c r="Y278" s="42"/>
      <c r="Z278" s="42"/>
    </row>
    <row r="279" ht="15.75" customHeight="1">
      <c r="A279" s="42"/>
      <c r="B279" s="42"/>
      <c r="C279" s="42"/>
      <c r="D279" s="42"/>
      <c r="E279" s="42"/>
      <c r="F279" s="42"/>
      <c r="G279" s="42"/>
      <c r="H279" s="63"/>
      <c r="I279" s="42"/>
      <c r="J279" s="42"/>
      <c r="K279" s="42"/>
      <c r="L279" s="42"/>
      <c r="M279" s="42"/>
      <c r="N279" s="42"/>
      <c r="O279" s="42"/>
      <c r="P279" s="42"/>
      <c r="Q279" s="42"/>
      <c r="R279" s="42"/>
      <c r="S279" s="42"/>
      <c r="T279" s="42"/>
      <c r="U279" s="42"/>
      <c r="V279" s="42"/>
      <c r="W279" s="42"/>
      <c r="X279" s="42"/>
      <c r="Y279" s="42"/>
      <c r="Z279" s="42"/>
    </row>
    <row r="280" ht="15.75" customHeight="1">
      <c r="A280" s="42"/>
      <c r="B280" s="42"/>
      <c r="C280" s="42"/>
      <c r="D280" s="42"/>
      <c r="E280" s="42"/>
      <c r="F280" s="42"/>
      <c r="G280" s="42"/>
      <c r="H280" s="63"/>
      <c r="I280" s="42"/>
      <c r="J280" s="42"/>
      <c r="K280" s="42"/>
      <c r="L280" s="42"/>
      <c r="M280" s="42"/>
      <c r="N280" s="42"/>
      <c r="O280" s="42"/>
      <c r="P280" s="42"/>
      <c r="Q280" s="42"/>
      <c r="R280" s="42"/>
      <c r="S280" s="42"/>
      <c r="T280" s="42"/>
      <c r="U280" s="42"/>
      <c r="V280" s="42"/>
      <c r="W280" s="42"/>
      <c r="X280" s="42"/>
      <c r="Y280" s="42"/>
      <c r="Z280" s="42"/>
    </row>
    <row r="281" ht="15.75" customHeight="1">
      <c r="A281" s="42"/>
      <c r="B281" s="42"/>
      <c r="C281" s="42"/>
      <c r="D281" s="42"/>
      <c r="E281" s="42"/>
      <c r="F281" s="42"/>
      <c r="G281" s="42"/>
      <c r="H281" s="63"/>
      <c r="I281" s="42"/>
      <c r="J281" s="42"/>
      <c r="K281" s="42"/>
      <c r="L281" s="42"/>
      <c r="M281" s="42"/>
      <c r="N281" s="42"/>
      <c r="O281" s="42"/>
      <c r="P281" s="42"/>
      <c r="Q281" s="42"/>
      <c r="R281" s="42"/>
      <c r="S281" s="42"/>
      <c r="T281" s="42"/>
      <c r="U281" s="42"/>
      <c r="V281" s="42"/>
      <c r="W281" s="42"/>
      <c r="X281" s="42"/>
      <c r="Y281" s="42"/>
      <c r="Z281" s="42"/>
    </row>
    <row r="282" ht="15.75" customHeight="1">
      <c r="A282" s="42"/>
      <c r="B282" s="42"/>
      <c r="C282" s="42"/>
      <c r="D282" s="42"/>
      <c r="E282" s="42"/>
      <c r="F282" s="42"/>
      <c r="G282" s="42"/>
      <c r="H282" s="63"/>
      <c r="I282" s="42"/>
      <c r="J282" s="42"/>
      <c r="K282" s="42"/>
      <c r="L282" s="42"/>
      <c r="M282" s="42"/>
      <c r="N282" s="42"/>
      <c r="O282" s="42"/>
      <c r="P282" s="42"/>
      <c r="Q282" s="42"/>
      <c r="R282" s="42"/>
      <c r="S282" s="42"/>
      <c r="T282" s="42"/>
      <c r="U282" s="42"/>
      <c r="V282" s="42"/>
      <c r="W282" s="42"/>
      <c r="X282" s="42"/>
      <c r="Y282" s="42"/>
      <c r="Z282" s="42"/>
    </row>
    <row r="283" ht="15.75" customHeight="1">
      <c r="A283" s="42"/>
      <c r="B283" s="42"/>
      <c r="C283" s="42"/>
      <c r="D283" s="42"/>
      <c r="E283" s="42"/>
      <c r="F283" s="42"/>
      <c r="G283" s="42"/>
      <c r="H283" s="63"/>
      <c r="I283" s="42"/>
      <c r="J283" s="42"/>
      <c r="K283" s="42"/>
      <c r="L283" s="42"/>
      <c r="M283" s="42"/>
      <c r="N283" s="42"/>
      <c r="O283" s="42"/>
      <c r="P283" s="42"/>
      <c r="Q283" s="42"/>
      <c r="R283" s="42"/>
      <c r="S283" s="42"/>
      <c r="T283" s="42"/>
      <c r="U283" s="42"/>
      <c r="V283" s="42"/>
      <c r="W283" s="42"/>
      <c r="X283" s="42"/>
      <c r="Y283" s="42"/>
      <c r="Z283" s="42"/>
    </row>
    <row r="284" ht="15.75" customHeight="1">
      <c r="A284" s="42"/>
      <c r="B284" s="42"/>
      <c r="C284" s="42"/>
      <c r="D284" s="42"/>
      <c r="E284" s="42"/>
      <c r="F284" s="42"/>
      <c r="G284" s="42"/>
      <c r="H284" s="63"/>
      <c r="I284" s="42"/>
      <c r="J284" s="42"/>
      <c r="K284" s="42"/>
      <c r="L284" s="42"/>
      <c r="M284" s="42"/>
      <c r="N284" s="42"/>
      <c r="O284" s="42"/>
      <c r="P284" s="42"/>
      <c r="Q284" s="42"/>
      <c r="R284" s="42"/>
      <c r="S284" s="42"/>
      <c r="T284" s="42"/>
      <c r="U284" s="42"/>
      <c r="V284" s="42"/>
      <c r="W284" s="42"/>
      <c r="X284" s="42"/>
      <c r="Y284" s="42"/>
      <c r="Z284" s="42"/>
    </row>
    <row r="285" ht="15.75" customHeight="1">
      <c r="A285" s="42"/>
      <c r="B285" s="42"/>
      <c r="C285" s="42"/>
      <c r="D285" s="42"/>
      <c r="E285" s="42"/>
      <c r="F285" s="42"/>
      <c r="G285" s="42"/>
      <c r="H285" s="63"/>
      <c r="I285" s="42"/>
      <c r="J285" s="42"/>
      <c r="K285" s="42"/>
      <c r="L285" s="42"/>
      <c r="M285" s="42"/>
      <c r="N285" s="42"/>
      <c r="O285" s="42"/>
      <c r="P285" s="42"/>
      <c r="Q285" s="42"/>
      <c r="R285" s="42"/>
      <c r="S285" s="42"/>
      <c r="T285" s="42"/>
      <c r="U285" s="42"/>
      <c r="V285" s="42"/>
      <c r="W285" s="42"/>
      <c r="X285" s="42"/>
      <c r="Y285" s="42"/>
      <c r="Z285" s="42"/>
    </row>
    <row r="286" ht="15.75" customHeight="1">
      <c r="A286" s="42"/>
      <c r="B286" s="42"/>
      <c r="C286" s="42"/>
      <c r="D286" s="42"/>
      <c r="E286" s="42"/>
      <c r="F286" s="42"/>
      <c r="G286" s="42"/>
      <c r="H286" s="63"/>
      <c r="I286" s="42"/>
      <c r="J286" s="42"/>
      <c r="K286" s="42"/>
      <c r="L286" s="42"/>
      <c r="M286" s="42"/>
      <c r="N286" s="42"/>
      <c r="O286" s="42"/>
      <c r="P286" s="42"/>
      <c r="Q286" s="42"/>
      <c r="R286" s="42"/>
      <c r="S286" s="42"/>
      <c r="T286" s="42"/>
      <c r="U286" s="42"/>
      <c r="V286" s="42"/>
      <c r="W286" s="42"/>
      <c r="X286" s="42"/>
      <c r="Y286" s="42"/>
      <c r="Z286" s="42"/>
    </row>
    <row r="287" ht="15.75" customHeight="1">
      <c r="A287" s="42"/>
      <c r="B287" s="42"/>
      <c r="C287" s="42"/>
      <c r="D287" s="42"/>
      <c r="E287" s="42"/>
      <c r="F287" s="42"/>
      <c r="G287" s="42"/>
      <c r="H287" s="63"/>
      <c r="I287" s="42"/>
      <c r="J287" s="42"/>
      <c r="K287" s="42"/>
      <c r="L287" s="42"/>
      <c r="M287" s="42"/>
      <c r="N287" s="42"/>
      <c r="O287" s="42"/>
      <c r="P287" s="42"/>
      <c r="Q287" s="42"/>
      <c r="R287" s="42"/>
      <c r="S287" s="42"/>
      <c r="T287" s="42"/>
      <c r="U287" s="42"/>
      <c r="V287" s="42"/>
      <c r="W287" s="42"/>
      <c r="X287" s="42"/>
      <c r="Y287" s="42"/>
      <c r="Z287" s="42"/>
    </row>
    <row r="288" ht="15.75" customHeight="1">
      <c r="A288" s="42"/>
      <c r="B288" s="42"/>
      <c r="C288" s="42"/>
      <c r="D288" s="42"/>
      <c r="E288" s="42"/>
      <c r="F288" s="42"/>
      <c r="G288" s="42"/>
      <c r="H288" s="63"/>
      <c r="I288" s="42"/>
      <c r="J288" s="42"/>
      <c r="K288" s="42"/>
      <c r="L288" s="42"/>
      <c r="M288" s="42"/>
      <c r="N288" s="42"/>
      <c r="O288" s="42"/>
      <c r="P288" s="42"/>
      <c r="Q288" s="42"/>
      <c r="R288" s="42"/>
      <c r="S288" s="42"/>
      <c r="T288" s="42"/>
      <c r="U288" s="42"/>
      <c r="V288" s="42"/>
      <c r="W288" s="42"/>
      <c r="X288" s="42"/>
      <c r="Y288" s="42"/>
      <c r="Z288" s="42"/>
    </row>
    <row r="289" ht="15.75" customHeight="1">
      <c r="A289" s="42"/>
      <c r="B289" s="42"/>
      <c r="C289" s="42"/>
      <c r="D289" s="42"/>
      <c r="E289" s="42"/>
      <c r="F289" s="42"/>
      <c r="G289" s="42"/>
      <c r="H289" s="63"/>
      <c r="I289" s="42"/>
      <c r="J289" s="42"/>
      <c r="K289" s="42"/>
      <c r="L289" s="42"/>
      <c r="M289" s="42"/>
      <c r="N289" s="42"/>
      <c r="O289" s="42"/>
      <c r="P289" s="42"/>
      <c r="Q289" s="42"/>
      <c r="R289" s="42"/>
      <c r="S289" s="42"/>
      <c r="T289" s="42"/>
      <c r="U289" s="42"/>
      <c r="V289" s="42"/>
      <c r="W289" s="42"/>
      <c r="X289" s="42"/>
      <c r="Y289" s="42"/>
      <c r="Z289" s="42"/>
    </row>
    <row r="290" ht="15.75" customHeight="1">
      <c r="A290" s="42"/>
      <c r="B290" s="42"/>
      <c r="C290" s="42"/>
      <c r="D290" s="42"/>
      <c r="E290" s="42"/>
      <c r="F290" s="42"/>
      <c r="G290" s="42"/>
      <c r="H290" s="63"/>
      <c r="I290" s="42"/>
      <c r="J290" s="42"/>
      <c r="K290" s="42"/>
      <c r="L290" s="42"/>
      <c r="M290" s="42"/>
      <c r="N290" s="42"/>
      <c r="O290" s="42"/>
      <c r="P290" s="42"/>
      <c r="Q290" s="42"/>
      <c r="R290" s="42"/>
      <c r="S290" s="42"/>
      <c r="T290" s="42"/>
      <c r="U290" s="42"/>
      <c r="V290" s="42"/>
      <c r="W290" s="42"/>
      <c r="X290" s="42"/>
      <c r="Y290" s="42"/>
      <c r="Z290" s="42"/>
    </row>
    <row r="291" ht="15.75" customHeight="1">
      <c r="A291" s="42"/>
      <c r="B291" s="42"/>
      <c r="C291" s="42"/>
      <c r="D291" s="42"/>
      <c r="E291" s="42"/>
      <c r="F291" s="42"/>
      <c r="G291" s="42"/>
      <c r="H291" s="63"/>
      <c r="I291" s="42"/>
      <c r="J291" s="42"/>
      <c r="K291" s="42"/>
      <c r="L291" s="42"/>
      <c r="M291" s="42"/>
      <c r="N291" s="42"/>
      <c r="O291" s="42"/>
      <c r="P291" s="42"/>
      <c r="Q291" s="42"/>
      <c r="R291" s="42"/>
      <c r="S291" s="42"/>
      <c r="T291" s="42"/>
      <c r="U291" s="42"/>
      <c r="V291" s="42"/>
      <c r="W291" s="42"/>
      <c r="X291" s="42"/>
      <c r="Y291" s="42"/>
      <c r="Z291" s="42"/>
    </row>
    <row r="292" ht="15.75" customHeight="1">
      <c r="A292" s="42"/>
      <c r="B292" s="42"/>
      <c r="C292" s="42"/>
      <c r="D292" s="42"/>
      <c r="E292" s="42"/>
      <c r="F292" s="42"/>
      <c r="G292" s="42"/>
      <c r="H292" s="63"/>
      <c r="I292" s="42"/>
      <c r="J292" s="42"/>
      <c r="K292" s="42"/>
      <c r="L292" s="42"/>
      <c r="M292" s="42"/>
      <c r="N292" s="42"/>
      <c r="O292" s="42"/>
      <c r="P292" s="42"/>
      <c r="Q292" s="42"/>
      <c r="R292" s="42"/>
      <c r="S292" s="42"/>
      <c r="T292" s="42"/>
      <c r="U292" s="42"/>
      <c r="V292" s="42"/>
      <c r="W292" s="42"/>
      <c r="X292" s="42"/>
      <c r="Y292" s="42"/>
      <c r="Z292" s="42"/>
    </row>
    <row r="293" ht="15.75" customHeight="1">
      <c r="A293" s="42"/>
      <c r="B293" s="42"/>
      <c r="C293" s="42"/>
      <c r="D293" s="42"/>
      <c r="E293" s="42"/>
      <c r="F293" s="42"/>
      <c r="G293" s="42"/>
      <c r="H293" s="63"/>
      <c r="I293" s="42"/>
      <c r="J293" s="42"/>
      <c r="K293" s="42"/>
      <c r="L293" s="42"/>
      <c r="M293" s="42"/>
      <c r="N293" s="42"/>
      <c r="O293" s="42"/>
      <c r="P293" s="42"/>
      <c r="Q293" s="42"/>
      <c r="R293" s="42"/>
      <c r="S293" s="42"/>
      <c r="T293" s="42"/>
      <c r="U293" s="42"/>
      <c r="V293" s="42"/>
      <c r="W293" s="42"/>
      <c r="X293" s="42"/>
      <c r="Y293" s="42"/>
      <c r="Z293" s="42"/>
    </row>
    <row r="294" ht="15.75" customHeight="1">
      <c r="A294" s="42"/>
      <c r="B294" s="42"/>
      <c r="C294" s="42"/>
      <c r="D294" s="42"/>
      <c r="E294" s="42"/>
      <c r="F294" s="42"/>
      <c r="G294" s="42"/>
      <c r="H294" s="63"/>
      <c r="I294" s="42"/>
      <c r="J294" s="42"/>
      <c r="K294" s="42"/>
      <c r="L294" s="42"/>
      <c r="M294" s="42"/>
      <c r="N294" s="42"/>
      <c r="O294" s="42"/>
      <c r="P294" s="42"/>
      <c r="Q294" s="42"/>
      <c r="R294" s="42"/>
      <c r="S294" s="42"/>
      <c r="T294" s="42"/>
      <c r="U294" s="42"/>
      <c r="V294" s="42"/>
      <c r="W294" s="42"/>
      <c r="X294" s="42"/>
      <c r="Y294" s="42"/>
      <c r="Z294" s="42"/>
    </row>
    <row r="295" ht="15.75" customHeight="1">
      <c r="A295" s="42"/>
      <c r="B295" s="42"/>
      <c r="C295" s="42"/>
      <c r="D295" s="42"/>
      <c r="E295" s="42"/>
      <c r="F295" s="42"/>
      <c r="G295" s="42"/>
      <c r="H295" s="63"/>
      <c r="I295" s="42"/>
      <c r="J295" s="42"/>
      <c r="K295" s="42"/>
      <c r="L295" s="42"/>
      <c r="M295" s="42"/>
      <c r="N295" s="42"/>
      <c r="O295" s="42"/>
      <c r="P295" s="42"/>
      <c r="Q295" s="42"/>
      <c r="R295" s="42"/>
      <c r="S295" s="42"/>
      <c r="T295" s="42"/>
      <c r="U295" s="42"/>
      <c r="V295" s="42"/>
      <c r="W295" s="42"/>
      <c r="X295" s="42"/>
      <c r="Y295" s="42"/>
      <c r="Z295" s="42"/>
    </row>
    <row r="296" ht="15.75" customHeight="1">
      <c r="A296" s="42"/>
      <c r="B296" s="42"/>
      <c r="C296" s="42"/>
      <c r="D296" s="42"/>
      <c r="E296" s="42"/>
      <c r="F296" s="42"/>
      <c r="G296" s="42"/>
      <c r="H296" s="63"/>
      <c r="I296" s="42"/>
      <c r="J296" s="42"/>
      <c r="K296" s="42"/>
      <c r="L296" s="42"/>
      <c r="M296" s="42"/>
      <c r="N296" s="42"/>
      <c r="O296" s="42"/>
      <c r="P296" s="42"/>
      <c r="Q296" s="42"/>
      <c r="R296" s="42"/>
      <c r="S296" s="42"/>
      <c r="T296" s="42"/>
      <c r="U296" s="42"/>
      <c r="V296" s="42"/>
      <c r="W296" s="42"/>
      <c r="X296" s="42"/>
      <c r="Y296" s="42"/>
      <c r="Z296" s="42"/>
    </row>
    <row r="297" ht="15.75" customHeight="1">
      <c r="A297" s="42"/>
      <c r="B297" s="42"/>
      <c r="C297" s="42"/>
      <c r="D297" s="42"/>
      <c r="E297" s="42"/>
      <c r="F297" s="42"/>
      <c r="G297" s="42"/>
      <c r="H297" s="63"/>
      <c r="I297" s="42"/>
      <c r="J297" s="42"/>
      <c r="K297" s="42"/>
      <c r="L297" s="42"/>
      <c r="M297" s="42"/>
      <c r="N297" s="42"/>
      <c r="O297" s="42"/>
      <c r="P297" s="42"/>
      <c r="Q297" s="42"/>
      <c r="R297" s="42"/>
      <c r="S297" s="42"/>
      <c r="T297" s="42"/>
      <c r="U297" s="42"/>
      <c r="V297" s="42"/>
      <c r="W297" s="42"/>
      <c r="X297" s="42"/>
      <c r="Y297" s="42"/>
      <c r="Z297" s="42"/>
    </row>
    <row r="298" ht="15.75" customHeight="1">
      <c r="A298" s="42"/>
      <c r="B298" s="42"/>
      <c r="C298" s="42"/>
      <c r="D298" s="42"/>
      <c r="E298" s="42"/>
      <c r="F298" s="42"/>
      <c r="G298" s="42"/>
      <c r="H298" s="63"/>
      <c r="I298" s="42"/>
      <c r="J298" s="42"/>
      <c r="K298" s="42"/>
      <c r="L298" s="42"/>
      <c r="M298" s="42"/>
      <c r="N298" s="42"/>
      <c r="O298" s="42"/>
      <c r="P298" s="42"/>
      <c r="Q298" s="42"/>
      <c r="R298" s="42"/>
      <c r="S298" s="42"/>
      <c r="T298" s="42"/>
      <c r="U298" s="42"/>
      <c r="V298" s="42"/>
      <c r="W298" s="42"/>
      <c r="X298" s="42"/>
      <c r="Y298" s="42"/>
      <c r="Z298" s="42"/>
    </row>
    <row r="299" ht="15.75" customHeight="1">
      <c r="A299" s="42"/>
      <c r="B299" s="42"/>
      <c r="C299" s="42"/>
      <c r="D299" s="42"/>
      <c r="E299" s="42"/>
      <c r="F299" s="42"/>
      <c r="G299" s="42"/>
      <c r="H299" s="63"/>
      <c r="I299" s="42"/>
      <c r="J299" s="42"/>
      <c r="K299" s="42"/>
      <c r="L299" s="42"/>
      <c r="M299" s="42"/>
      <c r="N299" s="42"/>
      <c r="O299" s="42"/>
      <c r="P299" s="42"/>
      <c r="Q299" s="42"/>
      <c r="R299" s="42"/>
      <c r="S299" s="42"/>
      <c r="T299" s="42"/>
      <c r="U299" s="42"/>
      <c r="V299" s="42"/>
      <c r="W299" s="42"/>
      <c r="X299" s="42"/>
      <c r="Y299" s="42"/>
      <c r="Z299" s="42"/>
    </row>
    <row r="300" ht="15.75" customHeight="1">
      <c r="A300" s="42"/>
      <c r="B300" s="42"/>
      <c r="C300" s="42"/>
      <c r="D300" s="42"/>
      <c r="E300" s="42"/>
      <c r="F300" s="42"/>
      <c r="G300" s="42"/>
      <c r="H300" s="63"/>
      <c r="I300" s="42"/>
      <c r="J300" s="42"/>
      <c r="K300" s="42"/>
      <c r="L300" s="42"/>
      <c r="M300" s="42"/>
      <c r="N300" s="42"/>
      <c r="O300" s="42"/>
      <c r="P300" s="42"/>
      <c r="Q300" s="42"/>
      <c r="R300" s="42"/>
      <c r="S300" s="42"/>
      <c r="T300" s="42"/>
      <c r="U300" s="42"/>
      <c r="V300" s="42"/>
      <c r="W300" s="42"/>
      <c r="X300" s="42"/>
      <c r="Y300" s="42"/>
      <c r="Z300" s="42"/>
    </row>
    <row r="301" ht="15.75" customHeight="1">
      <c r="A301" s="42"/>
      <c r="B301" s="42"/>
      <c r="C301" s="42"/>
      <c r="D301" s="42"/>
      <c r="E301" s="42"/>
      <c r="F301" s="42"/>
      <c r="G301" s="42"/>
      <c r="H301" s="63"/>
      <c r="I301" s="42"/>
      <c r="J301" s="42"/>
      <c r="K301" s="42"/>
      <c r="L301" s="42"/>
      <c r="M301" s="42"/>
      <c r="N301" s="42"/>
      <c r="O301" s="42"/>
      <c r="P301" s="42"/>
      <c r="Q301" s="42"/>
      <c r="R301" s="42"/>
      <c r="S301" s="42"/>
      <c r="T301" s="42"/>
      <c r="U301" s="42"/>
      <c r="V301" s="42"/>
      <c r="W301" s="42"/>
      <c r="X301" s="42"/>
      <c r="Y301" s="42"/>
      <c r="Z301" s="42"/>
    </row>
    <row r="302" ht="15.75" customHeight="1">
      <c r="A302" s="42"/>
      <c r="B302" s="42"/>
      <c r="C302" s="42"/>
      <c r="D302" s="42"/>
      <c r="E302" s="42"/>
      <c r="F302" s="42"/>
      <c r="G302" s="42"/>
      <c r="H302" s="63"/>
      <c r="I302" s="42"/>
      <c r="J302" s="42"/>
      <c r="K302" s="42"/>
      <c r="L302" s="42"/>
      <c r="M302" s="42"/>
      <c r="N302" s="42"/>
      <c r="O302" s="42"/>
      <c r="P302" s="42"/>
      <c r="Q302" s="42"/>
      <c r="R302" s="42"/>
      <c r="S302" s="42"/>
      <c r="T302" s="42"/>
      <c r="U302" s="42"/>
      <c r="V302" s="42"/>
      <c r="W302" s="42"/>
      <c r="X302" s="42"/>
      <c r="Y302" s="42"/>
      <c r="Z302" s="42"/>
    </row>
    <row r="303" ht="15.75" customHeight="1">
      <c r="A303" s="42"/>
      <c r="B303" s="42"/>
      <c r="C303" s="42"/>
      <c r="D303" s="42"/>
      <c r="E303" s="42"/>
      <c r="F303" s="42"/>
      <c r="G303" s="42"/>
      <c r="H303" s="63"/>
      <c r="I303" s="42"/>
      <c r="J303" s="42"/>
      <c r="K303" s="42"/>
      <c r="L303" s="42"/>
      <c r="M303" s="42"/>
      <c r="N303" s="42"/>
      <c r="O303" s="42"/>
      <c r="P303" s="42"/>
      <c r="Q303" s="42"/>
      <c r="R303" s="42"/>
      <c r="S303" s="42"/>
      <c r="T303" s="42"/>
      <c r="U303" s="42"/>
      <c r="V303" s="42"/>
      <c r="W303" s="42"/>
      <c r="X303" s="42"/>
      <c r="Y303" s="42"/>
      <c r="Z303" s="42"/>
    </row>
    <row r="304" ht="15.75" customHeight="1">
      <c r="A304" s="42"/>
      <c r="B304" s="42"/>
      <c r="C304" s="42"/>
      <c r="D304" s="42"/>
      <c r="E304" s="42"/>
      <c r="F304" s="42"/>
      <c r="G304" s="42"/>
      <c r="H304" s="63"/>
      <c r="I304" s="42"/>
      <c r="J304" s="42"/>
      <c r="K304" s="42"/>
      <c r="L304" s="42"/>
      <c r="M304" s="42"/>
      <c r="N304" s="42"/>
      <c r="O304" s="42"/>
      <c r="P304" s="42"/>
      <c r="Q304" s="42"/>
      <c r="R304" s="42"/>
      <c r="S304" s="42"/>
      <c r="T304" s="42"/>
      <c r="U304" s="42"/>
      <c r="V304" s="42"/>
      <c r="W304" s="42"/>
      <c r="X304" s="42"/>
      <c r="Y304" s="42"/>
      <c r="Z304" s="42"/>
    </row>
    <row r="305" ht="15.75" customHeight="1">
      <c r="A305" s="42"/>
      <c r="B305" s="42"/>
      <c r="C305" s="42"/>
      <c r="D305" s="42"/>
      <c r="E305" s="42"/>
      <c r="F305" s="42"/>
      <c r="G305" s="42"/>
      <c r="H305" s="63"/>
      <c r="I305" s="42"/>
      <c r="J305" s="42"/>
      <c r="K305" s="42"/>
      <c r="L305" s="42"/>
      <c r="M305" s="42"/>
      <c r="N305" s="42"/>
      <c r="O305" s="42"/>
      <c r="P305" s="42"/>
      <c r="Q305" s="42"/>
      <c r="R305" s="42"/>
      <c r="S305" s="42"/>
      <c r="T305" s="42"/>
      <c r="U305" s="42"/>
      <c r="V305" s="42"/>
      <c r="W305" s="42"/>
      <c r="X305" s="42"/>
      <c r="Y305" s="42"/>
      <c r="Z305" s="42"/>
    </row>
    <row r="306" ht="15.75" customHeight="1">
      <c r="A306" s="42"/>
      <c r="B306" s="42"/>
      <c r="C306" s="42"/>
      <c r="D306" s="42"/>
      <c r="E306" s="42"/>
      <c r="F306" s="42"/>
      <c r="G306" s="42"/>
      <c r="H306" s="63"/>
      <c r="I306" s="42"/>
      <c r="J306" s="42"/>
      <c r="K306" s="42"/>
      <c r="L306" s="42"/>
      <c r="M306" s="42"/>
      <c r="N306" s="42"/>
      <c r="O306" s="42"/>
      <c r="P306" s="42"/>
      <c r="Q306" s="42"/>
      <c r="R306" s="42"/>
      <c r="S306" s="42"/>
      <c r="T306" s="42"/>
      <c r="U306" s="42"/>
      <c r="V306" s="42"/>
      <c r="W306" s="42"/>
      <c r="X306" s="42"/>
      <c r="Y306" s="42"/>
      <c r="Z306" s="42"/>
    </row>
    <row r="307" ht="15.75" customHeight="1">
      <c r="A307" s="42"/>
      <c r="B307" s="42"/>
      <c r="C307" s="42"/>
      <c r="D307" s="42"/>
      <c r="E307" s="42"/>
      <c r="F307" s="42"/>
      <c r="G307" s="42"/>
      <c r="H307" s="63"/>
      <c r="I307" s="42"/>
      <c r="J307" s="42"/>
      <c r="K307" s="42"/>
      <c r="L307" s="42"/>
      <c r="M307" s="42"/>
      <c r="N307" s="42"/>
      <c r="O307" s="42"/>
      <c r="P307" s="42"/>
      <c r="Q307" s="42"/>
      <c r="R307" s="42"/>
      <c r="S307" s="42"/>
      <c r="T307" s="42"/>
      <c r="U307" s="42"/>
      <c r="V307" s="42"/>
      <c r="W307" s="42"/>
      <c r="X307" s="42"/>
      <c r="Y307" s="42"/>
      <c r="Z307" s="42"/>
    </row>
    <row r="308" ht="15.75" customHeight="1">
      <c r="A308" s="42"/>
      <c r="B308" s="42"/>
      <c r="C308" s="42"/>
      <c r="D308" s="42"/>
      <c r="E308" s="42"/>
      <c r="F308" s="42"/>
      <c r="G308" s="42"/>
      <c r="H308" s="63"/>
      <c r="I308" s="42"/>
      <c r="J308" s="42"/>
      <c r="K308" s="42"/>
      <c r="L308" s="42"/>
      <c r="M308" s="42"/>
      <c r="N308" s="42"/>
      <c r="O308" s="42"/>
      <c r="P308" s="42"/>
      <c r="Q308" s="42"/>
      <c r="R308" s="42"/>
      <c r="S308" s="42"/>
      <c r="T308" s="42"/>
      <c r="U308" s="42"/>
      <c r="V308" s="42"/>
      <c r="W308" s="42"/>
      <c r="X308" s="42"/>
      <c r="Y308" s="42"/>
      <c r="Z308" s="42"/>
    </row>
    <row r="309" ht="15.75" customHeight="1">
      <c r="A309" s="42"/>
      <c r="B309" s="42"/>
      <c r="C309" s="42"/>
      <c r="D309" s="42"/>
      <c r="E309" s="42"/>
      <c r="F309" s="42"/>
      <c r="G309" s="42"/>
      <c r="H309" s="63"/>
      <c r="I309" s="42"/>
      <c r="J309" s="42"/>
      <c r="K309" s="42"/>
      <c r="L309" s="42"/>
      <c r="M309" s="42"/>
      <c r="N309" s="42"/>
      <c r="O309" s="42"/>
      <c r="P309" s="42"/>
      <c r="Q309" s="42"/>
      <c r="R309" s="42"/>
      <c r="S309" s="42"/>
      <c r="T309" s="42"/>
      <c r="U309" s="42"/>
      <c r="V309" s="42"/>
      <c r="W309" s="42"/>
      <c r="X309" s="42"/>
      <c r="Y309" s="42"/>
      <c r="Z309" s="42"/>
    </row>
    <row r="310" ht="15.75" customHeight="1">
      <c r="A310" s="42"/>
      <c r="B310" s="42"/>
      <c r="C310" s="42"/>
      <c r="D310" s="42"/>
      <c r="E310" s="42"/>
      <c r="F310" s="42"/>
      <c r="G310" s="42"/>
      <c r="H310" s="63"/>
      <c r="I310" s="42"/>
      <c r="J310" s="42"/>
      <c r="K310" s="42"/>
      <c r="L310" s="42"/>
      <c r="M310" s="42"/>
      <c r="N310" s="42"/>
      <c r="O310" s="42"/>
      <c r="P310" s="42"/>
      <c r="Q310" s="42"/>
      <c r="R310" s="42"/>
      <c r="S310" s="42"/>
      <c r="T310" s="42"/>
      <c r="U310" s="42"/>
      <c r="V310" s="42"/>
      <c r="W310" s="42"/>
      <c r="X310" s="42"/>
      <c r="Y310" s="42"/>
      <c r="Z310" s="42"/>
    </row>
    <row r="311" ht="15.75" customHeight="1">
      <c r="A311" s="42"/>
      <c r="B311" s="42"/>
      <c r="C311" s="42"/>
      <c r="D311" s="42"/>
      <c r="E311" s="42"/>
      <c r="F311" s="42"/>
      <c r="G311" s="42"/>
      <c r="H311" s="63"/>
      <c r="I311" s="42"/>
      <c r="J311" s="42"/>
      <c r="K311" s="42"/>
      <c r="L311" s="42"/>
      <c r="M311" s="42"/>
      <c r="N311" s="42"/>
      <c r="O311" s="42"/>
      <c r="P311" s="42"/>
      <c r="Q311" s="42"/>
      <c r="R311" s="42"/>
      <c r="S311" s="42"/>
      <c r="T311" s="42"/>
      <c r="U311" s="42"/>
      <c r="V311" s="42"/>
      <c r="W311" s="42"/>
      <c r="X311" s="42"/>
      <c r="Y311" s="42"/>
      <c r="Z311" s="42"/>
    </row>
    <row r="312" ht="15.75" customHeight="1">
      <c r="A312" s="42"/>
      <c r="B312" s="42"/>
      <c r="C312" s="42"/>
      <c r="D312" s="42"/>
      <c r="E312" s="42"/>
      <c r="F312" s="42"/>
      <c r="G312" s="42"/>
      <c r="H312" s="63"/>
      <c r="I312" s="42"/>
      <c r="J312" s="42"/>
      <c r="K312" s="42"/>
      <c r="L312" s="42"/>
      <c r="M312" s="42"/>
      <c r="N312" s="42"/>
      <c r="O312" s="42"/>
      <c r="P312" s="42"/>
      <c r="Q312" s="42"/>
      <c r="R312" s="42"/>
      <c r="S312" s="42"/>
      <c r="T312" s="42"/>
      <c r="U312" s="42"/>
      <c r="V312" s="42"/>
      <c r="W312" s="42"/>
      <c r="X312" s="42"/>
      <c r="Y312" s="42"/>
      <c r="Z312" s="42"/>
    </row>
    <row r="313" ht="15.75" customHeight="1">
      <c r="A313" s="42"/>
      <c r="B313" s="42"/>
      <c r="C313" s="42"/>
      <c r="D313" s="42"/>
      <c r="E313" s="42"/>
      <c r="F313" s="42"/>
      <c r="G313" s="42"/>
      <c r="H313" s="63"/>
      <c r="I313" s="42"/>
      <c r="J313" s="42"/>
      <c r="K313" s="42"/>
      <c r="L313" s="42"/>
      <c r="M313" s="42"/>
      <c r="N313" s="42"/>
      <c r="O313" s="42"/>
      <c r="P313" s="42"/>
      <c r="Q313" s="42"/>
      <c r="R313" s="42"/>
      <c r="S313" s="42"/>
      <c r="T313" s="42"/>
      <c r="U313" s="42"/>
      <c r="V313" s="42"/>
      <c r="W313" s="42"/>
      <c r="X313" s="42"/>
      <c r="Y313" s="42"/>
      <c r="Z313" s="42"/>
    </row>
    <row r="314" ht="15.75" customHeight="1">
      <c r="A314" s="42"/>
      <c r="B314" s="42"/>
      <c r="C314" s="42"/>
      <c r="D314" s="42"/>
      <c r="E314" s="42"/>
      <c r="F314" s="42"/>
      <c r="G314" s="42"/>
      <c r="H314" s="63"/>
      <c r="I314" s="42"/>
      <c r="J314" s="42"/>
      <c r="K314" s="42"/>
      <c r="L314" s="42"/>
      <c r="M314" s="42"/>
      <c r="N314" s="42"/>
      <c r="O314" s="42"/>
      <c r="P314" s="42"/>
      <c r="Q314" s="42"/>
      <c r="R314" s="42"/>
      <c r="S314" s="42"/>
      <c r="T314" s="42"/>
      <c r="U314" s="42"/>
      <c r="V314" s="42"/>
      <c r="W314" s="42"/>
      <c r="X314" s="42"/>
      <c r="Y314" s="42"/>
      <c r="Z314" s="42"/>
    </row>
    <row r="315" ht="15.75" customHeight="1">
      <c r="A315" s="42"/>
      <c r="B315" s="42"/>
      <c r="C315" s="42"/>
      <c r="D315" s="42"/>
      <c r="E315" s="42"/>
      <c r="F315" s="42"/>
      <c r="G315" s="42"/>
      <c r="H315" s="63"/>
      <c r="I315" s="42"/>
      <c r="J315" s="42"/>
      <c r="K315" s="42"/>
      <c r="L315" s="42"/>
      <c r="M315" s="42"/>
      <c r="N315" s="42"/>
      <c r="O315" s="42"/>
      <c r="P315" s="42"/>
      <c r="Q315" s="42"/>
      <c r="R315" s="42"/>
      <c r="S315" s="42"/>
      <c r="T315" s="42"/>
      <c r="U315" s="42"/>
      <c r="V315" s="42"/>
      <c r="W315" s="42"/>
      <c r="X315" s="42"/>
      <c r="Y315" s="42"/>
      <c r="Z315" s="42"/>
    </row>
    <row r="316" ht="15.75" customHeight="1">
      <c r="A316" s="42"/>
      <c r="B316" s="42"/>
      <c r="C316" s="42"/>
      <c r="D316" s="42"/>
      <c r="E316" s="42"/>
      <c r="F316" s="42"/>
      <c r="G316" s="42"/>
      <c r="H316" s="63"/>
      <c r="I316" s="42"/>
      <c r="J316" s="42"/>
      <c r="K316" s="42"/>
      <c r="L316" s="42"/>
      <c r="M316" s="42"/>
      <c r="N316" s="42"/>
      <c r="O316" s="42"/>
      <c r="P316" s="42"/>
      <c r="Q316" s="42"/>
      <c r="R316" s="42"/>
      <c r="S316" s="42"/>
      <c r="T316" s="42"/>
      <c r="U316" s="42"/>
      <c r="V316" s="42"/>
      <c r="W316" s="42"/>
      <c r="X316" s="42"/>
      <c r="Y316" s="42"/>
      <c r="Z316" s="42"/>
    </row>
    <row r="317" ht="15.75" customHeight="1">
      <c r="A317" s="42"/>
      <c r="B317" s="42"/>
      <c r="C317" s="42"/>
      <c r="D317" s="42"/>
      <c r="E317" s="42"/>
      <c r="F317" s="42"/>
      <c r="G317" s="42"/>
      <c r="H317" s="63"/>
      <c r="I317" s="42"/>
      <c r="J317" s="42"/>
      <c r="K317" s="42"/>
      <c r="L317" s="42"/>
      <c r="M317" s="42"/>
      <c r="N317" s="42"/>
      <c r="O317" s="42"/>
      <c r="P317" s="42"/>
      <c r="Q317" s="42"/>
      <c r="R317" s="42"/>
      <c r="S317" s="42"/>
      <c r="T317" s="42"/>
      <c r="U317" s="42"/>
      <c r="V317" s="42"/>
      <c r="W317" s="42"/>
      <c r="X317" s="42"/>
      <c r="Y317" s="42"/>
      <c r="Z317" s="42"/>
    </row>
    <row r="318" ht="15.75" customHeight="1">
      <c r="A318" s="42"/>
      <c r="B318" s="42"/>
      <c r="C318" s="42"/>
      <c r="D318" s="42"/>
      <c r="E318" s="42"/>
      <c r="F318" s="42"/>
      <c r="G318" s="42"/>
      <c r="H318" s="63"/>
      <c r="I318" s="42"/>
      <c r="J318" s="42"/>
      <c r="K318" s="42"/>
      <c r="L318" s="42"/>
      <c r="M318" s="42"/>
      <c r="N318" s="42"/>
      <c r="O318" s="42"/>
      <c r="P318" s="42"/>
      <c r="Q318" s="42"/>
      <c r="R318" s="42"/>
      <c r="S318" s="42"/>
      <c r="T318" s="42"/>
      <c r="U318" s="42"/>
      <c r="V318" s="42"/>
      <c r="W318" s="42"/>
      <c r="X318" s="42"/>
      <c r="Y318" s="42"/>
      <c r="Z318" s="42"/>
    </row>
    <row r="319" ht="15.75" customHeight="1">
      <c r="A319" s="42"/>
      <c r="B319" s="42"/>
      <c r="C319" s="42"/>
      <c r="D319" s="42"/>
      <c r="E319" s="42"/>
      <c r="F319" s="42"/>
      <c r="G319" s="42"/>
      <c r="H319" s="63"/>
      <c r="I319" s="42"/>
      <c r="J319" s="42"/>
      <c r="K319" s="42"/>
      <c r="L319" s="42"/>
      <c r="M319" s="42"/>
      <c r="N319" s="42"/>
      <c r="O319" s="42"/>
      <c r="P319" s="42"/>
      <c r="Q319" s="42"/>
      <c r="R319" s="42"/>
      <c r="S319" s="42"/>
      <c r="T319" s="42"/>
      <c r="U319" s="42"/>
      <c r="V319" s="42"/>
      <c r="W319" s="42"/>
      <c r="X319" s="42"/>
      <c r="Y319" s="42"/>
      <c r="Z319" s="42"/>
    </row>
    <row r="320" ht="15.75" customHeight="1">
      <c r="A320" s="42"/>
      <c r="B320" s="42"/>
      <c r="C320" s="42"/>
      <c r="D320" s="42"/>
      <c r="E320" s="42"/>
      <c r="F320" s="42"/>
      <c r="G320" s="42"/>
      <c r="H320" s="63"/>
      <c r="I320" s="42"/>
      <c r="J320" s="42"/>
      <c r="K320" s="42"/>
      <c r="L320" s="42"/>
      <c r="M320" s="42"/>
      <c r="N320" s="42"/>
      <c r="O320" s="42"/>
      <c r="P320" s="42"/>
      <c r="Q320" s="42"/>
      <c r="R320" s="42"/>
      <c r="S320" s="42"/>
      <c r="T320" s="42"/>
      <c r="U320" s="42"/>
      <c r="V320" s="42"/>
      <c r="W320" s="42"/>
      <c r="X320" s="42"/>
      <c r="Y320" s="42"/>
      <c r="Z320" s="42"/>
    </row>
    <row r="321" ht="15.75" customHeight="1">
      <c r="A321" s="42"/>
      <c r="B321" s="42"/>
      <c r="C321" s="42"/>
      <c r="D321" s="42"/>
      <c r="E321" s="42"/>
      <c r="F321" s="42"/>
      <c r="G321" s="42"/>
      <c r="H321" s="63"/>
      <c r="I321" s="42"/>
      <c r="J321" s="42"/>
      <c r="K321" s="42"/>
      <c r="L321" s="42"/>
      <c r="M321" s="42"/>
      <c r="N321" s="42"/>
      <c r="O321" s="42"/>
      <c r="P321" s="42"/>
      <c r="Q321" s="42"/>
      <c r="R321" s="42"/>
      <c r="S321" s="42"/>
      <c r="T321" s="42"/>
      <c r="U321" s="42"/>
      <c r="V321" s="42"/>
      <c r="W321" s="42"/>
      <c r="X321" s="42"/>
      <c r="Y321" s="42"/>
      <c r="Z321" s="42"/>
    </row>
    <row r="322" ht="15.75" customHeight="1">
      <c r="A322" s="42"/>
      <c r="B322" s="42"/>
      <c r="C322" s="42"/>
      <c r="D322" s="42"/>
      <c r="E322" s="42"/>
      <c r="F322" s="42"/>
      <c r="G322" s="42"/>
      <c r="H322" s="63"/>
      <c r="I322" s="42"/>
      <c r="J322" s="42"/>
      <c r="K322" s="42"/>
      <c r="L322" s="42"/>
      <c r="M322" s="42"/>
      <c r="N322" s="42"/>
      <c r="O322" s="42"/>
      <c r="P322" s="42"/>
      <c r="Q322" s="42"/>
      <c r="R322" s="42"/>
      <c r="S322" s="42"/>
      <c r="T322" s="42"/>
      <c r="U322" s="42"/>
      <c r="V322" s="42"/>
      <c r="W322" s="42"/>
      <c r="X322" s="42"/>
      <c r="Y322" s="42"/>
      <c r="Z322" s="42"/>
    </row>
    <row r="323" ht="15.75" customHeight="1">
      <c r="A323" s="42"/>
      <c r="B323" s="42"/>
      <c r="C323" s="42"/>
      <c r="D323" s="42"/>
      <c r="E323" s="42"/>
      <c r="F323" s="42"/>
      <c r="G323" s="42"/>
      <c r="H323" s="63"/>
      <c r="I323" s="42"/>
      <c r="J323" s="42"/>
      <c r="K323" s="42"/>
      <c r="L323" s="42"/>
      <c r="M323" s="42"/>
      <c r="N323" s="42"/>
      <c r="O323" s="42"/>
      <c r="P323" s="42"/>
      <c r="Q323" s="42"/>
      <c r="R323" s="42"/>
      <c r="S323" s="42"/>
      <c r="T323" s="42"/>
      <c r="U323" s="42"/>
      <c r="V323" s="42"/>
      <c r="W323" s="42"/>
      <c r="X323" s="42"/>
      <c r="Y323" s="42"/>
      <c r="Z323" s="42"/>
    </row>
    <row r="324" ht="15.75" customHeight="1">
      <c r="A324" s="42"/>
      <c r="B324" s="42"/>
      <c r="C324" s="42"/>
      <c r="D324" s="42"/>
      <c r="E324" s="42"/>
      <c r="F324" s="42"/>
      <c r="G324" s="42"/>
      <c r="H324" s="63"/>
      <c r="I324" s="42"/>
      <c r="J324" s="42"/>
      <c r="K324" s="42"/>
      <c r="L324" s="42"/>
      <c r="M324" s="42"/>
      <c r="N324" s="42"/>
      <c r="O324" s="42"/>
      <c r="P324" s="42"/>
      <c r="Q324" s="42"/>
      <c r="R324" s="42"/>
      <c r="S324" s="42"/>
      <c r="T324" s="42"/>
      <c r="U324" s="42"/>
      <c r="V324" s="42"/>
      <c r="W324" s="42"/>
      <c r="X324" s="42"/>
      <c r="Y324" s="42"/>
      <c r="Z324" s="42"/>
    </row>
    <row r="325" ht="15.75" customHeight="1">
      <c r="A325" s="42"/>
      <c r="B325" s="42"/>
      <c r="C325" s="42"/>
      <c r="D325" s="42"/>
      <c r="E325" s="42"/>
      <c r="F325" s="42"/>
      <c r="G325" s="42"/>
      <c r="H325" s="63"/>
      <c r="I325" s="42"/>
      <c r="J325" s="42"/>
      <c r="K325" s="42"/>
      <c r="L325" s="42"/>
      <c r="M325" s="42"/>
      <c r="N325" s="42"/>
      <c r="O325" s="42"/>
      <c r="P325" s="42"/>
      <c r="Q325" s="42"/>
      <c r="R325" s="42"/>
      <c r="S325" s="42"/>
      <c r="T325" s="42"/>
      <c r="U325" s="42"/>
      <c r="V325" s="42"/>
      <c r="W325" s="42"/>
      <c r="X325" s="42"/>
      <c r="Y325" s="42"/>
      <c r="Z325" s="42"/>
    </row>
    <row r="326" ht="15.75" customHeight="1">
      <c r="A326" s="42"/>
      <c r="B326" s="42"/>
      <c r="C326" s="42"/>
      <c r="D326" s="42"/>
      <c r="E326" s="42"/>
      <c r="F326" s="42"/>
      <c r="G326" s="42"/>
      <c r="H326" s="63"/>
      <c r="I326" s="42"/>
      <c r="J326" s="42"/>
      <c r="K326" s="42"/>
      <c r="L326" s="42"/>
      <c r="M326" s="42"/>
      <c r="N326" s="42"/>
      <c r="O326" s="42"/>
      <c r="P326" s="42"/>
      <c r="Q326" s="42"/>
      <c r="R326" s="42"/>
      <c r="S326" s="42"/>
      <c r="T326" s="42"/>
      <c r="U326" s="42"/>
      <c r="V326" s="42"/>
      <c r="W326" s="42"/>
      <c r="X326" s="42"/>
      <c r="Y326" s="42"/>
      <c r="Z326" s="42"/>
    </row>
    <row r="327" ht="15.75" customHeight="1">
      <c r="A327" s="42"/>
      <c r="B327" s="42"/>
      <c r="C327" s="42"/>
      <c r="D327" s="42"/>
      <c r="E327" s="42"/>
      <c r="F327" s="42"/>
      <c r="G327" s="42"/>
      <c r="H327" s="63"/>
      <c r="I327" s="42"/>
      <c r="J327" s="42"/>
      <c r="K327" s="42"/>
      <c r="L327" s="42"/>
      <c r="M327" s="42"/>
      <c r="N327" s="42"/>
      <c r="O327" s="42"/>
      <c r="P327" s="42"/>
      <c r="Q327" s="42"/>
      <c r="R327" s="42"/>
      <c r="S327" s="42"/>
      <c r="T327" s="42"/>
      <c r="U327" s="42"/>
      <c r="V327" s="42"/>
      <c r="W327" s="42"/>
      <c r="X327" s="42"/>
      <c r="Y327" s="42"/>
      <c r="Z327" s="42"/>
    </row>
    <row r="328" ht="15.75" customHeight="1">
      <c r="A328" s="42"/>
      <c r="B328" s="42"/>
      <c r="C328" s="42"/>
      <c r="D328" s="42"/>
      <c r="E328" s="42"/>
      <c r="F328" s="42"/>
      <c r="G328" s="42"/>
      <c r="H328" s="63"/>
      <c r="I328" s="42"/>
      <c r="J328" s="42"/>
      <c r="K328" s="42"/>
      <c r="L328" s="42"/>
      <c r="M328" s="42"/>
      <c r="N328" s="42"/>
      <c r="O328" s="42"/>
      <c r="P328" s="42"/>
      <c r="Q328" s="42"/>
      <c r="R328" s="42"/>
      <c r="S328" s="42"/>
      <c r="T328" s="42"/>
      <c r="U328" s="42"/>
      <c r="V328" s="42"/>
      <c r="W328" s="42"/>
      <c r="X328" s="42"/>
      <c r="Y328" s="42"/>
      <c r="Z328" s="42"/>
    </row>
    <row r="329" ht="15.75" customHeight="1">
      <c r="A329" s="42"/>
      <c r="B329" s="42"/>
      <c r="C329" s="42"/>
      <c r="D329" s="42"/>
      <c r="E329" s="42"/>
      <c r="F329" s="42"/>
      <c r="G329" s="42"/>
      <c r="H329" s="63"/>
      <c r="I329" s="42"/>
      <c r="J329" s="42"/>
      <c r="K329" s="42"/>
      <c r="L329" s="42"/>
      <c r="M329" s="42"/>
      <c r="N329" s="42"/>
      <c r="O329" s="42"/>
      <c r="P329" s="42"/>
      <c r="Q329" s="42"/>
      <c r="R329" s="42"/>
      <c r="S329" s="42"/>
      <c r="T329" s="42"/>
      <c r="U329" s="42"/>
      <c r="V329" s="42"/>
      <c r="W329" s="42"/>
      <c r="X329" s="42"/>
      <c r="Y329" s="42"/>
      <c r="Z329" s="42"/>
    </row>
    <row r="330" ht="15.75" customHeight="1">
      <c r="A330" s="42"/>
      <c r="B330" s="42"/>
      <c r="C330" s="42"/>
      <c r="D330" s="42"/>
      <c r="E330" s="42"/>
      <c r="F330" s="42"/>
      <c r="G330" s="42"/>
      <c r="H330" s="63"/>
      <c r="I330" s="42"/>
      <c r="J330" s="42"/>
      <c r="K330" s="42"/>
      <c r="L330" s="42"/>
      <c r="M330" s="42"/>
      <c r="N330" s="42"/>
      <c r="O330" s="42"/>
      <c r="P330" s="42"/>
      <c r="Q330" s="42"/>
      <c r="R330" s="42"/>
      <c r="S330" s="42"/>
      <c r="T330" s="42"/>
      <c r="U330" s="42"/>
      <c r="V330" s="42"/>
      <c r="W330" s="42"/>
      <c r="X330" s="42"/>
      <c r="Y330" s="42"/>
      <c r="Z330" s="42"/>
    </row>
    <row r="331" ht="15.75" customHeight="1">
      <c r="A331" s="42"/>
      <c r="B331" s="42"/>
      <c r="C331" s="42"/>
      <c r="D331" s="42"/>
      <c r="E331" s="42"/>
      <c r="F331" s="42"/>
      <c r="G331" s="42"/>
      <c r="H331" s="63"/>
      <c r="I331" s="42"/>
      <c r="J331" s="42"/>
      <c r="K331" s="42"/>
      <c r="L331" s="42"/>
      <c r="M331" s="42"/>
      <c r="N331" s="42"/>
      <c r="O331" s="42"/>
      <c r="P331" s="42"/>
      <c r="Q331" s="42"/>
      <c r="R331" s="42"/>
      <c r="S331" s="42"/>
      <c r="T331" s="42"/>
      <c r="U331" s="42"/>
      <c r="V331" s="42"/>
      <c r="W331" s="42"/>
      <c r="X331" s="42"/>
      <c r="Y331" s="42"/>
      <c r="Z331" s="42"/>
    </row>
    <row r="332" ht="15.75" customHeight="1">
      <c r="A332" s="42"/>
      <c r="B332" s="42"/>
      <c r="C332" s="42"/>
      <c r="D332" s="42"/>
      <c r="E332" s="42"/>
      <c r="F332" s="42"/>
      <c r="G332" s="42"/>
      <c r="H332" s="63"/>
      <c r="I332" s="42"/>
      <c r="J332" s="42"/>
      <c r="K332" s="42"/>
      <c r="L332" s="42"/>
      <c r="M332" s="42"/>
      <c r="N332" s="42"/>
      <c r="O332" s="42"/>
      <c r="P332" s="42"/>
      <c r="Q332" s="42"/>
      <c r="R332" s="42"/>
      <c r="S332" s="42"/>
      <c r="T332" s="42"/>
      <c r="U332" s="42"/>
      <c r="V332" s="42"/>
      <c r="W332" s="42"/>
      <c r="X332" s="42"/>
      <c r="Y332" s="42"/>
      <c r="Z332" s="42"/>
    </row>
    <row r="333" ht="15.75" customHeight="1">
      <c r="A333" s="42"/>
      <c r="B333" s="42"/>
      <c r="C333" s="42"/>
      <c r="D333" s="42"/>
      <c r="E333" s="42"/>
      <c r="F333" s="42"/>
      <c r="G333" s="42"/>
      <c r="H333" s="63"/>
      <c r="I333" s="42"/>
      <c r="J333" s="42"/>
      <c r="K333" s="42"/>
      <c r="L333" s="42"/>
      <c r="M333" s="42"/>
      <c r="N333" s="42"/>
      <c r="O333" s="42"/>
      <c r="P333" s="42"/>
      <c r="Q333" s="42"/>
      <c r="R333" s="42"/>
      <c r="S333" s="42"/>
      <c r="T333" s="42"/>
      <c r="U333" s="42"/>
      <c r="V333" s="42"/>
      <c r="W333" s="42"/>
      <c r="X333" s="42"/>
      <c r="Y333" s="42"/>
      <c r="Z333" s="42"/>
    </row>
    <row r="334" ht="15.75" customHeight="1">
      <c r="A334" s="42"/>
      <c r="B334" s="42"/>
      <c r="C334" s="42"/>
      <c r="D334" s="42"/>
      <c r="E334" s="42"/>
      <c r="F334" s="42"/>
      <c r="G334" s="42"/>
      <c r="H334" s="63"/>
      <c r="I334" s="42"/>
      <c r="J334" s="42"/>
      <c r="K334" s="42"/>
      <c r="L334" s="42"/>
      <c r="M334" s="42"/>
      <c r="N334" s="42"/>
      <c r="O334" s="42"/>
      <c r="P334" s="42"/>
      <c r="Q334" s="42"/>
      <c r="R334" s="42"/>
      <c r="S334" s="42"/>
      <c r="T334" s="42"/>
      <c r="U334" s="42"/>
      <c r="V334" s="42"/>
      <c r="W334" s="42"/>
      <c r="X334" s="42"/>
      <c r="Y334" s="42"/>
      <c r="Z334" s="42"/>
    </row>
    <row r="335" ht="15.75" customHeight="1">
      <c r="A335" s="42"/>
      <c r="B335" s="42"/>
      <c r="C335" s="42"/>
      <c r="D335" s="42"/>
      <c r="E335" s="42"/>
      <c r="F335" s="42"/>
      <c r="G335" s="42"/>
      <c r="H335" s="63"/>
      <c r="I335" s="42"/>
      <c r="J335" s="42"/>
      <c r="K335" s="42"/>
      <c r="L335" s="42"/>
      <c r="M335" s="42"/>
      <c r="N335" s="42"/>
      <c r="O335" s="42"/>
      <c r="P335" s="42"/>
      <c r="Q335" s="42"/>
      <c r="R335" s="42"/>
      <c r="S335" s="42"/>
      <c r="T335" s="42"/>
      <c r="U335" s="42"/>
      <c r="V335" s="42"/>
      <c r="W335" s="42"/>
      <c r="X335" s="42"/>
      <c r="Y335" s="42"/>
      <c r="Z335" s="42"/>
    </row>
    <row r="336" ht="15.75" customHeight="1">
      <c r="A336" s="42"/>
      <c r="B336" s="42"/>
      <c r="C336" s="42"/>
      <c r="D336" s="42"/>
      <c r="E336" s="42"/>
      <c r="F336" s="42"/>
      <c r="G336" s="42"/>
      <c r="H336" s="63"/>
      <c r="I336" s="42"/>
      <c r="J336" s="42"/>
      <c r="K336" s="42"/>
      <c r="L336" s="42"/>
      <c r="M336" s="42"/>
      <c r="N336" s="42"/>
      <c r="O336" s="42"/>
      <c r="P336" s="42"/>
      <c r="Q336" s="42"/>
      <c r="R336" s="42"/>
      <c r="S336" s="42"/>
      <c r="T336" s="42"/>
      <c r="U336" s="42"/>
      <c r="V336" s="42"/>
      <c r="W336" s="42"/>
      <c r="X336" s="42"/>
      <c r="Y336" s="42"/>
      <c r="Z336" s="42"/>
    </row>
    <row r="337" ht="15.75" customHeight="1">
      <c r="A337" s="42"/>
      <c r="B337" s="42"/>
      <c r="C337" s="42"/>
      <c r="D337" s="42"/>
      <c r="E337" s="42"/>
      <c r="F337" s="42"/>
      <c r="G337" s="42"/>
      <c r="H337" s="63"/>
      <c r="I337" s="42"/>
      <c r="J337" s="42"/>
      <c r="K337" s="42"/>
      <c r="L337" s="42"/>
      <c r="M337" s="42"/>
      <c r="N337" s="42"/>
      <c r="O337" s="42"/>
      <c r="P337" s="42"/>
      <c r="Q337" s="42"/>
      <c r="R337" s="42"/>
      <c r="S337" s="42"/>
      <c r="T337" s="42"/>
      <c r="U337" s="42"/>
      <c r="V337" s="42"/>
      <c r="W337" s="42"/>
      <c r="X337" s="42"/>
      <c r="Y337" s="42"/>
      <c r="Z337" s="42"/>
    </row>
    <row r="338" ht="15.75" customHeight="1">
      <c r="A338" s="42"/>
      <c r="B338" s="42"/>
      <c r="C338" s="42"/>
      <c r="D338" s="42"/>
      <c r="E338" s="42"/>
      <c r="F338" s="42"/>
      <c r="G338" s="42"/>
      <c r="H338" s="63"/>
      <c r="I338" s="42"/>
      <c r="J338" s="42"/>
      <c r="K338" s="42"/>
      <c r="L338" s="42"/>
      <c r="M338" s="42"/>
      <c r="N338" s="42"/>
      <c r="O338" s="42"/>
      <c r="P338" s="42"/>
      <c r="Q338" s="42"/>
      <c r="R338" s="42"/>
      <c r="S338" s="42"/>
      <c r="T338" s="42"/>
      <c r="U338" s="42"/>
      <c r="V338" s="42"/>
      <c r="W338" s="42"/>
      <c r="X338" s="42"/>
      <c r="Y338" s="42"/>
      <c r="Z338" s="42"/>
    </row>
    <row r="339" ht="15.75" customHeight="1">
      <c r="A339" s="42"/>
      <c r="B339" s="42"/>
      <c r="C339" s="42"/>
      <c r="D339" s="42"/>
      <c r="E339" s="42"/>
      <c r="F339" s="42"/>
      <c r="G339" s="42"/>
      <c r="H339" s="63"/>
      <c r="I339" s="42"/>
      <c r="J339" s="42"/>
      <c r="K339" s="42"/>
      <c r="L339" s="42"/>
      <c r="M339" s="42"/>
      <c r="N339" s="42"/>
      <c r="O339" s="42"/>
      <c r="P339" s="42"/>
      <c r="Q339" s="42"/>
      <c r="R339" s="42"/>
      <c r="S339" s="42"/>
      <c r="T339" s="42"/>
      <c r="U339" s="42"/>
      <c r="V339" s="42"/>
      <c r="W339" s="42"/>
      <c r="X339" s="42"/>
      <c r="Y339" s="42"/>
      <c r="Z339" s="42"/>
    </row>
    <row r="340" ht="15.75" customHeight="1">
      <c r="A340" s="42"/>
      <c r="B340" s="42"/>
      <c r="C340" s="42"/>
      <c r="D340" s="42"/>
      <c r="E340" s="42"/>
      <c r="F340" s="42"/>
      <c r="G340" s="42"/>
      <c r="H340" s="63"/>
      <c r="I340" s="42"/>
      <c r="J340" s="42"/>
      <c r="K340" s="42"/>
      <c r="L340" s="42"/>
      <c r="M340" s="42"/>
      <c r="N340" s="42"/>
      <c r="O340" s="42"/>
      <c r="P340" s="42"/>
      <c r="Q340" s="42"/>
      <c r="R340" s="42"/>
      <c r="S340" s="42"/>
      <c r="T340" s="42"/>
      <c r="U340" s="42"/>
      <c r="V340" s="42"/>
      <c r="W340" s="42"/>
      <c r="X340" s="42"/>
      <c r="Y340" s="42"/>
      <c r="Z340" s="42"/>
    </row>
    <row r="341" ht="15.75" customHeight="1">
      <c r="A341" s="42"/>
      <c r="B341" s="42"/>
      <c r="C341" s="42"/>
      <c r="D341" s="42"/>
      <c r="E341" s="42"/>
      <c r="F341" s="42"/>
      <c r="G341" s="42"/>
      <c r="H341" s="63"/>
      <c r="I341" s="42"/>
      <c r="J341" s="42"/>
      <c r="K341" s="42"/>
      <c r="L341" s="42"/>
      <c r="M341" s="42"/>
      <c r="N341" s="42"/>
      <c r="O341" s="42"/>
      <c r="P341" s="42"/>
      <c r="Q341" s="42"/>
      <c r="R341" s="42"/>
      <c r="S341" s="42"/>
      <c r="T341" s="42"/>
      <c r="U341" s="42"/>
      <c r="V341" s="42"/>
      <c r="W341" s="42"/>
      <c r="X341" s="42"/>
      <c r="Y341" s="42"/>
      <c r="Z341" s="42"/>
    </row>
    <row r="342" ht="15.75" customHeight="1">
      <c r="A342" s="42"/>
      <c r="B342" s="42"/>
      <c r="C342" s="42"/>
      <c r="D342" s="42"/>
      <c r="E342" s="42"/>
      <c r="F342" s="42"/>
      <c r="G342" s="42"/>
      <c r="H342" s="63"/>
      <c r="I342" s="42"/>
      <c r="J342" s="42"/>
      <c r="K342" s="42"/>
      <c r="L342" s="42"/>
      <c r="M342" s="42"/>
      <c r="N342" s="42"/>
      <c r="O342" s="42"/>
      <c r="P342" s="42"/>
      <c r="Q342" s="42"/>
      <c r="R342" s="42"/>
      <c r="S342" s="42"/>
      <c r="T342" s="42"/>
      <c r="U342" s="42"/>
      <c r="V342" s="42"/>
      <c r="W342" s="42"/>
      <c r="X342" s="42"/>
      <c r="Y342" s="42"/>
      <c r="Z342" s="42"/>
    </row>
    <row r="343" ht="15.75" customHeight="1">
      <c r="A343" s="42"/>
      <c r="B343" s="42"/>
      <c r="C343" s="42"/>
      <c r="D343" s="42"/>
      <c r="E343" s="42"/>
      <c r="F343" s="42"/>
      <c r="G343" s="42"/>
      <c r="H343" s="63"/>
      <c r="I343" s="42"/>
      <c r="J343" s="42"/>
      <c r="K343" s="42"/>
      <c r="L343" s="42"/>
      <c r="M343" s="42"/>
      <c r="N343" s="42"/>
      <c r="O343" s="42"/>
      <c r="P343" s="42"/>
      <c r="Q343" s="42"/>
      <c r="R343" s="42"/>
      <c r="S343" s="42"/>
      <c r="T343" s="42"/>
      <c r="U343" s="42"/>
      <c r="V343" s="42"/>
      <c r="W343" s="42"/>
      <c r="X343" s="42"/>
      <c r="Y343" s="42"/>
      <c r="Z343" s="42"/>
    </row>
    <row r="344" ht="15.75" customHeight="1">
      <c r="A344" s="42"/>
      <c r="B344" s="42"/>
      <c r="C344" s="42"/>
      <c r="D344" s="42"/>
      <c r="E344" s="42"/>
      <c r="F344" s="42"/>
      <c r="G344" s="42"/>
      <c r="H344" s="63"/>
      <c r="I344" s="42"/>
      <c r="J344" s="42"/>
      <c r="K344" s="42"/>
      <c r="L344" s="42"/>
      <c r="M344" s="42"/>
      <c r="N344" s="42"/>
      <c r="O344" s="42"/>
      <c r="P344" s="42"/>
      <c r="Q344" s="42"/>
      <c r="R344" s="42"/>
      <c r="S344" s="42"/>
      <c r="T344" s="42"/>
      <c r="U344" s="42"/>
      <c r="V344" s="42"/>
      <c r="W344" s="42"/>
      <c r="X344" s="42"/>
      <c r="Y344" s="42"/>
      <c r="Z344" s="42"/>
    </row>
    <row r="345" ht="15.75" customHeight="1">
      <c r="A345" s="42"/>
      <c r="B345" s="42"/>
      <c r="C345" s="42"/>
      <c r="D345" s="42"/>
      <c r="E345" s="42"/>
      <c r="F345" s="42"/>
      <c r="G345" s="42"/>
      <c r="H345" s="63"/>
      <c r="I345" s="42"/>
      <c r="J345" s="42"/>
      <c r="K345" s="42"/>
      <c r="L345" s="42"/>
      <c r="M345" s="42"/>
      <c r="N345" s="42"/>
      <c r="O345" s="42"/>
      <c r="P345" s="42"/>
      <c r="Q345" s="42"/>
      <c r="R345" s="42"/>
      <c r="S345" s="42"/>
      <c r="T345" s="42"/>
      <c r="U345" s="42"/>
      <c r="V345" s="42"/>
      <c r="W345" s="42"/>
      <c r="X345" s="42"/>
      <c r="Y345" s="42"/>
      <c r="Z345" s="42"/>
    </row>
    <row r="346" ht="15.75" customHeight="1">
      <c r="A346" s="42"/>
      <c r="B346" s="42"/>
      <c r="C346" s="42"/>
      <c r="D346" s="42"/>
      <c r="E346" s="42"/>
      <c r="F346" s="42"/>
      <c r="G346" s="42"/>
      <c r="H346" s="63"/>
      <c r="I346" s="42"/>
      <c r="J346" s="42"/>
      <c r="K346" s="42"/>
      <c r="L346" s="42"/>
      <c r="M346" s="42"/>
      <c r="N346" s="42"/>
      <c r="O346" s="42"/>
      <c r="P346" s="42"/>
      <c r="Q346" s="42"/>
      <c r="R346" s="42"/>
      <c r="S346" s="42"/>
      <c r="T346" s="42"/>
      <c r="U346" s="42"/>
      <c r="V346" s="42"/>
      <c r="W346" s="42"/>
      <c r="X346" s="42"/>
      <c r="Y346" s="42"/>
      <c r="Z346" s="42"/>
    </row>
    <row r="347" ht="15.75" customHeight="1">
      <c r="A347" s="42"/>
      <c r="B347" s="42"/>
      <c r="C347" s="42"/>
      <c r="D347" s="42"/>
      <c r="E347" s="42"/>
      <c r="F347" s="42"/>
      <c r="G347" s="42"/>
      <c r="H347" s="63"/>
      <c r="I347" s="42"/>
      <c r="J347" s="42"/>
      <c r="K347" s="42"/>
      <c r="L347" s="42"/>
      <c r="M347" s="42"/>
      <c r="N347" s="42"/>
      <c r="O347" s="42"/>
      <c r="P347" s="42"/>
      <c r="Q347" s="42"/>
      <c r="R347" s="42"/>
      <c r="S347" s="42"/>
      <c r="T347" s="42"/>
      <c r="U347" s="42"/>
      <c r="V347" s="42"/>
      <c r="W347" s="42"/>
      <c r="X347" s="42"/>
      <c r="Y347" s="42"/>
      <c r="Z347" s="42"/>
    </row>
    <row r="348" ht="15.75" customHeight="1">
      <c r="A348" s="42"/>
      <c r="B348" s="42"/>
      <c r="C348" s="42"/>
      <c r="D348" s="42"/>
      <c r="E348" s="42"/>
      <c r="F348" s="42"/>
      <c r="G348" s="42"/>
      <c r="H348" s="63"/>
      <c r="I348" s="42"/>
      <c r="J348" s="42"/>
      <c r="K348" s="42"/>
      <c r="L348" s="42"/>
      <c r="M348" s="42"/>
      <c r="N348" s="42"/>
      <c r="O348" s="42"/>
      <c r="P348" s="42"/>
      <c r="Q348" s="42"/>
      <c r="R348" s="42"/>
      <c r="S348" s="42"/>
      <c r="T348" s="42"/>
      <c r="U348" s="42"/>
      <c r="V348" s="42"/>
      <c r="W348" s="42"/>
      <c r="X348" s="42"/>
      <c r="Y348" s="42"/>
      <c r="Z348" s="42"/>
    </row>
    <row r="349" ht="15.75" customHeight="1">
      <c r="A349" s="42"/>
      <c r="B349" s="42"/>
      <c r="C349" s="42"/>
      <c r="D349" s="42"/>
      <c r="E349" s="42"/>
      <c r="F349" s="42"/>
      <c r="G349" s="42"/>
      <c r="H349" s="63"/>
      <c r="I349" s="42"/>
      <c r="J349" s="42"/>
      <c r="K349" s="42"/>
      <c r="L349" s="42"/>
      <c r="M349" s="42"/>
      <c r="N349" s="42"/>
      <c r="O349" s="42"/>
      <c r="P349" s="42"/>
      <c r="Q349" s="42"/>
      <c r="R349" s="42"/>
      <c r="S349" s="42"/>
      <c r="T349" s="42"/>
      <c r="U349" s="42"/>
      <c r="V349" s="42"/>
      <c r="W349" s="42"/>
      <c r="X349" s="42"/>
      <c r="Y349" s="42"/>
      <c r="Z349" s="42"/>
    </row>
    <row r="350" ht="15.75" customHeight="1">
      <c r="A350" s="42"/>
      <c r="B350" s="42"/>
      <c r="C350" s="42"/>
      <c r="D350" s="42"/>
      <c r="E350" s="42"/>
      <c r="F350" s="42"/>
      <c r="G350" s="42"/>
      <c r="H350" s="63"/>
      <c r="I350" s="42"/>
      <c r="J350" s="42"/>
      <c r="K350" s="42"/>
      <c r="L350" s="42"/>
      <c r="M350" s="42"/>
      <c r="N350" s="42"/>
      <c r="O350" s="42"/>
      <c r="P350" s="42"/>
      <c r="Q350" s="42"/>
      <c r="R350" s="42"/>
      <c r="S350" s="42"/>
      <c r="T350" s="42"/>
      <c r="U350" s="42"/>
      <c r="V350" s="42"/>
      <c r="W350" s="42"/>
      <c r="X350" s="42"/>
      <c r="Y350" s="42"/>
      <c r="Z350" s="42"/>
    </row>
    <row r="351" ht="15.75" customHeight="1">
      <c r="A351" s="42"/>
      <c r="B351" s="42"/>
      <c r="C351" s="42"/>
      <c r="D351" s="42"/>
      <c r="E351" s="42"/>
      <c r="F351" s="42"/>
      <c r="G351" s="42"/>
      <c r="H351" s="63"/>
      <c r="I351" s="42"/>
      <c r="J351" s="42"/>
      <c r="K351" s="42"/>
      <c r="L351" s="42"/>
      <c r="M351" s="42"/>
      <c r="N351" s="42"/>
      <c r="O351" s="42"/>
      <c r="P351" s="42"/>
      <c r="Q351" s="42"/>
      <c r="R351" s="42"/>
      <c r="S351" s="42"/>
      <c r="T351" s="42"/>
      <c r="U351" s="42"/>
      <c r="V351" s="42"/>
      <c r="W351" s="42"/>
      <c r="X351" s="42"/>
      <c r="Y351" s="42"/>
      <c r="Z351" s="42"/>
    </row>
    <row r="352" ht="15.75" customHeight="1">
      <c r="A352" s="42"/>
      <c r="B352" s="42"/>
      <c r="C352" s="42"/>
      <c r="D352" s="42"/>
      <c r="E352" s="42"/>
      <c r="F352" s="42"/>
      <c r="G352" s="42"/>
      <c r="H352" s="63"/>
      <c r="I352" s="42"/>
      <c r="J352" s="42"/>
      <c r="K352" s="42"/>
      <c r="L352" s="42"/>
      <c r="M352" s="42"/>
      <c r="N352" s="42"/>
      <c r="O352" s="42"/>
      <c r="P352" s="42"/>
      <c r="Q352" s="42"/>
      <c r="R352" s="42"/>
      <c r="S352" s="42"/>
      <c r="T352" s="42"/>
      <c r="U352" s="42"/>
      <c r="V352" s="42"/>
      <c r="W352" s="42"/>
      <c r="X352" s="42"/>
      <c r="Y352" s="42"/>
      <c r="Z352" s="42"/>
    </row>
    <row r="353" ht="15.75" customHeight="1">
      <c r="A353" s="42"/>
      <c r="B353" s="42"/>
      <c r="C353" s="42"/>
      <c r="D353" s="42"/>
      <c r="E353" s="42"/>
      <c r="F353" s="42"/>
      <c r="G353" s="42"/>
      <c r="H353" s="63"/>
      <c r="I353" s="42"/>
      <c r="J353" s="42"/>
      <c r="K353" s="42"/>
      <c r="L353" s="42"/>
      <c r="M353" s="42"/>
      <c r="N353" s="42"/>
      <c r="O353" s="42"/>
      <c r="P353" s="42"/>
      <c r="Q353" s="42"/>
      <c r="R353" s="42"/>
      <c r="S353" s="42"/>
      <c r="T353" s="42"/>
      <c r="U353" s="42"/>
      <c r="V353" s="42"/>
      <c r="W353" s="42"/>
      <c r="X353" s="42"/>
      <c r="Y353" s="42"/>
      <c r="Z353" s="42"/>
    </row>
    <row r="354" ht="15.75" customHeight="1">
      <c r="A354" s="42"/>
      <c r="B354" s="42"/>
      <c r="C354" s="42"/>
      <c r="D354" s="42"/>
      <c r="E354" s="42"/>
      <c r="F354" s="42"/>
      <c r="G354" s="42"/>
      <c r="H354" s="63"/>
      <c r="I354" s="42"/>
      <c r="J354" s="42"/>
      <c r="K354" s="42"/>
      <c r="L354" s="42"/>
      <c r="M354" s="42"/>
      <c r="N354" s="42"/>
      <c r="O354" s="42"/>
      <c r="P354" s="42"/>
      <c r="Q354" s="42"/>
      <c r="R354" s="42"/>
      <c r="S354" s="42"/>
      <c r="T354" s="42"/>
      <c r="U354" s="42"/>
      <c r="V354" s="42"/>
      <c r="W354" s="42"/>
      <c r="X354" s="42"/>
      <c r="Y354" s="42"/>
      <c r="Z354" s="42"/>
    </row>
    <row r="355" ht="15.75" customHeight="1">
      <c r="A355" s="42"/>
      <c r="B355" s="42"/>
      <c r="C355" s="42"/>
      <c r="D355" s="42"/>
      <c r="E355" s="42"/>
      <c r="F355" s="42"/>
      <c r="G355" s="42"/>
      <c r="H355" s="63"/>
      <c r="I355" s="42"/>
      <c r="J355" s="42"/>
      <c r="K355" s="42"/>
      <c r="L355" s="42"/>
      <c r="M355" s="42"/>
      <c r="N355" s="42"/>
      <c r="O355" s="42"/>
      <c r="P355" s="42"/>
      <c r="Q355" s="42"/>
      <c r="R355" s="42"/>
      <c r="S355" s="42"/>
      <c r="T355" s="42"/>
      <c r="U355" s="42"/>
      <c r="V355" s="42"/>
      <c r="W355" s="42"/>
      <c r="X355" s="42"/>
      <c r="Y355" s="42"/>
      <c r="Z355" s="42"/>
    </row>
    <row r="356" ht="15.75" customHeight="1">
      <c r="A356" s="42"/>
      <c r="B356" s="42"/>
      <c r="C356" s="42"/>
      <c r="D356" s="42"/>
      <c r="E356" s="42"/>
      <c r="F356" s="42"/>
      <c r="G356" s="42"/>
      <c r="H356" s="63"/>
      <c r="I356" s="42"/>
      <c r="J356" s="42"/>
      <c r="K356" s="42"/>
      <c r="L356" s="42"/>
      <c r="M356" s="42"/>
      <c r="N356" s="42"/>
      <c r="O356" s="42"/>
      <c r="P356" s="42"/>
      <c r="Q356" s="42"/>
      <c r="R356" s="42"/>
      <c r="S356" s="42"/>
      <c r="T356" s="42"/>
      <c r="U356" s="42"/>
      <c r="V356" s="42"/>
      <c r="W356" s="42"/>
      <c r="X356" s="42"/>
      <c r="Y356" s="42"/>
      <c r="Z356" s="42"/>
    </row>
    <row r="357" ht="15.75" customHeight="1">
      <c r="A357" s="42"/>
      <c r="B357" s="42"/>
      <c r="C357" s="42"/>
      <c r="D357" s="42"/>
      <c r="E357" s="42"/>
      <c r="F357" s="42"/>
      <c r="G357" s="42"/>
      <c r="H357" s="63"/>
      <c r="I357" s="42"/>
      <c r="J357" s="42"/>
      <c r="K357" s="42"/>
      <c r="L357" s="42"/>
      <c r="M357" s="42"/>
      <c r="N357" s="42"/>
      <c r="O357" s="42"/>
      <c r="P357" s="42"/>
      <c r="Q357" s="42"/>
      <c r="R357" s="42"/>
      <c r="S357" s="42"/>
      <c r="T357" s="42"/>
      <c r="U357" s="42"/>
      <c r="V357" s="42"/>
      <c r="W357" s="42"/>
      <c r="X357" s="42"/>
      <c r="Y357" s="42"/>
      <c r="Z357" s="42"/>
    </row>
    <row r="358" ht="15.75" customHeight="1">
      <c r="A358" s="42"/>
      <c r="B358" s="42"/>
      <c r="C358" s="42"/>
      <c r="D358" s="42"/>
      <c r="E358" s="42"/>
      <c r="F358" s="42"/>
      <c r="G358" s="42"/>
      <c r="H358" s="63"/>
      <c r="I358" s="42"/>
      <c r="J358" s="42"/>
      <c r="K358" s="42"/>
      <c r="L358" s="42"/>
      <c r="M358" s="42"/>
      <c r="N358" s="42"/>
      <c r="O358" s="42"/>
      <c r="P358" s="42"/>
      <c r="Q358" s="42"/>
      <c r="R358" s="42"/>
      <c r="S358" s="42"/>
      <c r="T358" s="42"/>
      <c r="U358" s="42"/>
      <c r="V358" s="42"/>
      <c r="W358" s="42"/>
      <c r="X358" s="42"/>
      <c r="Y358" s="42"/>
      <c r="Z358" s="42"/>
    </row>
    <row r="359" ht="15.75" customHeight="1">
      <c r="A359" s="42"/>
      <c r="B359" s="42"/>
      <c r="C359" s="42"/>
      <c r="D359" s="42"/>
      <c r="E359" s="42"/>
      <c r="F359" s="42"/>
      <c r="G359" s="42"/>
      <c r="H359" s="63"/>
      <c r="I359" s="42"/>
      <c r="J359" s="42"/>
      <c r="K359" s="42"/>
      <c r="L359" s="42"/>
      <c r="M359" s="42"/>
      <c r="N359" s="42"/>
      <c r="O359" s="42"/>
      <c r="P359" s="42"/>
      <c r="Q359" s="42"/>
      <c r="R359" s="42"/>
      <c r="S359" s="42"/>
      <c r="T359" s="42"/>
      <c r="U359" s="42"/>
      <c r="V359" s="42"/>
      <c r="W359" s="42"/>
      <c r="X359" s="42"/>
      <c r="Y359" s="42"/>
      <c r="Z359" s="42"/>
    </row>
    <row r="360" ht="15.75" customHeight="1">
      <c r="A360" s="42"/>
      <c r="B360" s="42"/>
      <c r="C360" s="42"/>
      <c r="D360" s="42"/>
      <c r="E360" s="42"/>
      <c r="F360" s="42"/>
      <c r="G360" s="42"/>
      <c r="H360" s="63"/>
      <c r="I360" s="42"/>
      <c r="J360" s="42"/>
      <c r="K360" s="42"/>
      <c r="L360" s="42"/>
      <c r="M360" s="42"/>
      <c r="N360" s="42"/>
      <c r="O360" s="42"/>
      <c r="P360" s="42"/>
      <c r="Q360" s="42"/>
      <c r="R360" s="42"/>
      <c r="S360" s="42"/>
      <c r="T360" s="42"/>
      <c r="U360" s="42"/>
      <c r="V360" s="42"/>
      <c r="W360" s="42"/>
      <c r="X360" s="42"/>
      <c r="Y360" s="42"/>
      <c r="Z360" s="42"/>
    </row>
    <row r="361" ht="15.75" customHeight="1">
      <c r="A361" s="42"/>
      <c r="B361" s="42"/>
      <c r="C361" s="42"/>
      <c r="D361" s="42"/>
      <c r="E361" s="42"/>
      <c r="F361" s="42"/>
      <c r="G361" s="42"/>
      <c r="H361" s="63"/>
      <c r="I361" s="42"/>
      <c r="J361" s="42"/>
      <c r="K361" s="42"/>
      <c r="L361" s="42"/>
      <c r="M361" s="42"/>
      <c r="N361" s="42"/>
      <c r="O361" s="42"/>
      <c r="P361" s="42"/>
      <c r="Q361" s="42"/>
      <c r="R361" s="42"/>
      <c r="S361" s="42"/>
      <c r="T361" s="42"/>
      <c r="U361" s="42"/>
      <c r="V361" s="42"/>
      <c r="W361" s="42"/>
      <c r="X361" s="42"/>
      <c r="Y361" s="42"/>
      <c r="Z361" s="42"/>
    </row>
    <row r="362" ht="15.75" customHeight="1">
      <c r="A362" s="42"/>
      <c r="B362" s="42"/>
      <c r="C362" s="42"/>
      <c r="D362" s="42"/>
      <c r="E362" s="42"/>
      <c r="F362" s="42"/>
      <c r="G362" s="42"/>
      <c r="H362" s="63"/>
      <c r="I362" s="42"/>
      <c r="J362" s="42"/>
      <c r="K362" s="42"/>
      <c r="L362" s="42"/>
      <c r="M362" s="42"/>
      <c r="N362" s="42"/>
      <c r="O362" s="42"/>
      <c r="P362" s="42"/>
      <c r="Q362" s="42"/>
      <c r="R362" s="42"/>
      <c r="S362" s="42"/>
      <c r="T362" s="42"/>
      <c r="U362" s="42"/>
      <c r="V362" s="42"/>
      <c r="W362" s="42"/>
      <c r="X362" s="42"/>
      <c r="Y362" s="42"/>
      <c r="Z362" s="42"/>
    </row>
    <row r="363" ht="15.75" customHeight="1">
      <c r="A363" s="42"/>
      <c r="B363" s="42"/>
      <c r="C363" s="42"/>
      <c r="D363" s="42"/>
      <c r="E363" s="42"/>
      <c r="F363" s="42"/>
      <c r="G363" s="42"/>
      <c r="H363" s="63"/>
      <c r="I363" s="42"/>
      <c r="J363" s="42"/>
      <c r="K363" s="42"/>
      <c r="L363" s="42"/>
      <c r="M363" s="42"/>
      <c r="N363" s="42"/>
      <c r="O363" s="42"/>
      <c r="P363" s="42"/>
      <c r="Q363" s="42"/>
      <c r="R363" s="42"/>
      <c r="S363" s="42"/>
      <c r="T363" s="42"/>
      <c r="U363" s="42"/>
      <c r="V363" s="42"/>
      <c r="W363" s="42"/>
      <c r="X363" s="42"/>
      <c r="Y363" s="42"/>
      <c r="Z363" s="42"/>
    </row>
    <row r="364" ht="15.75" customHeight="1">
      <c r="A364" s="42"/>
      <c r="B364" s="42"/>
      <c r="C364" s="42"/>
      <c r="D364" s="42"/>
      <c r="E364" s="42"/>
      <c r="F364" s="42"/>
      <c r="G364" s="42"/>
      <c r="H364" s="63"/>
      <c r="I364" s="42"/>
      <c r="J364" s="42"/>
      <c r="K364" s="42"/>
      <c r="L364" s="42"/>
      <c r="M364" s="42"/>
      <c r="N364" s="42"/>
      <c r="O364" s="42"/>
      <c r="P364" s="42"/>
      <c r="Q364" s="42"/>
      <c r="R364" s="42"/>
      <c r="S364" s="42"/>
      <c r="T364" s="42"/>
      <c r="U364" s="42"/>
      <c r="V364" s="42"/>
      <c r="W364" s="42"/>
      <c r="X364" s="42"/>
      <c r="Y364" s="42"/>
      <c r="Z364" s="42"/>
    </row>
    <row r="365" ht="15.75" customHeight="1">
      <c r="A365" s="42"/>
      <c r="B365" s="42"/>
      <c r="C365" s="42"/>
      <c r="D365" s="42"/>
      <c r="E365" s="42"/>
      <c r="F365" s="42"/>
      <c r="G365" s="42"/>
      <c r="H365" s="63"/>
      <c r="I365" s="42"/>
      <c r="J365" s="42"/>
      <c r="K365" s="42"/>
      <c r="L365" s="42"/>
      <c r="M365" s="42"/>
      <c r="N365" s="42"/>
      <c r="O365" s="42"/>
      <c r="P365" s="42"/>
      <c r="Q365" s="42"/>
      <c r="R365" s="42"/>
      <c r="S365" s="42"/>
      <c r="T365" s="42"/>
      <c r="U365" s="42"/>
      <c r="V365" s="42"/>
      <c r="W365" s="42"/>
      <c r="X365" s="42"/>
      <c r="Y365" s="42"/>
      <c r="Z365" s="42"/>
    </row>
    <row r="366" ht="15.75" customHeight="1">
      <c r="A366" s="42"/>
      <c r="B366" s="42"/>
      <c r="C366" s="42"/>
      <c r="D366" s="42"/>
      <c r="E366" s="42"/>
      <c r="F366" s="42"/>
      <c r="G366" s="42"/>
      <c r="H366" s="63"/>
      <c r="I366" s="42"/>
      <c r="J366" s="42"/>
      <c r="K366" s="42"/>
      <c r="L366" s="42"/>
      <c r="M366" s="42"/>
      <c r="N366" s="42"/>
      <c r="O366" s="42"/>
      <c r="P366" s="42"/>
      <c r="Q366" s="42"/>
      <c r="R366" s="42"/>
      <c r="S366" s="42"/>
      <c r="T366" s="42"/>
      <c r="U366" s="42"/>
      <c r="V366" s="42"/>
      <c r="W366" s="42"/>
      <c r="X366" s="42"/>
      <c r="Y366" s="42"/>
      <c r="Z366" s="42"/>
    </row>
    <row r="367" ht="15.75" customHeight="1">
      <c r="A367" s="42"/>
      <c r="B367" s="42"/>
      <c r="C367" s="42"/>
      <c r="D367" s="42"/>
      <c r="E367" s="42"/>
      <c r="F367" s="42"/>
      <c r="G367" s="42"/>
      <c r="H367" s="63"/>
      <c r="I367" s="42"/>
      <c r="J367" s="42"/>
      <c r="K367" s="42"/>
      <c r="L367" s="42"/>
      <c r="M367" s="42"/>
      <c r="N367" s="42"/>
      <c r="O367" s="42"/>
      <c r="P367" s="42"/>
      <c r="Q367" s="42"/>
      <c r="R367" s="42"/>
      <c r="S367" s="42"/>
      <c r="T367" s="42"/>
      <c r="U367" s="42"/>
      <c r="V367" s="42"/>
      <c r="W367" s="42"/>
      <c r="X367" s="42"/>
      <c r="Y367" s="42"/>
      <c r="Z367" s="42"/>
    </row>
    <row r="368" ht="15.75" customHeight="1">
      <c r="A368" s="42"/>
      <c r="B368" s="42"/>
      <c r="C368" s="42"/>
      <c r="D368" s="42"/>
      <c r="E368" s="42"/>
      <c r="F368" s="42"/>
      <c r="G368" s="42"/>
      <c r="H368" s="63"/>
      <c r="I368" s="42"/>
      <c r="J368" s="42"/>
      <c r="K368" s="42"/>
      <c r="L368" s="42"/>
      <c r="M368" s="42"/>
      <c r="N368" s="42"/>
      <c r="O368" s="42"/>
      <c r="P368" s="42"/>
      <c r="Q368" s="42"/>
      <c r="R368" s="42"/>
      <c r="S368" s="42"/>
      <c r="T368" s="42"/>
      <c r="U368" s="42"/>
      <c r="V368" s="42"/>
      <c r="W368" s="42"/>
      <c r="X368" s="42"/>
      <c r="Y368" s="42"/>
      <c r="Z368" s="42"/>
    </row>
    <row r="369" ht="15.75" customHeight="1">
      <c r="A369" s="42"/>
      <c r="B369" s="42"/>
      <c r="C369" s="42"/>
      <c r="D369" s="42"/>
      <c r="E369" s="42"/>
      <c r="F369" s="42"/>
      <c r="G369" s="42"/>
      <c r="H369" s="63"/>
      <c r="I369" s="42"/>
      <c r="J369" s="42"/>
      <c r="K369" s="42"/>
      <c r="L369" s="42"/>
      <c r="M369" s="42"/>
      <c r="N369" s="42"/>
      <c r="O369" s="42"/>
      <c r="P369" s="42"/>
      <c r="Q369" s="42"/>
      <c r="R369" s="42"/>
      <c r="S369" s="42"/>
      <c r="T369" s="42"/>
      <c r="U369" s="42"/>
      <c r="V369" s="42"/>
      <c r="W369" s="42"/>
      <c r="X369" s="42"/>
      <c r="Y369" s="42"/>
      <c r="Z369" s="42"/>
    </row>
    <row r="370" ht="15.75" customHeight="1">
      <c r="A370" s="42"/>
      <c r="B370" s="42"/>
      <c r="C370" s="42"/>
      <c r="D370" s="42"/>
      <c r="E370" s="42"/>
      <c r="F370" s="42"/>
      <c r="G370" s="42"/>
      <c r="H370" s="63"/>
      <c r="I370" s="42"/>
      <c r="J370" s="42"/>
      <c r="K370" s="42"/>
      <c r="L370" s="42"/>
      <c r="M370" s="42"/>
      <c r="N370" s="42"/>
      <c r="O370" s="42"/>
      <c r="P370" s="42"/>
      <c r="Q370" s="42"/>
      <c r="R370" s="42"/>
      <c r="S370" s="42"/>
      <c r="T370" s="42"/>
      <c r="U370" s="42"/>
      <c r="V370" s="42"/>
      <c r="W370" s="42"/>
      <c r="X370" s="42"/>
      <c r="Y370" s="42"/>
      <c r="Z370" s="42"/>
    </row>
    <row r="371" ht="15.75" customHeight="1">
      <c r="A371" s="42"/>
      <c r="B371" s="42"/>
      <c r="C371" s="42"/>
      <c r="D371" s="42"/>
      <c r="E371" s="42"/>
      <c r="F371" s="42"/>
      <c r="G371" s="42"/>
      <c r="H371" s="63"/>
      <c r="I371" s="42"/>
      <c r="J371" s="42"/>
      <c r="K371" s="42"/>
      <c r="L371" s="42"/>
      <c r="M371" s="42"/>
      <c r="N371" s="42"/>
      <c r="O371" s="42"/>
      <c r="P371" s="42"/>
      <c r="Q371" s="42"/>
      <c r="R371" s="42"/>
      <c r="S371" s="42"/>
      <c r="T371" s="42"/>
      <c r="U371" s="42"/>
      <c r="V371" s="42"/>
      <c r="W371" s="42"/>
      <c r="X371" s="42"/>
      <c r="Y371" s="42"/>
      <c r="Z371" s="42"/>
    </row>
    <row r="372" ht="15.75" customHeight="1">
      <c r="A372" s="42"/>
      <c r="B372" s="42"/>
      <c r="C372" s="42"/>
      <c r="D372" s="42"/>
      <c r="E372" s="42"/>
      <c r="F372" s="42"/>
      <c r="G372" s="42"/>
      <c r="H372" s="63"/>
      <c r="I372" s="42"/>
      <c r="J372" s="42"/>
      <c r="K372" s="42"/>
      <c r="L372" s="42"/>
      <c r="M372" s="42"/>
      <c r="N372" s="42"/>
      <c r="O372" s="42"/>
      <c r="P372" s="42"/>
      <c r="Q372" s="42"/>
      <c r="R372" s="42"/>
      <c r="S372" s="42"/>
      <c r="T372" s="42"/>
      <c r="U372" s="42"/>
      <c r="V372" s="42"/>
      <c r="W372" s="42"/>
      <c r="X372" s="42"/>
      <c r="Y372" s="42"/>
      <c r="Z372" s="42"/>
    </row>
    <row r="373" ht="15.75" customHeight="1">
      <c r="A373" s="42"/>
      <c r="B373" s="42"/>
      <c r="C373" s="42"/>
      <c r="D373" s="42"/>
      <c r="E373" s="42"/>
      <c r="F373" s="42"/>
      <c r="G373" s="42"/>
      <c r="H373" s="63"/>
      <c r="I373" s="42"/>
      <c r="J373" s="42"/>
      <c r="K373" s="42"/>
      <c r="L373" s="42"/>
      <c r="M373" s="42"/>
      <c r="N373" s="42"/>
      <c r="O373" s="42"/>
      <c r="P373" s="42"/>
      <c r="Q373" s="42"/>
      <c r="R373" s="42"/>
      <c r="S373" s="42"/>
      <c r="T373" s="42"/>
      <c r="U373" s="42"/>
      <c r="V373" s="42"/>
      <c r="W373" s="42"/>
      <c r="X373" s="42"/>
      <c r="Y373" s="42"/>
      <c r="Z373" s="42"/>
    </row>
    <row r="374" ht="15.75" customHeight="1">
      <c r="A374" s="42"/>
      <c r="B374" s="42"/>
      <c r="C374" s="42"/>
      <c r="D374" s="42"/>
      <c r="E374" s="42"/>
      <c r="F374" s="42"/>
      <c r="G374" s="42"/>
      <c r="H374" s="63"/>
      <c r="I374" s="42"/>
      <c r="J374" s="42"/>
      <c r="K374" s="42"/>
      <c r="L374" s="42"/>
      <c r="M374" s="42"/>
      <c r="N374" s="42"/>
      <c r="O374" s="42"/>
      <c r="P374" s="42"/>
      <c r="Q374" s="42"/>
      <c r="R374" s="42"/>
      <c r="S374" s="42"/>
      <c r="T374" s="42"/>
      <c r="U374" s="42"/>
      <c r="V374" s="42"/>
      <c r="W374" s="42"/>
      <c r="X374" s="42"/>
      <c r="Y374" s="42"/>
      <c r="Z374" s="42"/>
    </row>
    <row r="375" ht="15.75" customHeight="1">
      <c r="A375" s="42"/>
      <c r="B375" s="42"/>
      <c r="C375" s="42"/>
      <c r="D375" s="42"/>
      <c r="E375" s="42"/>
      <c r="F375" s="42"/>
      <c r="G375" s="42"/>
      <c r="H375" s="63"/>
      <c r="I375" s="42"/>
      <c r="J375" s="42"/>
      <c r="K375" s="42"/>
      <c r="L375" s="42"/>
      <c r="M375" s="42"/>
      <c r="N375" s="42"/>
      <c r="O375" s="42"/>
      <c r="P375" s="42"/>
      <c r="Q375" s="42"/>
      <c r="R375" s="42"/>
      <c r="S375" s="42"/>
      <c r="T375" s="42"/>
      <c r="U375" s="42"/>
      <c r="V375" s="42"/>
      <c r="W375" s="42"/>
      <c r="X375" s="42"/>
      <c r="Y375" s="42"/>
      <c r="Z375" s="42"/>
    </row>
    <row r="376" ht="15.75" customHeight="1">
      <c r="A376" s="42"/>
      <c r="B376" s="42"/>
      <c r="C376" s="42"/>
      <c r="D376" s="42"/>
      <c r="E376" s="42"/>
      <c r="F376" s="42"/>
      <c r="G376" s="42"/>
      <c r="H376" s="63"/>
      <c r="I376" s="42"/>
      <c r="J376" s="42"/>
      <c r="K376" s="42"/>
      <c r="L376" s="42"/>
      <c r="M376" s="42"/>
      <c r="N376" s="42"/>
      <c r="O376" s="42"/>
      <c r="P376" s="42"/>
      <c r="Q376" s="42"/>
      <c r="R376" s="42"/>
      <c r="S376" s="42"/>
      <c r="T376" s="42"/>
      <c r="U376" s="42"/>
      <c r="V376" s="42"/>
      <c r="W376" s="42"/>
      <c r="X376" s="42"/>
      <c r="Y376" s="42"/>
      <c r="Z376" s="42"/>
    </row>
    <row r="377" ht="15.75" customHeight="1">
      <c r="A377" s="42"/>
      <c r="B377" s="42"/>
      <c r="C377" s="42"/>
      <c r="D377" s="42"/>
      <c r="E377" s="42"/>
      <c r="F377" s="42"/>
      <c r="G377" s="42"/>
      <c r="H377" s="63"/>
      <c r="I377" s="42"/>
      <c r="J377" s="42"/>
      <c r="K377" s="42"/>
      <c r="L377" s="42"/>
      <c r="M377" s="42"/>
      <c r="N377" s="42"/>
      <c r="O377" s="42"/>
      <c r="P377" s="42"/>
      <c r="Q377" s="42"/>
      <c r="R377" s="42"/>
      <c r="S377" s="42"/>
      <c r="T377" s="42"/>
      <c r="U377" s="42"/>
      <c r="V377" s="42"/>
      <c r="W377" s="42"/>
      <c r="X377" s="42"/>
      <c r="Y377" s="42"/>
      <c r="Z377" s="42"/>
    </row>
    <row r="378" ht="15.75" customHeight="1">
      <c r="A378" s="42"/>
      <c r="B378" s="42"/>
      <c r="C378" s="42"/>
      <c r="D378" s="42"/>
      <c r="E378" s="42"/>
      <c r="F378" s="42"/>
      <c r="G378" s="42"/>
      <c r="H378" s="63"/>
      <c r="I378" s="42"/>
      <c r="J378" s="42"/>
      <c r="K378" s="42"/>
      <c r="L378" s="42"/>
      <c r="M378" s="42"/>
      <c r="N378" s="42"/>
      <c r="O378" s="42"/>
      <c r="P378" s="42"/>
      <c r="Q378" s="42"/>
      <c r="R378" s="42"/>
      <c r="S378" s="42"/>
      <c r="T378" s="42"/>
      <c r="U378" s="42"/>
      <c r="V378" s="42"/>
      <c r="W378" s="42"/>
      <c r="X378" s="42"/>
      <c r="Y378" s="42"/>
      <c r="Z378" s="42"/>
    </row>
    <row r="379" ht="15.75" customHeight="1">
      <c r="A379" s="42"/>
      <c r="B379" s="42"/>
      <c r="C379" s="42"/>
      <c r="D379" s="42"/>
      <c r="E379" s="42"/>
      <c r="F379" s="42"/>
      <c r="G379" s="42"/>
      <c r="H379" s="63"/>
      <c r="I379" s="42"/>
      <c r="J379" s="42"/>
      <c r="K379" s="42"/>
      <c r="L379" s="42"/>
      <c r="M379" s="42"/>
      <c r="N379" s="42"/>
      <c r="O379" s="42"/>
      <c r="P379" s="42"/>
      <c r="Q379" s="42"/>
      <c r="R379" s="42"/>
      <c r="S379" s="42"/>
      <c r="T379" s="42"/>
      <c r="U379" s="42"/>
      <c r="V379" s="42"/>
      <c r="W379" s="42"/>
      <c r="X379" s="42"/>
      <c r="Y379" s="42"/>
      <c r="Z379" s="42"/>
    </row>
    <row r="380" ht="15.75" customHeight="1">
      <c r="A380" s="42"/>
      <c r="B380" s="42"/>
      <c r="C380" s="42"/>
      <c r="D380" s="42"/>
      <c r="E380" s="42"/>
      <c r="F380" s="42"/>
      <c r="G380" s="42"/>
      <c r="H380" s="63"/>
      <c r="I380" s="42"/>
      <c r="J380" s="42"/>
      <c r="K380" s="42"/>
      <c r="L380" s="42"/>
      <c r="M380" s="42"/>
      <c r="N380" s="42"/>
      <c r="O380" s="42"/>
      <c r="P380" s="42"/>
      <c r="Q380" s="42"/>
      <c r="R380" s="42"/>
      <c r="S380" s="42"/>
      <c r="T380" s="42"/>
      <c r="U380" s="42"/>
      <c r="V380" s="42"/>
      <c r="W380" s="42"/>
      <c r="X380" s="42"/>
      <c r="Y380" s="42"/>
      <c r="Z380" s="42"/>
    </row>
    <row r="381" ht="15.75" customHeight="1">
      <c r="A381" s="42"/>
      <c r="B381" s="42"/>
      <c r="C381" s="42"/>
      <c r="D381" s="42"/>
      <c r="E381" s="42"/>
      <c r="F381" s="42"/>
      <c r="G381" s="42"/>
      <c r="H381" s="63"/>
      <c r="I381" s="42"/>
      <c r="J381" s="42"/>
      <c r="K381" s="42"/>
      <c r="L381" s="42"/>
      <c r="M381" s="42"/>
      <c r="N381" s="42"/>
      <c r="O381" s="42"/>
      <c r="P381" s="42"/>
      <c r="Q381" s="42"/>
      <c r="R381" s="42"/>
      <c r="S381" s="42"/>
      <c r="T381" s="42"/>
      <c r="U381" s="42"/>
      <c r="V381" s="42"/>
      <c r="W381" s="42"/>
      <c r="X381" s="42"/>
      <c r="Y381" s="42"/>
      <c r="Z381" s="42"/>
    </row>
    <row r="382" ht="15.75" customHeight="1">
      <c r="A382" s="42"/>
      <c r="B382" s="42"/>
      <c r="C382" s="42"/>
      <c r="D382" s="42"/>
      <c r="E382" s="42"/>
      <c r="F382" s="42"/>
      <c r="G382" s="42"/>
      <c r="H382" s="63"/>
      <c r="I382" s="42"/>
      <c r="J382" s="42"/>
      <c r="K382" s="42"/>
      <c r="L382" s="42"/>
      <c r="M382" s="42"/>
      <c r="N382" s="42"/>
      <c r="O382" s="42"/>
      <c r="P382" s="42"/>
      <c r="Q382" s="42"/>
      <c r="R382" s="42"/>
      <c r="S382" s="42"/>
      <c r="T382" s="42"/>
      <c r="U382" s="42"/>
      <c r="V382" s="42"/>
      <c r="W382" s="42"/>
      <c r="X382" s="42"/>
      <c r="Y382" s="42"/>
      <c r="Z382" s="42"/>
    </row>
    <row r="383" ht="15.75" customHeight="1">
      <c r="A383" s="42"/>
      <c r="B383" s="42"/>
      <c r="C383" s="42"/>
      <c r="D383" s="42"/>
      <c r="E383" s="42"/>
      <c r="F383" s="42"/>
      <c r="G383" s="42"/>
      <c r="H383" s="63"/>
      <c r="I383" s="42"/>
      <c r="J383" s="42"/>
      <c r="K383" s="42"/>
      <c r="L383" s="42"/>
      <c r="M383" s="42"/>
      <c r="N383" s="42"/>
      <c r="O383" s="42"/>
      <c r="P383" s="42"/>
      <c r="Q383" s="42"/>
      <c r="R383" s="42"/>
      <c r="S383" s="42"/>
      <c r="T383" s="42"/>
      <c r="U383" s="42"/>
      <c r="V383" s="42"/>
      <c r="W383" s="42"/>
      <c r="X383" s="42"/>
      <c r="Y383" s="42"/>
      <c r="Z383" s="42"/>
    </row>
    <row r="384" ht="15.75" customHeight="1">
      <c r="A384" s="42"/>
      <c r="B384" s="42"/>
      <c r="C384" s="42"/>
      <c r="D384" s="42"/>
      <c r="E384" s="42"/>
      <c r="F384" s="42"/>
      <c r="G384" s="42"/>
      <c r="H384" s="63"/>
      <c r="I384" s="42"/>
      <c r="J384" s="42"/>
      <c r="K384" s="42"/>
      <c r="L384" s="42"/>
      <c r="M384" s="42"/>
      <c r="N384" s="42"/>
      <c r="O384" s="42"/>
      <c r="P384" s="42"/>
      <c r="Q384" s="42"/>
      <c r="R384" s="42"/>
      <c r="S384" s="42"/>
      <c r="T384" s="42"/>
      <c r="U384" s="42"/>
      <c r="V384" s="42"/>
      <c r="W384" s="42"/>
      <c r="X384" s="42"/>
      <c r="Y384" s="42"/>
      <c r="Z384" s="42"/>
    </row>
    <row r="385" ht="15.75" customHeight="1">
      <c r="A385" s="42"/>
      <c r="B385" s="42"/>
      <c r="C385" s="42"/>
      <c r="D385" s="42"/>
      <c r="E385" s="42"/>
      <c r="F385" s="42"/>
      <c r="G385" s="42"/>
      <c r="H385" s="63"/>
      <c r="I385" s="42"/>
      <c r="J385" s="42"/>
      <c r="K385" s="42"/>
      <c r="L385" s="42"/>
      <c r="M385" s="42"/>
      <c r="N385" s="42"/>
      <c r="O385" s="42"/>
      <c r="P385" s="42"/>
      <c r="Q385" s="42"/>
      <c r="R385" s="42"/>
      <c r="S385" s="42"/>
      <c r="T385" s="42"/>
      <c r="U385" s="42"/>
      <c r="V385" s="42"/>
      <c r="W385" s="42"/>
      <c r="X385" s="42"/>
      <c r="Y385" s="42"/>
      <c r="Z385" s="42"/>
    </row>
    <row r="386" ht="15.75" customHeight="1">
      <c r="A386" s="42"/>
      <c r="B386" s="42"/>
      <c r="C386" s="42"/>
      <c r="D386" s="42"/>
      <c r="E386" s="42"/>
      <c r="F386" s="42"/>
      <c r="G386" s="42"/>
      <c r="H386" s="63"/>
      <c r="I386" s="42"/>
      <c r="J386" s="42"/>
      <c r="K386" s="42"/>
      <c r="L386" s="42"/>
      <c r="M386" s="42"/>
      <c r="N386" s="42"/>
      <c r="O386" s="42"/>
      <c r="P386" s="42"/>
      <c r="Q386" s="42"/>
      <c r="R386" s="42"/>
      <c r="S386" s="42"/>
      <c r="T386" s="42"/>
      <c r="U386" s="42"/>
      <c r="V386" s="42"/>
      <c r="W386" s="42"/>
      <c r="X386" s="42"/>
      <c r="Y386" s="42"/>
      <c r="Z386" s="42"/>
    </row>
    <row r="387" ht="15.75" customHeight="1">
      <c r="A387" s="42"/>
      <c r="B387" s="42"/>
      <c r="C387" s="42"/>
      <c r="D387" s="42"/>
      <c r="E387" s="42"/>
      <c r="F387" s="42"/>
      <c r="G387" s="42"/>
      <c r="H387" s="63"/>
      <c r="I387" s="42"/>
      <c r="J387" s="42"/>
      <c r="K387" s="42"/>
      <c r="L387" s="42"/>
      <c r="M387" s="42"/>
      <c r="N387" s="42"/>
      <c r="O387" s="42"/>
      <c r="P387" s="42"/>
      <c r="Q387" s="42"/>
      <c r="R387" s="42"/>
      <c r="S387" s="42"/>
      <c r="T387" s="42"/>
      <c r="U387" s="42"/>
      <c r="V387" s="42"/>
      <c r="W387" s="42"/>
      <c r="X387" s="42"/>
      <c r="Y387" s="42"/>
      <c r="Z387" s="42"/>
    </row>
    <row r="388" ht="15.75" customHeight="1">
      <c r="A388" s="42"/>
      <c r="B388" s="42"/>
      <c r="C388" s="42"/>
      <c r="D388" s="42"/>
      <c r="E388" s="42"/>
      <c r="F388" s="42"/>
      <c r="G388" s="42"/>
      <c r="H388" s="63"/>
      <c r="I388" s="42"/>
      <c r="J388" s="42"/>
      <c r="K388" s="42"/>
      <c r="L388" s="42"/>
      <c r="M388" s="42"/>
      <c r="N388" s="42"/>
      <c r="O388" s="42"/>
      <c r="P388" s="42"/>
      <c r="Q388" s="42"/>
      <c r="R388" s="42"/>
      <c r="S388" s="42"/>
      <c r="T388" s="42"/>
      <c r="U388" s="42"/>
      <c r="V388" s="42"/>
      <c r="W388" s="42"/>
      <c r="X388" s="42"/>
      <c r="Y388" s="42"/>
      <c r="Z388" s="42"/>
    </row>
    <row r="389" ht="15.75" customHeight="1">
      <c r="A389" s="42"/>
      <c r="B389" s="42"/>
      <c r="C389" s="42"/>
      <c r="D389" s="42"/>
      <c r="E389" s="42"/>
      <c r="F389" s="42"/>
      <c r="G389" s="42"/>
      <c r="H389" s="63"/>
      <c r="I389" s="42"/>
      <c r="J389" s="42"/>
      <c r="K389" s="42"/>
      <c r="L389" s="42"/>
      <c r="M389" s="42"/>
      <c r="N389" s="42"/>
      <c r="O389" s="42"/>
      <c r="P389" s="42"/>
      <c r="Q389" s="42"/>
      <c r="R389" s="42"/>
      <c r="S389" s="42"/>
      <c r="T389" s="42"/>
      <c r="U389" s="42"/>
      <c r="V389" s="42"/>
      <c r="W389" s="42"/>
      <c r="X389" s="42"/>
      <c r="Y389" s="42"/>
      <c r="Z389" s="42"/>
    </row>
    <row r="390" ht="15.75" customHeight="1">
      <c r="A390" s="42"/>
      <c r="B390" s="42"/>
      <c r="C390" s="42"/>
      <c r="D390" s="42"/>
      <c r="E390" s="42"/>
      <c r="F390" s="42"/>
      <c r="G390" s="42"/>
      <c r="H390" s="63"/>
      <c r="I390" s="42"/>
      <c r="J390" s="42"/>
      <c r="K390" s="42"/>
      <c r="L390" s="42"/>
      <c r="M390" s="42"/>
      <c r="N390" s="42"/>
      <c r="O390" s="42"/>
      <c r="P390" s="42"/>
      <c r="Q390" s="42"/>
      <c r="R390" s="42"/>
      <c r="S390" s="42"/>
      <c r="T390" s="42"/>
      <c r="U390" s="42"/>
      <c r="V390" s="42"/>
      <c r="W390" s="42"/>
      <c r="X390" s="42"/>
      <c r="Y390" s="42"/>
      <c r="Z390" s="42"/>
    </row>
    <row r="391" ht="15.75" customHeight="1">
      <c r="A391" s="42"/>
      <c r="B391" s="42"/>
      <c r="C391" s="42"/>
      <c r="D391" s="42"/>
      <c r="E391" s="42"/>
      <c r="F391" s="42"/>
      <c r="G391" s="42"/>
      <c r="H391" s="63"/>
      <c r="I391" s="42"/>
      <c r="J391" s="42"/>
      <c r="K391" s="42"/>
      <c r="L391" s="42"/>
      <c r="M391" s="42"/>
      <c r="N391" s="42"/>
      <c r="O391" s="42"/>
      <c r="P391" s="42"/>
      <c r="Q391" s="42"/>
      <c r="R391" s="42"/>
      <c r="S391" s="42"/>
      <c r="T391" s="42"/>
      <c r="U391" s="42"/>
      <c r="V391" s="42"/>
      <c r="W391" s="42"/>
      <c r="X391" s="42"/>
      <c r="Y391" s="42"/>
      <c r="Z391" s="42"/>
    </row>
    <row r="392" ht="15.75" customHeight="1">
      <c r="A392" s="42"/>
      <c r="B392" s="42"/>
      <c r="C392" s="42"/>
      <c r="D392" s="42"/>
      <c r="E392" s="42"/>
      <c r="F392" s="42"/>
      <c r="G392" s="42"/>
      <c r="H392" s="63"/>
      <c r="I392" s="42"/>
      <c r="J392" s="42"/>
      <c r="K392" s="42"/>
      <c r="L392" s="42"/>
      <c r="M392" s="42"/>
      <c r="N392" s="42"/>
      <c r="O392" s="42"/>
      <c r="P392" s="42"/>
      <c r="Q392" s="42"/>
      <c r="R392" s="42"/>
      <c r="S392" s="42"/>
      <c r="T392" s="42"/>
      <c r="U392" s="42"/>
      <c r="V392" s="42"/>
      <c r="W392" s="42"/>
      <c r="X392" s="42"/>
      <c r="Y392" s="42"/>
      <c r="Z392" s="42"/>
    </row>
    <row r="393" ht="15.75" customHeight="1">
      <c r="A393" s="42"/>
      <c r="B393" s="42"/>
      <c r="C393" s="42"/>
      <c r="D393" s="42"/>
      <c r="E393" s="42"/>
      <c r="F393" s="42"/>
      <c r="G393" s="42"/>
      <c r="H393" s="63"/>
      <c r="I393" s="42"/>
      <c r="J393" s="42"/>
      <c r="K393" s="42"/>
      <c r="L393" s="42"/>
      <c r="M393" s="42"/>
      <c r="N393" s="42"/>
      <c r="O393" s="42"/>
      <c r="P393" s="42"/>
      <c r="Q393" s="42"/>
      <c r="R393" s="42"/>
      <c r="S393" s="42"/>
      <c r="T393" s="42"/>
      <c r="U393" s="42"/>
      <c r="V393" s="42"/>
      <c r="W393" s="42"/>
      <c r="X393" s="42"/>
      <c r="Y393" s="42"/>
      <c r="Z393" s="42"/>
    </row>
    <row r="394" ht="15.75" customHeight="1">
      <c r="A394" s="42"/>
      <c r="B394" s="42"/>
      <c r="C394" s="42"/>
      <c r="D394" s="42"/>
      <c r="E394" s="42"/>
      <c r="F394" s="42"/>
      <c r="G394" s="42"/>
      <c r="H394" s="63"/>
      <c r="I394" s="42"/>
      <c r="J394" s="42"/>
      <c r="K394" s="42"/>
      <c r="L394" s="42"/>
      <c r="M394" s="42"/>
      <c r="N394" s="42"/>
      <c r="O394" s="42"/>
      <c r="P394" s="42"/>
      <c r="Q394" s="42"/>
      <c r="R394" s="42"/>
      <c r="S394" s="42"/>
      <c r="T394" s="42"/>
      <c r="U394" s="42"/>
      <c r="V394" s="42"/>
      <c r="W394" s="42"/>
      <c r="X394" s="42"/>
      <c r="Y394" s="42"/>
      <c r="Z394" s="42"/>
    </row>
    <row r="395" ht="15.75" customHeight="1">
      <c r="A395" s="42"/>
      <c r="B395" s="42"/>
      <c r="C395" s="42"/>
      <c r="D395" s="42"/>
      <c r="E395" s="42"/>
      <c r="F395" s="42"/>
      <c r="G395" s="42"/>
      <c r="H395" s="63"/>
      <c r="I395" s="42"/>
      <c r="J395" s="42"/>
      <c r="K395" s="42"/>
      <c r="L395" s="42"/>
      <c r="M395" s="42"/>
      <c r="N395" s="42"/>
      <c r="O395" s="42"/>
      <c r="P395" s="42"/>
      <c r="Q395" s="42"/>
      <c r="R395" s="42"/>
      <c r="S395" s="42"/>
      <c r="T395" s="42"/>
      <c r="U395" s="42"/>
      <c r="V395" s="42"/>
      <c r="W395" s="42"/>
      <c r="X395" s="42"/>
      <c r="Y395" s="42"/>
      <c r="Z395" s="42"/>
    </row>
    <row r="396" ht="15.75" customHeight="1">
      <c r="A396" s="42"/>
      <c r="B396" s="42"/>
      <c r="C396" s="42"/>
      <c r="D396" s="42"/>
      <c r="E396" s="42"/>
      <c r="F396" s="42"/>
      <c r="G396" s="42"/>
      <c r="H396" s="63"/>
      <c r="I396" s="42"/>
      <c r="J396" s="42"/>
      <c r="K396" s="42"/>
      <c r="L396" s="42"/>
      <c r="M396" s="42"/>
      <c r="N396" s="42"/>
      <c r="O396" s="42"/>
      <c r="P396" s="42"/>
      <c r="Q396" s="42"/>
      <c r="R396" s="42"/>
      <c r="S396" s="42"/>
      <c r="T396" s="42"/>
      <c r="U396" s="42"/>
      <c r="V396" s="42"/>
      <c r="W396" s="42"/>
      <c r="X396" s="42"/>
      <c r="Y396" s="42"/>
      <c r="Z396" s="42"/>
    </row>
    <row r="397" ht="15.75" customHeight="1">
      <c r="A397" s="42"/>
      <c r="B397" s="42"/>
      <c r="C397" s="42"/>
      <c r="D397" s="42"/>
      <c r="E397" s="42"/>
      <c r="F397" s="42"/>
      <c r="G397" s="42"/>
      <c r="H397" s="63"/>
      <c r="I397" s="42"/>
      <c r="J397" s="42"/>
      <c r="K397" s="42"/>
      <c r="L397" s="42"/>
      <c r="M397" s="42"/>
      <c r="N397" s="42"/>
      <c r="O397" s="42"/>
      <c r="P397" s="42"/>
      <c r="Q397" s="42"/>
      <c r="R397" s="42"/>
      <c r="S397" s="42"/>
      <c r="T397" s="42"/>
      <c r="U397" s="42"/>
      <c r="V397" s="42"/>
      <c r="W397" s="42"/>
      <c r="X397" s="42"/>
      <c r="Y397" s="42"/>
      <c r="Z397" s="42"/>
    </row>
    <row r="398" ht="15.75" customHeight="1">
      <c r="A398" s="42"/>
      <c r="B398" s="42"/>
      <c r="C398" s="42"/>
      <c r="D398" s="42"/>
      <c r="E398" s="42"/>
      <c r="F398" s="42"/>
      <c r="G398" s="42"/>
      <c r="H398" s="63"/>
      <c r="I398" s="42"/>
      <c r="J398" s="42"/>
      <c r="K398" s="42"/>
      <c r="L398" s="42"/>
      <c r="M398" s="42"/>
      <c r="N398" s="42"/>
      <c r="O398" s="42"/>
      <c r="P398" s="42"/>
      <c r="Q398" s="42"/>
      <c r="R398" s="42"/>
      <c r="S398" s="42"/>
      <c r="T398" s="42"/>
      <c r="U398" s="42"/>
      <c r="V398" s="42"/>
      <c r="W398" s="42"/>
      <c r="X398" s="42"/>
      <c r="Y398" s="42"/>
      <c r="Z398" s="42"/>
    </row>
    <row r="399" ht="15.75" customHeight="1">
      <c r="A399" s="42"/>
      <c r="B399" s="42"/>
      <c r="C399" s="42"/>
      <c r="D399" s="42"/>
      <c r="E399" s="42"/>
      <c r="F399" s="42"/>
      <c r="G399" s="42"/>
      <c r="H399" s="63"/>
      <c r="I399" s="42"/>
      <c r="J399" s="42"/>
      <c r="K399" s="42"/>
      <c r="L399" s="42"/>
      <c r="M399" s="42"/>
      <c r="N399" s="42"/>
      <c r="O399" s="42"/>
      <c r="P399" s="42"/>
      <c r="Q399" s="42"/>
      <c r="R399" s="42"/>
      <c r="S399" s="42"/>
      <c r="T399" s="42"/>
      <c r="U399" s="42"/>
      <c r="V399" s="42"/>
      <c r="W399" s="42"/>
      <c r="X399" s="42"/>
      <c r="Y399" s="42"/>
      <c r="Z399" s="42"/>
    </row>
    <row r="400" ht="15.75" customHeight="1">
      <c r="A400" s="42"/>
      <c r="B400" s="42"/>
      <c r="C400" s="42"/>
      <c r="D400" s="42"/>
      <c r="E400" s="42"/>
      <c r="F400" s="42"/>
      <c r="G400" s="42"/>
      <c r="H400" s="63"/>
      <c r="I400" s="42"/>
      <c r="J400" s="42"/>
      <c r="K400" s="42"/>
      <c r="L400" s="42"/>
      <c r="M400" s="42"/>
      <c r="N400" s="42"/>
      <c r="O400" s="42"/>
      <c r="P400" s="42"/>
      <c r="Q400" s="42"/>
      <c r="R400" s="42"/>
      <c r="S400" s="42"/>
      <c r="T400" s="42"/>
      <c r="U400" s="42"/>
      <c r="V400" s="42"/>
      <c r="W400" s="42"/>
      <c r="X400" s="42"/>
      <c r="Y400" s="42"/>
      <c r="Z400" s="42"/>
    </row>
    <row r="401" ht="15.75" customHeight="1">
      <c r="A401" s="42"/>
      <c r="B401" s="42"/>
      <c r="C401" s="42"/>
      <c r="D401" s="42"/>
      <c r="E401" s="42"/>
      <c r="F401" s="42"/>
      <c r="G401" s="42"/>
      <c r="H401" s="63"/>
      <c r="I401" s="42"/>
      <c r="J401" s="42"/>
      <c r="K401" s="42"/>
      <c r="L401" s="42"/>
      <c r="M401" s="42"/>
      <c r="N401" s="42"/>
      <c r="O401" s="42"/>
      <c r="P401" s="42"/>
      <c r="Q401" s="42"/>
      <c r="R401" s="42"/>
      <c r="S401" s="42"/>
      <c r="T401" s="42"/>
      <c r="U401" s="42"/>
      <c r="V401" s="42"/>
      <c r="W401" s="42"/>
      <c r="X401" s="42"/>
      <c r="Y401" s="42"/>
      <c r="Z401" s="42"/>
    </row>
    <row r="402" ht="15.75" customHeight="1">
      <c r="A402" s="42"/>
      <c r="B402" s="42"/>
      <c r="C402" s="42"/>
      <c r="D402" s="42"/>
      <c r="E402" s="42"/>
      <c r="F402" s="42"/>
      <c r="G402" s="42"/>
      <c r="H402" s="63"/>
      <c r="I402" s="42"/>
      <c r="J402" s="42"/>
      <c r="K402" s="42"/>
      <c r="L402" s="42"/>
      <c r="M402" s="42"/>
      <c r="N402" s="42"/>
      <c r="O402" s="42"/>
      <c r="P402" s="42"/>
      <c r="Q402" s="42"/>
      <c r="R402" s="42"/>
      <c r="S402" s="42"/>
      <c r="T402" s="42"/>
      <c r="U402" s="42"/>
      <c r="V402" s="42"/>
      <c r="W402" s="42"/>
      <c r="X402" s="42"/>
      <c r="Y402" s="42"/>
      <c r="Z402" s="42"/>
    </row>
    <row r="403" ht="15.75" customHeight="1">
      <c r="A403" s="42"/>
      <c r="B403" s="42"/>
      <c r="C403" s="42"/>
      <c r="D403" s="42"/>
      <c r="E403" s="42"/>
      <c r="F403" s="42"/>
      <c r="G403" s="42"/>
      <c r="H403" s="63"/>
      <c r="I403" s="42"/>
      <c r="J403" s="42"/>
      <c r="K403" s="42"/>
      <c r="L403" s="42"/>
      <c r="M403" s="42"/>
      <c r="N403" s="42"/>
      <c r="O403" s="42"/>
      <c r="P403" s="42"/>
      <c r="Q403" s="42"/>
      <c r="R403" s="42"/>
      <c r="S403" s="42"/>
      <c r="T403" s="42"/>
      <c r="U403" s="42"/>
      <c r="V403" s="42"/>
      <c r="W403" s="42"/>
      <c r="X403" s="42"/>
      <c r="Y403" s="42"/>
      <c r="Z403" s="42"/>
    </row>
    <row r="404" ht="15.75" customHeight="1">
      <c r="A404" s="42"/>
      <c r="B404" s="42"/>
      <c r="C404" s="42"/>
      <c r="D404" s="42"/>
      <c r="E404" s="42"/>
      <c r="F404" s="42"/>
      <c r="G404" s="42"/>
      <c r="H404" s="63"/>
      <c r="I404" s="42"/>
      <c r="J404" s="42"/>
      <c r="K404" s="42"/>
      <c r="L404" s="42"/>
      <c r="M404" s="42"/>
      <c r="N404" s="42"/>
      <c r="O404" s="42"/>
      <c r="P404" s="42"/>
      <c r="Q404" s="42"/>
      <c r="R404" s="42"/>
      <c r="S404" s="42"/>
      <c r="T404" s="42"/>
      <c r="U404" s="42"/>
      <c r="V404" s="42"/>
      <c r="W404" s="42"/>
      <c r="X404" s="42"/>
      <c r="Y404" s="42"/>
      <c r="Z404" s="42"/>
    </row>
    <row r="405" ht="15.75" customHeight="1">
      <c r="A405" s="42"/>
      <c r="B405" s="42"/>
      <c r="C405" s="42"/>
      <c r="D405" s="42"/>
      <c r="E405" s="42"/>
      <c r="F405" s="42"/>
      <c r="G405" s="42"/>
      <c r="H405" s="63"/>
      <c r="I405" s="42"/>
      <c r="J405" s="42"/>
      <c r="K405" s="42"/>
      <c r="L405" s="42"/>
      <c r="M405" s="42"/>
      <c r="N405" s="42"/>
      <c r="O405" s="42"/>
      <c r="P405" s="42"/>
      <c r="Q405" s="42"/>
      <c r="R405" s="42"/>
      <c r="S405" s="42"/>
      <c r="T405" s="42"/>
      <c r="U405" s="42"/>
      <c r="V405" s="42"/>
      <c r="W405" s="42"/>
      <c r="X405" s="42"/>
      <c r="Y405" s="42"/>
      <c r="Z405" s="42"/>
    </row>
    <row r="406" ht="15.75" customHeight="1">
      <c r="A406" s="42"/>
      <c r="B406" s="42"/>
      <c r="C406" s="42"/>
      <c r="D406" s="42"/>
      <c r="E406" s="42"/>
      <c r="F406" s="42"/>
      <c r="G406" s="42"/>
      <c r="H406" s="63"/>
      <c r="I406" s="42"/>
      <c r="J406" s="42"/>
      <c r="K406" s="42"/>
      <c r="L406" s="42"/>
      <c r="M406" s="42"/>
      <c r="N406" s="42"/>
      <c r="O406" s="42"/>
      <c r="P406" s="42"/>
      <c r="Q406" s="42"/>
      <c r="R406" s="42"/>
      <c r="S406" s="42"/>
      <c r="T406" s="42"/>
      <c r="U406" s="42"/>
      <c r="V406" s="42"/>
      <c r="W406" s="42"/>
      <c r="X406" s="42"/>
      <c r="Y406" s="42"/>
      <c r="Z406" s="42"/>
    </row>
    <row r="407" ht="15.75" customHeight="1">
      <c r="A407" s="42"/>
      <c r="B407" s="42"/>
      <c r="C407" s="42"/>
      <c r="D407" s="42"/>
      <c r="E407" s="42"/>
      <c r="F407" s="42"/>
      <c r="G407" s="42"/>
      <c r="H407" s="63"/>
      <c r="I407" s="42"/>
      <c r="J407" s="42"/>
      <c r="K407" s="42"/>
      <c r="L407" s="42"/>
      <c r="M407" s="42"/>
      <c r="N407" s="42"/>
      <c r="O407" s="42"/>
      <c r="P407" s="42"/>
      <c r="Q407" s="42"/>
      <c r="R407" s="42"/>
      <c r="S407" s="42"/>
      <c r="T407" s="42"/>
      <c r="U407" s="42"/>
      <c r="V407" s="42"/>
      <c r="W407" s="42"/>
      <c r="X407" s="42"/>
      <c r="Y407" s="42"/>
      <c r="Z407" s="42"/>
    </row>
    <row r="408" ht="15.75" customHeight="1">
      <c r="A408" s="42"/>
      <c r="B408" s="42"/>
      <c r="C408" s="42"/>
      <c r="D408" s="42"/>
      <c r="E408" s="42"/>
      <c r="F408" s="42"/>
      <c r="G408" s="42"/>
      <c r="H408" s="63"/>
      <c r="I408" s="42"/>
      <c r="J408" s="42"/>
      <c r="K408" s="42"/>
      <c r="L408" s="42"/>
      <c r="M408" s="42"/>
      <c r="N408" s="42"/>
      <c r="O408" s="42"/>
      <c r="P408" s="42"/>
      <c r="Q408" s="42"/>
      <c r="R408" s="42"/>
      <c r="S408" s="42"/>
      <c r="T408" s="42"/>
      <c r="U408" s="42"/>
      <c r="V408" s="42"/>
      <c r="W408" s="42"/>
      <c r="X408" s="42"/>
      <c r="Y408" s="42"/>
      <c r="Z408" s="42"/>
    </row>
    <row r="409" ht="15.75" customHeight="1">
      <c r="A409" s="42"/>
      <c r="B409" s="42"/>
      <c r="C409" s="42"/>
      <c r="D409" s="42"/>
      <c r="E409" s="42"/>
      <c r="F409" s="42"/>
      <c r="G409" s="42"/>
      <c r="H409" s="63"/>
      <c r="I409" s="42"/>
      <c r="J409" s="42"/>
      <c r="K409" s="42"/>
      <c r="L409" s="42"/>
      <c r="M409" s="42"/>
      <c r="N409" s="42"/>
      <c r="O409" s="42"/>
      <c r="P409" s="42"/>
      <c r="Q409" s="42"/>
      <c r="R409" s="42"/>
      <c r="S409" s="42"/>
      <c r="T409" s="42"/>
      <c r="U409" s="42"/>
      <c r="V409" s="42"/>
      <c r="W409" s="42"/>
      <c r="X409" s="42"/>
      <c r="Y409" s="42"/>
      <c r="Z409" s="42"/>
    </row>
    <row r="410" ht="15.75" customHeight="1">
      <c r="A410" s="42"/>
      <c r="B410" s="42"/>
      <c r="C410" s="42"/>
      <c r="D410" s="42"/>
      <c r="E410" s="42"/>
      <c r="F410" s="42"/>
      <c r="G410" s="42"/>
      <c r="H410" s="63"/>
      <c r="I410" s="42"/>
      <c r="J410" s="42"/>
      <c r="K410" s="42"/>
      <c r="L410" s="42"/>
      <c r="M410" s="42"/>
      <c r="N410" s="42"/>
      <c r="O410" s="42"/>
      <c r="P410" s="42"/>
      <c r="Q410" s="42"/>
      <c r="R410" s="42"/>
      <c r="S410" s="42"/>
      <c r="T410" s="42"/>
      <c r="U410" s="42"/>
      <c r="V410" s="42"/>
      <c r="W410" s="42"/>
      <c r="X410" s="42"/>
      <c r="Y410" s="42"/>
      <c r="Z410" s="42"/>
    </row>
    <row r="411" ht="15.75" customHeight="1">
      <c r="A411" s="42"/>
      <c r="B411" s="42"/>
      <c r="C411" s="42"/>
      <c r="D411" s="42"/>
      <c r="E411" s="42"/>
      <c r="F411" s="42"/>
      <c r="G411" s="42"/>
      <c r="H411" s="63"/>
      <c r="I411" s="42"/>
      <c r="J411" s="42"/>
      <c r="K411" s="42"/>
      <c r="L411" s="42"/>
      <c r="M411" s="42"/>
      <c r="N411" s="42"/>
      <c r="O411" s="42"/>
      <c r="P411" s="42"/>
      <c r="Q411" s="42"/>
      <c r="R411" s="42"/>
      <c r="S411" s="42"/>
      <c r="T411" s="42"/>
      <c r="U411" s="42"/>
      <c r="V411" s="42"/>
      <c r="W411" s="42"/>
      <c r="X411" s="42"/>
      <c r="Y411" s="42"/>
      <c r="Z411" s="42"/>
    </row>
    <row r="412" ht="15.75" customHeight="1">
      <c r="A412" s="42"/>
      <c r="B412" s="42"/>
      <c r="C412" s="42"/>
      <c r="D412" s="42"/>
      <c r="E412" s="42"/>
      <c r="F412" s="42"/>
      <c r="G412" s="42"/>
      <c r="H412" s="63"/>
      <c r="I412" s="42"/>
      <c r="J412" s="42"/>
      <c r="K412" s="42"/>
      <c r="L412" s="42"/>
      <c r="M412" s="42"/>
      <c r="N412" s="42"/>
      <c r="O412" s="42"/>
      <c r="P412" s="42"/>
      <c r="Q412" s="42"/>
      <c r="R412" s="42"/>
      <c r="S412" s="42"/>
      <c r="T412" s="42"/>
      <c r="U412" s="42"/>
      <c r="V412" s="42"/>
      <c r="W412" s="42"/>
      <c r="X412" s="42"/>
      <c r="Y412" s="42"/>
      <c r="Z412" s="42"/>
    </row>
    <row r="413" ht="15.75" customHeight="1">
      <c r="A413" s="42"/>
      <c r="B413" s="42"/>
      <c r="C413" s="42"/>
      <c r="D413" s="42"/>
      <c r="E413" s="42"/>
      <c r="F413" s="42"/>
      <c r="G413" s="42"/>
      <c r="H413" s="63"/>
      <c r="I413" s="42"/>
      <c r="J413" s="42"/>
      <c r="K413" s="42"/>
      <c r="L413" s="42"/>
      <c r="M413" s="42"/>
      <c r="N413" s="42"/>
      <c r="O413" s="42"/>
      <c r="P413" s="42"/>
      <c r="Q413" s="42"/>
      <c r="R413" s="42"/>
      <c r="S413" s="42"/>
      <c r="T413" s="42"/>
      <c r="U413" s="42"/>
      <c r="V413" s="42"/>
      <c r="W413" s="42"/>
      <c r="X413" s="42"/>
      <c r="Y413" s="42"/>
      <c r="Z413" s="42"/>
    </row>
    <row r="414" ht="15.75" customHeight="1">
      <c r="A414" s="42"/>
      <c r="B414" s="42"/>
      <c r="C414" s="42"/>
      <c r="D414" s="42"/>
      <c r="E414" s="42"/>
      <c r="F414" s="42"/>
      <c r="G414" s="42"/>
      <c r="H414" s="63"/>
      <c r="I414" s="42"/>
      <c r="J414" s="42"/>
      <c r="K414" s="42"/>
      <c r="L414" s="42"/>
      <c r="M414" s="42"/>
      <c r="N414" s="42"/>
      <c r="O414" s="42"/>
      <c r="P414" s="42"/>
      <c r="Q414" s="42"/>
      <c r="R414" s="42"/>
      <c r="S414" s="42"/>
      <c r="T414" s="42"/>
      <c r="U414" s="42"/>
      <c r="V414" s="42"/>
      <c r="W414" s="42"/>
      <c r="X414" s="42"/>
      <c r="Y414" s="42"/>
      <c r="Z414" s="42"/>
    </row>
    <row r="415" ht="15.75" customHeight="1">
      <c r="A415" s="42"/>
      <c r="B415" s="42"/>
      <c r="C415" s="42"/>
      <c r="D415" s="42"/>
      <c r="E415" s="42"/>
      <c r="F415" s="42"/>
      <c r="G415" s="42"/>
      <c r="H415" s="63"/>
      <c r="I415" s="42"/>
      <c r="J415" s="42"/>
      <c r="K415" s="42"/>
      <c r="L415" s="42"/>
      <c r="M415" s="42"/>
      <c r="N415" s="42"/>
      <c r="O415" s="42"/>
      <c r="P415" s="42"/>
      <c r="Q415" s="42"/>
      <c r="R415" s="42"/>
      <c r="S415" s="42"/>
      <c r="T415" s="42"/>
      <c r="U415" s="42"/>
      <c r="V415" s="42"/>
      <c r="W415" s="42"/>
      <c r="X415" s="42"/>
      <c r="Y415" s="42"/>
      <c r="Z415" s="42"/>
    </row>
    <row r="416" ht="15.75" customHeight="1">
      <c r="A416" s="42"/>
      <c r="B416" s="42"/>
      <c r="C416" s="42"/>
      <c r="D416" s="42"/>
      <c r="E416" s="42"/>
      <c r="F416" s="42"/>
      <c r="G416" s="42"/>
      <c r="H416" s="63"/>
      <c r="I416" s="42"/>
      <c r="J416" s="42"/>
      <c r="K416" s="42"/>
      <c r="L416" s="42"/>
      <c r="M416" s="42"/>
      <c r="N416" s="42"/>
      <c r="O416" s="42"/>
      <c r="P416" s="42"/>
      <c r="Q416" s="42"/>
      <c r="R416" s="42"/>
      <c r="S416" s="42"/>
      <c r="T416" s="42"/>
      <c r="U416" s="42"/>
      <c r="V416" s="42"/>
      <c r="W416" s="42"/>
      <c r="X416" s="42"/>
      <c r="Y416" s="42"/>
      <c r="Z416" s="42"/>
    </row>
    <row r="417" ht="15.75" customHeight="1">
      <c r="A417" s="42"/>
      <c r="B417" s="42"/>
      <c r="C417" s="42"/>
      <c r="D417" s="42"/>
      <c r="E417" s="42"/>
      <c r="F417" s="42"/>
      <c r="G417" s="42"/>
      <c r="H417" s="63"/>
      <c r="I417" s="42"/>
      <c r="J417" s="42"/>
      <c r="K417" s="42"/>
      <c r="L417" s="42"/>
      <c r="M417" s="42"/>
      <c r="N417" s="42"/>
      <c r="O417" s="42"/>
      <c r="P417" s="42"/>
      <c r="Q417" s="42"/>
      <c r="R417" s="42"/>
      <c r="S417" s="42"/>
      <c r="T417" s="42"/>
      <c r="U417" s="42"/>
      <c r="V417" s="42"/>
      <c r="W417" s="42"/>
      <c r="X417" s="42"/>
      <c r="Y417" s="42"/>
      <c r="Z417" s="42"/>
    </row>
    <row r="418" ht="15.75" customHeight="1">
      <c r="A418" s="42"/>
      <c r="B418" s="42"/>
      <c r="C418" s="42"/>
      <c r="D418" s="42"/>
      <c r="E418" s="42"/>
      <c r="F418" s="42"/>
      <c r="G418" s="42"/>
      <c r="H418" s="63"/>
      <c r="I418" s="42"/>
      <c r="J418" s="42"/>
      <c r="K418" s="42"/>
      <c r="L418" s="42"/>
      <c r="M418" s="42"/>
      <c r="N418" s="42"/>
      <c r="O418" s="42"/>
      <c r="P418" s="42"/>
      <c r="Q418" s="42"/>
      <c r="R418" s="42"/>
      <c r="S418" s="42"/>
      <c r="T418" s="42"/>
      <c r="U418" s="42"/>
      <c r="V418" s="42"/>
      <c r="W418" s="42"/>
      <c r="X418" s="42"/>
      <c r="Y418" s="42"/>
      <c r="Z418" s="42"/>
    </row>
    <row r="419" ht="15.75" customHeight="1">
      <c r="A419" s="42"/>
      <c r="B419" s="42"/>
      <c r="C419" s="42"/>
      <c r="D419" s="42"/>
      <c r="E419" s="42"/>
      <c r="F419" s="42"/>
      <c r="G419" s="42"/>
      <c r="H419" s="63"/>
      <c r="I419" s="42"/>
      <c r="J419" s="42"/>
      <c r="K419" s="42"/>
      <c r="L419" s="42"/>
      <c r="M419" s="42"/>
      <c r="N419" s="42"/>
      <c r="O419" s="42"/>
      <c r="P419" s="42"/>
      <c r="Q419" s="42"/>
      <c r="R419" s="42"/>
      <c r="S419" s="42"/>
      <c r="T419" s="42"/>
      <c r="U419" s="42"/>
      <c r="V419" s="42"/>
      <c r="W419" s="42"/>
      <c r="X419" s="42"/>
      <c r="Y419" s="42"/>
      <c r="Z419" s="42"/>
    </row>
    <row r="420" ht="15.75" customHeight="1">
      <c r="A420" s="42"/>
      <c r="B420" s="42"/>
      <c r="C420" s="42"/>
      <c r="D420" s="42"/>
      <c r="E420" s="42"/>
      <c r="F420" s="42"/>
      <c r="G420" s="42"/>
      <c r="H420" s="63"/>
      <c r="I420" s="42"/>
      <c r="J420" s="42"/>
      <c r="K420" s="42"/>
      <c r="L420" s="42"/>
      <c r="M420" s="42"/>
      <c r="N420" s="42"/>
      <c r="O420" s="42"/>
      <c r="P420" s="42"/>
      <c r="Q420" s="42"/>
      <c r="R420" s="42"/>
      <c r="S420" s="42"/>
      <c r="T420" s="42"/>
      <c r="U420" s="42"/>
      <c r="V420" s="42"/>
      <c r="W420" s="42"/>
      <c r="X420" s="42"/>
      <c r="Y420" s="42"/>
      <c r="Z420" s="42"/>
    </row>
    <row r="421" ht="15.75" customHeight="1">
      <c r="A421" s="42"/>
      <c r="B421" s="42"/>
      <c r="C421" s="42"/>
      <c r="D421" s="42"/>
      <c r="E421" s="42"/>
      <c r="F421" s="42"/>
      <c r="G421" s="42"/>
      <c r="H421" s="63"/>
      <c r="I421" s="42"/>
      <c r="J421" s="42"/>
      <c r="K421" s="42"/>
      <c r="L421" s="42"/>
      <c r="M421" s="42"/>
      <c r="N421" s="42"/>
      <c r="O421" s="42"/>
      <c r="P421" s="42"/>
      <c r="Q421" s="42"/>
      <c r="R421" s="42"/>
      <c r="S421" s="42"/>
      <c r="T421" s="42"/>
      <c r="U421" s="42"/>
      <c r="V421" s="42"/>
      <c r="W421" s="42"/>
      <c r="X421" s="42"/>
      <c r="Y421" s="42"/>
      <c r="Z421" s="42"/>
    </row>
    <row r="422" ht="15.75" customHeight="1">
      <c r="A422" s="42"/>
      <c r="B422" s="42"/>
      <c r="C422" s="42"/>
      <c r="D422" s="42"/>
      <c r="E422" s="42"/>
      <c r="F422" s="42"/>
      <c r="G422" s="42"/>
      <c r="H422" s="63"/>
      <c r="I422" s="42"/>
      <c r="J422" s="42"/>
      <c r="K422" s="42"/>
      <c r="L422" s="42"/>
      <c r="M422" s="42"/>
      <c r="N422" s="42"/>
      <c r="O422" s="42"/>
      <c r="P422" s="42"/>
      <c r="Q422" s="42"/>
      <c r="R422" s="42"/>
      <c r="S422" s="42"/>
      <c r="T422" s="42"/>
      <c r="U422" s="42"/>
      <c r="V422" s="42"/>
      <c r="W422" s="42"/>
      <c r="X422" s="42"/>
      <c r="Y422" s="42"/>
      <c r="Z422" s="42"/>
    </row>
    <row r="423" ht="15.75" customHeight="1">
      <c r="A423" s="42"/>
      <c r="B423" s="42"/>
      <c r="C423" s="42"/>
      <c r="D423" s="42"/>
      <c r="E423" s="42"/>
      <c r="F423" s="42"/>
      <c r="G423" s="42"/>
      <c r="H423" s="63"/>
      <c r="I423" s="42"/>
      <c r="J423" s="42"/>
      <c r="K423" s="42"/>
      <c r="L423" s="42"/>
      <c r="M423" s="42"/>
      <c r="N423" s="42"/>
      <c r="O423" s="42"/>
      <c r="P423" s="42"/>
      <c r="Q423" s="42"/>
      <c r="R423" s="42"/>
      <c r="S423" s="42"/>
      <c r="T423" s="42"/>
      <c r="U423" s="42"/>
      <c r="V423" s="42"/>
      <c r="W423" s="42"/>
      <c r="X423" s="42"/>
      <c r="Y423" s="42"/>
      <c r="Z423" s="42"/>
    </row>
    <row r="424" ht="15.75" customHeight="1">
      <c r="A424" s="42"/>
      <c r="B424" s="42"/>
      <c r="C424" s="42"/>
      <c r="D424" s="42"/>
      <c r="E424" s="42"/>
      <c r="F424" s="42"/>
      <c r="G424" s="42"/>
      <c r="H424" s="63"/>
      <c r="I424" s="42"/>
      <c r="J424" s="42"/>
      <c r="K424" s="42"/>
      <c r="L424" s="42"/>
      <c r="M424" s="42"/>
      <c r="N424" s="42"/>
      <c r="O424" s="42"/>
      <c r="P424" s="42"/>
      <c r="Q424" s="42"/>
      <c r="R424" s="42"/>
      <c r="S424" s="42"/>
      <c r="T424" s="42"/>
      <c r="U424" s="42"/>
      <c r="V424" s="42"/>
      <c r="W424" s="42"/>
      <c r="X424" s="42"/>
      <c r="Y424" s="42"/>
      <c r="Z424" s="42"/>
    </row>
    <row r="425" ht="15.75" customHeight="1">
      <c r="A425" s="42"/>
      <c r="B425" s="42"/>
      <c r="C425" s="42"/>
      <c r="D425" s="42"/>
      <c r="E425" s="42"/>
      <c r="F425" s="42"/>
      <c r="G425" s="42"/>
      <c r="H425" s="63"/>
      <c r="I425" s="42"/>
      <c r="J425" s="42"/>
      <c r="K425" s="42"/>
      <c r="L425" s="42"/>
      <c r="M425" s="42"/>
      <c r="N425" s="42"/>
      <c r="O425" s="42"/>
      <c r="P425" s="42"/>
      <c r="Q425" s="42"/>
      <c r="R425" s="42"/>
      <c r="S425" s="42"/>
      <c r="T425" s="42"/>
      <c r="U425" s="42"/>
      <c r="V425" s="42"/>
      <c r="W425" s="42"/>
      <c r="X425" s="42"/>
      <c r="Y425" s="42"/>
      <c r="Z425" s="42"/>
    </row>
    <row r="426" ht="15.75" customHeight="1">
      <c r="A426" s="42"/>
      <c r="B426" s="42"/>
      <c r="C426" s="42"/>
      <c r="D426" s="42"/>
      <c r="E426" s="42"/>
      <c r="F426" s="42"/>
      <c r="G426" s="42"/>
      <c r="H426" s="63"/>
      <c r="I426" s="42"/>
      <c r="J426" s="42"/>
      <c r="K426" s="42"/>
      <c r="L426" s="42"/>
      <c r="M426" s="42"/>
      <c r="N426" s="42"/>
      <c r="O426" s="42"/>
      <c r="P426" s="42"/>
      <c r="Q426" s="42"/>
      <c r="R426" s="42"/>
      <c r="S426" s="42"/>
      <c r="T426" s="42"/>
      <c r="U426" s="42"/>
      <c r="V426" s="42"/>
      <c r="W426" s="42"/>
      <c r="X426" s="42"/>
      <c r="Y426" s="42"/>
      <c r="Z426" s="42"/>
    </row>
    <row r="427" ht="15.75" customHeight="1">
      <c r="A427" s="42"/>
      <c r="B427" s="42"/>
      <c r="C427" s="42"/>
      <c r="D427" s="42"/>
      <c r="E427" s="42"/>
      <c r="F427" s="42"/>
      <c r="G427" s="42"/>
      <c r="H427" s="63"/>
      <c r="I427" s="42"/>
      <c r="J427" s="42"/>
      <c r="K427" s="42"/>
      <c r="L427" s="42"/>
      <c r="M427" s="42"/>
      <c r="N427" s="42"/>
      <c r="O427" s="42"/>
      <c r="P427" s="42"/>
      <c r="Q427" s="42"/>
      <c r="R427" s="42"/>
      <c r="S427" s="42"/>
      <c r="T427" s="42"/>
      <c r="U427" s="42"/>
      <c r="V427" s="42"/>
      <c r="W427" s="42"/>
      <c r="X427" s="42"/>
      <c r="Y427" s="42"/>
      <c r="Z427" s="42"/>
    </row>
    <row r="428" ht="15.75" customHeight="1">
      <c r="A428" s="42"/>
      <c r="B428" s="42"/>
      <c r="C428" s="42"/>
      <c r="D428" s="42"/>
      <c r="E428" s="42"/>
      <c r="F428" s="42"/>
      <c r="G428" s="42"/>
      <c r="H428" s="63"/>
      <c r="I428" s="42"/>
      <c r="J428" s="42"/>
      <c r="K428" s="42"/>
      <c r="L428" s="42"/>
      <c r="M428" s="42"/>
      <c r="N428" s="42"/>
      <c r="O428" s="42"/>
      <c r="P428" s="42"/>
      <c r="Q428" s="42"/>
      <c r="R428" s="42"/>
      <c r="S428" s="42"/>
      <c r="T428" s="42"/>
      <c r="U428" s="42"/>
      <c r="V428" s="42"/>
      <c r="W428" s="42"/>
      <c r="X428" s="42"/>
      <c r="Y428" s="42"/>
      <c r="Z428" s="42"/>
    </row>
    <row r="429" ht="15.75" customHeight="1">
      <c r="A429" s="42"/>
      <c r="B429" s="42"/>
      <c r="C429" s="42"/>
      <c r="D429" s="42"/>
      <c r="E429" s="42"/>
      <c r="F429" s="42"/>
      <c r="G429" s="42"/>
      <c r="H429" s="63"/>
      <c r="I429" s="42"/>
      <c r="J429" s="42"/>
      <c r="K429" s="42"/>
      <c r="L429" s="42"/>
      <c r="M429" s="42"/>
      <c r="N429" s="42"/>
      <c r="O429" s="42"/>
      <c r="P429" s="42"/>
      <c r="Q429" s="42"/>
      <c r="R429" s="42"/>
      <c r="S429" s="42"/>
      <c r="T429" s="42"/>
      <c r="U429" s="42"/>
      <c r="V429" s="42"/>
      <c r="W429" s="42"/>
      <c r="X429" s="42"/>
      <c r="Y429" s="42"/>
      <c r="Z429" s="42"/>
    </row>
    <row r="430" ht="15.75" customHeight="1">
      <c r="A430" s="42"/>
      <c r="B430" s="42"/>
      <c r="C430" s="42"/>
      <c r="D430" s="42"/>
      <c r="E430" s="42"/>
      <c r="F430" s="42"/>
      <c r="G430" s="42"/>
      <c r="H430" s="63"/>
      <c r="I430" s="42"/>
      <c r="J430" s="42"/>
      <c r="K430" s="42"/>
      <c r="L430" s="42"/>
      <c r="M430" s="42"/>
      <c r="N430" s="42"/>
      <c r="O430" s="42"/>
      <c r="P430" s="42"/>
      <c r="Q430" s="42"/>
      <c r="R430" s="42"/>
      <c r="S430" s="42"/>
      <c r="T430" s="42"/>
      <c r="U430" s="42"/>
      <c r="V430" s="42"/>
      <c r="W430" s="42"/>
      <c r="X430" s="42"/>
      <c r="Y430" s="42"/>
      <c r="Z430" s="42"/>
    </row>
    <row r="431" ht="15.75" customHeight="1">
      <c r="A431" s="42"/>
      <c r="B431" s="42"/>
      <c r="C431" s="42"/>
      <c r="D431" s="42"/>
      <c r="E431" s="42"/>
      <c r="F431" s="42"/>
      <c r="G431" s="42"/>
      <c r="H431" s="63"/>
      <c r="I431" s="42"/>
      <c r="J431" s="42"/>
      <c r="K431" s="42"/>
      <c r="L431" s="42"/>
      <c r="M431" s="42"/>
      <c r="N431" s="42"/>
      <c r="O431" s="42"/>
      <c r="P431" s="42"/>
      <c r="Q431" s="42"/>
      <c r="R431" s="42"/>
      <c r="S431" s="42"/>
      <c r="T431" s="42"/>
      <c r="U431" s="42"/>
      <c r="V431" s="42"/>
      <c r="W431" s="42"/>
      <c r="X431" s="42"/>
      <c r="Y431" s="42"/>
      <c r="Z431" s="42"/>
    </row>
    <row r="432" ht="15.75" customHeight="1">
      <c r="A432" s="42"/>
      <c r="B432" s="42"/>
      <c r="C432" s="42"/>
      <c r="D432" s="42"/>
      <c r="E432" s="42"/>
      <c r="F432" s="42"/>
      <c r="G432" s="42"/>
      <c r="H432" s="63"/>
      <c r="I432" s="42"/>
      <c r="J432" s="42"/>
      <c r="K432" s="42"/>
      <c r="L432" s="42"/>
      <c r="M432" s="42"/>
      <c r="N432" s="42"/>
      <c r="O432" s="42"/>
      <c r="P432" s="42"/>
      <c r="Q432" s="42"/>
      <c r="R432" s="42"/>
      <c r="S432" s="42"/>
      <c r="T432" s="42"/>
      <c r="U432" s="42"/>
      <c r="V432" s="42"/>
      <c r="W432" s="42"/>
      <c r="X432" s="42"/>
      <c r="Y432" s="42"/>
      <c r="Z432" s="42"/>
    </row>
    <row r="433" ht="15.75" customHeight="1">
      <c r="A433" s="42"/>
      <c r="B433" s="42"/>
      <c r="C433" s="42"/>
      <c r="D433" s="42"/>
      <c r="E433" s="42"/>
      <c r="F433" s="42"/>
      <c r="G433" s="42"/>
      <c r="H433" s="63"/>
      <c r="I433" s="42"/>
      <c r="J433" s="42"/>
      <c r="K433" s="42"/>
      <c r="L433" s="42"/>
      <c r="M433" s="42"/>
      <c r="N433" s="42"/>
      <c r="O433" s="42"/>
      <c r="P433" s="42"/>
      <c r="Q433" s="42"/>
      <c r="R433" s="42"/>
      <c r="S433" s="42"/>
      <c r="T433" s="42"/>
      <c r="U433" s="42"/>
      <c r="V433" s="42"/>
      <c r="W433" s="42"/>
      <c r="X433" s="42"/>
      <c r="Y433" s="42"/>
      <c r="Z433" s="42"/>
    </row>
    <row r="434" ht="15.75" customHeight="1">
      <c r="A434" s="42"/>
      <c r="B434" s="42"/>
      <c r="C434" s="42"/>
      <c r="D434" s="42"/>
      <c r="E434" s="42"/>
      <c r="F434" s="42"/>
      <c r="G434" s="42"/>
      <c r="H434" s="63"/>
      <c r="I434" s="42"/>
      <c r="J434" s="42"/>
      <c r="K434" s="42"/>
      <c r="L434" s="42"/>
      <c r="M434" s="42"/>
      <c r="N434" s="42"/>
      <c r="O434" s="42"/>
      <c r="P434" s="42"/>
      <c r="Q434" s="42"/>
      <c r="R434" s="42"/>
      <c r="S434" s="42"/>
      <c r="T434" s="42"/>
      <c r="U434" s="42"/>
      <c r="V434" s="42"/>
      <c r="W434" s="42"/>
      <c r="X434" s="42"/>
      <c r="Y434" s="42"/>
      <c r="Z434" s="42"/>
    </row>
    <row r="435" ht="15.75" customHeight="1">
      <c r="A435" s="42"/>
      <c r="B435" s="42"/>
      <c r="C435" s="42"/>
      <c r="D435" s="42"/>
      <c r="E435" s="42"/>
      <c r="F435" s="42"/>
      <c r="G435" s="42"/>
      <c r="H435" s="63"/>
      <c r="I435" s="42"/>
      <c r="J435" s="42"/>
      <c r="K435" s="42"/>
      <c r="L435" s="42"/>
      <c r="M435" s="42"/>
      <c r="N435" s="42"/>
      <c r="O435" s="42"/>
      <c r="P435" s="42"/>
      <c r="Q435" s="42"/>
      <c r="R435" s="42"/>
      <c r="S435" s="42"/>
      <c r="T435" s="42"/>
      <c r="U435" s="42"/>
      <c r="V435" s="42"/>
      <c r="W435" s="42"/>
      <c r="X435" s="42"/>
      <c r="Y435" s="42"/>
      <c r="Z435" s="42"/>
    </row>
    <row r="436" ht="15.75" customHeight="1">
      <c r="A436" s="42"/>
      <c r="B436" s="42"/>
      <c r="C436" s="42"/>
      <c r="D436" s="42"/>
      <c r="E436" s="42"/>
      <c r="F436" s="42"/>
      <c r="G436" s="42"/>
      <c r="H436" s="63"/>
      <c r="I436" s="42"/>
      <c r="J436" s="42"/>
      <c r="K436" s="42"/>
      <c r="L436" s="42"/>
      <c r="M436" s="42"/>
      <c r="N436" s="42"/>
      <c r="O436" s="42"/>
      <c r="P436" s="42"/>
      <c r="Q436" s="42"/>
      <c r="R436" s="42"/>
      <c r="S436" s="42"/>
      <c r="T436" s="42"/>
      <c r="U436" s="42"/>
      <c r="V436" s="42"/>
      <c r="W436" s="42"/>
      <c r="X436" s="42"/>
      <c r="Y436" s="42"/>
      <c r="Z436" s="42"/>
    </row>
    <row r="437" ht="15.75" customHeight="1">
      <c r="A437" s="42"/>
      <c r="B437" s="42"/>
      <c r="C437" s="42"/>
      <c r="D437" s="42"/>
      <c r="E437" s="42"/>
      <c r="F437" s="42"/>
      <c r="G437" s="42"/>
      <c r="H437" s="63"/>
      <c r="I437" s="42"/>
      <c r="J437" s="42"/>
      <c r="K437" s="42"/>
      <c r="L437" s="42"/>
      <c r="M437" s="42"/>
      <c r="N437" s="42"/>
      <c r="O437" s="42"/>
      <c r="P437" s="42"/>
      <c r="Q437" s="42"/>
      <c r="R437" s="42"/>
      <c r="S437" s="42"/>
      <c r="T437" s="42"/>
      <c r="U437" s="42"/>
      <c r="V437" s="42"/>
      <c r="W437" s="42"/>
      <c r="X437" s="42"/>
      <c r="Y437" s="42"/>
      <c r="Z437" s="42"/>
    </row>
    <row r="438" ht="15.75" customHeight="1">
      <c r="A438" s="42"/>
      <c r="B438" s="42"/>
      <c r="C438" s="42"/>
      <c r="D438" s="42"/>
      <c r="E438" s="42"/>
      <c r="F438" s="42"/>
      <c r="G438" s="42"/>
      <c r="H438" s="63"/>
      <c r="I438" s="42"/>
      <c r="J438" s="42"/>
      <c r="K438" s="42"/>
      <c r="L438" s="42"/>
      <c r="M438" s="42"/>
      <c r="N438" s="42"/>
      <c r="O438" s="42"/>
      <c r="P438" s="42"/>
      <c r="Q438" s="42"/>
      <c r="R438" s="42"/>
      <c r="S438" s="42"/>
      <c r="T438" s="42"/>
      <c r="U438" s="42"/>
      <c r="V438" s="42"/>
      <c r="W438" s="42"/>
      <c r="X438" s="42"/>
      <c r="Y438" s="42"/>
      <c r="Z438" s="42"/>
    </row>
    <row r="439" ht="15.75" customHeight="1">
      <c r="A439" s="42"/>
      <c r="B439" s="42"/>
      <c r="C439" s="42"/>
      <c r="D439" s="42"/>
      <c r="E439" s="42"/>
      <c r="F439" s="42"/>
      <c r="G439" s="42"/>
      <c r="H439" s="63"/>
      <c r="I439" s="42"/>
      <c r="J439" s="42"/>
      <c r="K439" s="42"/>
      <c r="L439" s="42"/>
      <c r="M439" s="42"/>
      <c r="N439" s="42"/>
      <c r="O439" s="42"/>
      <c r="P439" s="42"/>
      <c r="Q439" s="42"/>
      <c r="R439" s="42"/>
      <c r="S439" s="42"/>
      <c r="T439" s="42"/>
      <c r="U439" s="42"/>
      <c r="V439" s="42"/>
      <c r="W439" s="42"/>
      <c r="X439" s="42"/>
      <c r="Y439" s="42"/>
      <c r="Z439" s="42"/>
    </row>
    <row r="440" ht="15.75" customHeight="1">
      <c r="A440" s="42"/>
      <c r="B440" s="42"/>
      <c r="C440" s="42"/>
      <c r="D440" s="42"/>
      <c r="E440" s="42"/>
      <c r="F440" s="42"/>
      <c r="G440" s="42"/>
      <c r="H440" s="63"/>
      <c r="I440" s="42"/>
      <c r="J440" s="42"/>
      <c r="K440" s="42"/>
      <c r="L440" s="42"/>
      <c r="M440" s="42"/>
      <c r="N440" s="42"/>
      <c r="O440" s="42"/>
      <c r="P440" s="42"/>
      <c r="Q440" s="42"/>
      <c r="R440" s="42"/>
      <c r="S440" s="42"/>
      <c r="T440" s="42"/>
      <c r="U440" s="42"/>
      <c r="V440" s="42"/>
      <c r="W440" s="42"/>
      <c r="X440" s="42"/>
      <c r="Y440" s="42"/>
      <c r="Z440" s="42"/>
    </row>
    <row r="441" ht="15.75" customHeight="1">
      <c r="A441" s="42"/>
      <c r="B441" s="42"/>
      <c r="C441" s="42"/>
      <c r="D441" s="42"/>
      <c r="E441" s="42"/>
      <c r="F441" s="42"/>
      <c r="G441" s="42"/>
      <c r="H441" s="63"/>
      <c r="I441" s="42"/>
      <c r="J441" s="42"/>
      <c r="K441" s="42"/>
      <c r="L441" s="42"/>
      <c r="M441" s="42"/>
      <c r="N441" s="42"/>
      <c r="O441" s="42"/>
      <c r="P441" s="42"/>
      <c r="Q441" s="42"/>
      <c r="R441" s="42"/>
      <c r="S441" s="42"/>
      <c r="T441" s="42"/>
      <c r="U441" s="42"/>
      <c r="V441" s="42"/>
      <c r="W441" s="42"/>
      <c r="X441" s="42"/>
      <c r="Y441" s="42"/>
      <c r="Z441" s="42"/>
    </row>
    <row r="442" ht="15.75" customHeight="1">
      <c r="A442" s="42"/>
      <c r="B442" s="42"/>
      <c r="C442" s="42"/>
      <c r="D442" s="42"/>
      <c r="E442" s="42"/>
      <c r="F442" s="42"/>
      <c r="G442" s="42"/>
      <c r="H442" s="63"/>
      <c r="I442" s="42"/>
      <c r="J442" s="42"/>
      <c r="K442" s="42"/>
      <c r="L442" s="42"/>
      <c r="M442" s="42"/>
      <c r="N442" s="42"/>
      <c r="O442" s="42"/>
      <c r="P442" s="42"/>
      <c r="Q442" s="42"/>
      <c r="R442" s="42"/>
      <c r="S442" s="42"/>
      <c r="T442" s="42"/>
      <c r="U442" s="42"/>
      <c r="V442" s="42"/>
      <c r="W442" s="42"/>
      <c r="X442" s="42"/>
      <c r="Y442" s="42"/>
      <c r="Z442" s="42"/>
    </row>
    <row r="443" ht="15.75" customHeight="1">
      <c r="A443" s="42"/>
      <c r="B443" s="42"/>
      <c r="C443" s="42"/>
      <c r="D443" s="42"/>
      <c r="E443" s="42"/>
      <c r="F443" s="42"/>
      <c r="G443" s="42"/>
      <c r="H443" s="63"/>
      <c r="I443" s="42"/>
      <c r="J443" s="42"/>
      <c r="K443" s="42"/>
      <c r="L443" s="42"/>
      <c r="M443" s="42"/>
      <c r="N443" s="42"/>
      <c r="O443" s="42"/>
      <c r="P443" s="42"/>
      <c r="Q443" s="42"/>
      <c r="R443" s="42"/>
      <c r="S443" s="42"/>
      <c r="T443" s="42"/>
      <c r="U443" s="42"/>
      <c r="V443" s="42"/>
      <c r="W443" s="42"/>
      <c r="X443" s="42"/>
      <c r="Y443" s="42"/>
      <c r="Z443" s="42"/>
    </row>
    <row r="444" ht="15.75" customHeight="1">
      <c r="A444" s="42"/>
      <c r="B444" s="42"/>
      <c r="C444" s="42"/>
      <c r="D444" s="42"/>
      <c r="E444" s="42"/>
      <c r="F444" s="42"/>
      <c r="G444" s="42"/>
      <c r="H444" s="63"/>
      <c r="I444" s="42"/>
      <c r="J444" s="42"/>
      <c r="K444" s="42"/>
      <c r="L444" s="42"/>
      <c r="M444" s="42"/>
      <c r="N444" s="42"/>
      <c r="O444" s="42"/>
      <c r="P444" s="42"/>
      <c r="Q444" s="42"/>
      <c r="R444" s="42"/>
      <c r="S444" s="42"/>
      <c r="T444" s="42"/>
      <c r="U444" s="42"/>
      <c r="V444" s="42"/>
      <c r="W444" s="42"/>
      <c r="X444" s="42"/>
      <c r="Y444" s="42"/>
      <c r="Z444" s="42"/>
    </row>
    <row r="445" ht="15.75" customHeight="1">
      <c r="A445" s="42"/>
      <c r="B445" s="42"/>
      <c r="C445" s="42"/>
      <c r="D445" s="42"/>
      <c r="E445" s="42"/>
      <c r="F445" s="42"/>
      <c r="G445" s="42"/>
      <c r="H445" s="63"/>
      <c r="I445" s="42"/>
      <c r="J445" s="42"/>
      <c r="K445" s="42"/>
      <c r="L445" s="42"/>
      <c r="M445" s="42"/>
      <c r="N445" s="42"/>
      <c r="O445" s="42"/>
      <c r="P445" s="42"/>
      <c r="Q445" s="42"/>
      <c r="R445" s="42"/>
      <c r="S445" s="42"/>
      <c r="T445" s="42"/>
      <c r="U445" s="42"/>
      <c r="V445" s="42"/>
      <c r="W445" s="42"/>
      <c r="X445" s="42"/>
      <c r="Y445" s="42"/>
      <c r="Z445" s="42"/>
    </row>
    <row r="446" ht="15.75" customHeight="1">
      <c r="A446" s="42"/>
      <c r="B446" s="42"/>
      <c r="C446" s="42"/>
      <c r="D446" s="42"/>
      <c r="E446" s="42"/>
      <c r="F446" s="42"/>
      <c r="G446" s="42"/>
      <c r="H446" s="63"/>
      <c r="I446" s="42"/>
      <c r="J446" s="42"/>
      <c r="K446" s="42"/>
      <c r="L446" s="42"/>
      <c r="M446" s="42"/>
      <c r="N446" s="42"/>
      <c r="O446" s="42"/>
      <c r="P446" s="42"/>
      <c r="Q446" s="42"/>
      <c r="R446" s="42"/>
      <c r="S446" s="42"/>
      <c r="T446" s="42"/>
      <c r="U446" s="42"/>
      <c r="V446" s="42"/>
      <c r="W446" s="42"/>
      <c r="X446" s="42"/>
      <c r="Y446" s="42"/>
      <c r="Z446" s="42"/>
    </row>
    <row r="447" ht="15.75" customHeight="1">
      <c r="A447" s="42"/>
      <c r="B447" s="42"/>
      <c r="C447" s="42"/>
      <c r="D447" s="42"/>
      <c r="E447" s="42"/>
      <c r="F447" s="42"/>
      <c r="G447" s="42"/>
      <c r="H447" s="63"/>
      <c r="I447" s="42"/>
      <c r="J447" s="42"/>
      <c r="K447" s="42"/>
      <c r="L447" s="42"/>
      <c r="M447" s="42"/>
      <c r="N447" s="42"/>
      <c r="O447" s="42"/>
      <c r="P447" s="42"/>
      <c r="Q447" s="42"/>
      <c r="R447" s="42"/>
      <c r="S447" s="42"/>
      <c r="T447" s="42"/>
      <c r="U447" s="42"/>
      <c r="V447" s="42"/>
      <c r="W447" s="42"/>
      <c r="X447" s="42"/>
      <c r="Y447" s="42"/>
      <c r="Z447" s="42"/>
    </row>
    <row r="448" ht="15.75" customHeight="1">
      <c r="A448" s="42"/>
      <c r="B448" s="42"/>
      <c r="C448" s="42"/>
      <c r="D448" s="42"/>
      <c r="E448" s="42"/>
      <c r="F448" s="42"/>
      <c r="G448" s="42"/>
      <c r="H448" s="63"/>
      <c r="I448" s="42"/>
      <c r="J448" s="42"/>
      <c r="K448" s="42"/>
      <c r="L448" s="42"/>
      <c r="M448" s="42"/>
      <c r="N448" s="42"/>
      <c r="O448" s="42"/>
      <c r="P448" s="42"/>
      <c r="Q448" s="42"/>
      <c r="R448" s="42"/>
      <c r="S448" s="42"/>
      <c r="T448" s="42"/>
      <c r="U448" s="42"/>
      <c r="V448" s="42"/>
      <c r="W448" s="42"/>
      <c r="X448" s="42"/>
      <c r="Y448" s="42"/>
      <c r="Z448" s="42"/>
    </row>
    <row r="449" ht="15.75" customHeight="1">
      <c r="A449" s="42"/>
      <c r="B449" s="42"/>
      <c r="C449" s="42"/>
      <c r="D449" s="42"/>
      <c r="E449" s="42"/>
      <c r="F449" s="42"/>
      <c r="G449" s="42"/>
      <c r="H449" s="63"/>
      <c r="I449" s="42"/>
      <c r="J449" s="42"/>
      <c r="K449" s="42"/>
      <c r="L449" s="42"/>
      <c r="M449" s="42"/>
      <c r="N449" s="42"/>
      <c r="O449" s="42"/>
      <c r="P449" s="42"/>
      <c r="Q449" s="42"/>
      <c r="R449" s="42"/>
      <c r="S449" s="42"/>
      <c r="T449" s="42"/>
      <c r="U449" s="42"/>
      <c r="V449" s="42"/>
      <c r="W449" s="42"/>
      <c r="X449" s="42"/>
      <c r="Y449" s="42"/>
      <c r="Z449" s="42"/>
    </row>
    <row r="450" ht="15.75" customHeight="1">
      <c r="A450" s="42"/>
      <c r="B450" s="42"/>
      <c r="C450" s="42"/>
      <c r="D450" s="42"/>
      <c r="E450" s="42"/>
      <c r="F450" s="42"/>
      <c r="G450" s="42"/>
      <c r="H450" s="63"/>
      <c r="I450" s="42"/>
      <c r="J450" s="42"/>
      <c r="K450" s="42"/>
      <c r="L450" s="42"/>
      <c r="M450" s="42"/>
      <c r="N450" s="42"/>
      <c r="O450" s="42"/>
      <c r="P450" s="42"/>
      <c r="Q450" s="42"/>
      <c r="R450" s="42"/>
      <c r="S450" s="42"/>
      <c r="T450" s="42"/>
      <c r="U450" s="42"/>
      <c r="V450" s="42"/>
      <c r="W450" s="42"/>
      <c r="X450" s="42"/>
      <c r="Y450" s="42"/>
      <c r="Z450" s="42"/>
    </row>
    <row r="451" ht="15.75" customHeight="1">
      <c r="A451" s="42"/>
      <c r="B451" s="42"/>
      <c r="C451" s="42"/>
      <c r="D451" s="42"/>
      <c r="E451" s="42"/>
      <c r="F451" s="42"/>
      <c r="G451" s="42"/>
      <c r="H451" s="63"/>
      <c r="I451" s="42"/>
      <c r="J451" s="42"/>
      <c r="K451" s="42"/>
      <c r="L451" s="42"/>
      <c r="M451" s="42"/>
      <c r="N451" s="42"/>
      <c r="O451" s="42"/>
      <c r="P451" s="42"/>
      <c r="Q451" s="42"/>
      <c r="R451" s="42"/>
      <c r="S451" s="42"/>
      <c r="T451" s="42"/>
      <c r="U451" s="42"/>
      <c r="V451" s="42"/>
      <c r="W451" s="42"/>
      <c r="X451" s="42"/>
      <c r="Y451" s="42"/>
      <c r="Z451" s="42"/>
    </row>
    <row r="452" ht="15.75" customHeight="1">
      <c r="A452" s="42"/>
      <c r="B452" s="42"/>
      <c r="C452" s="42"/>
      <c r="D452" s="42"/>
      <c r="E452" s="42"/>
      <c r="F452" s="42"/>
      <c r="G452" s="42"/>
      <c r="H452" s="63"/>
      <c r="I452" s="42"/>
      <c r="J452" s="42"/>
      <c r="K452" s="42"/>
      <c r="L452" s="42"/>
      <c r="M452" s="42"/>
      <c r="N452" s="42"/>
      <c r="O452" s="42"/>
      <c r="P452" s="42"/>
      <c r="Q452" s="42"/>
      <c r="R452" s="42"/>
      <c r="S452" s="42"/>
      <c r="T452" s="42"/>
      <c r="U452" s="42"/>
      <c r="V452" s="42"/>
      <c r="W452" s="42"/>
      <c r="X452" s="42"/>
      <c r="Y452" s="42"/>
      <c r="Z452" s="42"/>
    </row>
    <row r="453" ht="15.75" customHeight="1">
      <c r="A453" s="42"/>
      <c r="B453" s="42"/>
      <c r="C453" s="42"/>
      <c r="D453" s="42"/>
      <c r="E453" s="42"/>
      <c r="F453" s="42"/>
      <c r="G453" s="42"/>
      <c r="H453" s="63"/>
      <c r="I453" s="42"/>
      <c r="J453" s="42"/>
      <c r="K453" s="42"/>
      <c r="L453" s="42"/>
      <c r="M453" s="42"/>
      <c r="N453" s="42"/>
      <c r="O453" s="42"/>
      <c r="P453" s="42"/>
      <c r="Q453" s="42"/>
      <c r="R453" s="42"/>
      <c r="S453" s="42"/>
      <c r="T453" s="42"/>
      <c r="U453" s="42"/>
      <c r="V453" s="42"/>
      <c r="W453" s="42"/>
      <c r="X453" s="42"/>
      <c r="Y453" s="42"/>
      <c r="Z453" s="42"/>
    </row>
    <row r="454" ht="15.75" customHeight="1">
      <c r="A454" s="42"/>
      <c r="B454" s="42"/>
      <c r="C454" s="42"/>
      <c r="D454" s="42"/>
      <c r="E454" s="42"/>
      <c r="F454" s="42"/>
      <c r="G454" s="42"/>
      <c r="H454" s="63"/>
      <c r="I454" s="42"/>
      <c r="J454" s="42"/>
      <c r="K454" s="42"/>
      <c r="L454" s="42"/>
      <c r="M454" s="42"/>
      <c r="N454" s="42"/>
      <c r="O454" s="42"/>
      <c r="P454" s="42"/>
      <c r="Q454" s="42"/>
      <c r="R454" s="42"/>
      <c r="S454" s="42"/>
      <c r="T454" s="42"/>
      <c r="U454" s="42"/>
      <c r="V454" s="42"/>
      <c r="W454" s="42"/>
      <c r="X454" s="42"/>
      <c r="Y454" s="42"/>
      <c r="Z454" s="42"/>
    </row>
    <row r="455" ht="15.75" customHeight="1">
      <c r="A455" s="42"/>
      <c r="B455" s="42"/>
      <c r="C455" s="42"/>
      <c r="D455" s="42"/>
      <c r="E455" s="42"/>
      <c r="F455" s="42"/>
      <c r="G455" s="42"/>
      <c r="H455" s="63"/>
      <c r="I455" s="42"/>
      <c r="J455" s="42"/>
      <c r="K455" s="42"/>
      <c r="L455" s="42"/>
      <c r="M455" s="42"/>
      <c r="N455" s="42"/>
      <c r="O455" s="42"/>
      <c r="P455" s="42"/>
      <c r="Q455" s="42"/>
      <c r="R455" s="42"/>
      <c r="S455" s="42"/>
      <c r="T455" s="42"/>
      <c r="U455" s="42"/>
      <c r="V455" s="42"/>
      <c r="W455" s="42"/>
      <c r="X455" s="42"/>
      <c r="Y455" s="42"/>
      <c r="Z455" s="42"/>
    </row>
    <row r="456" ht="15.75" customHeight="1">
      <c r="A456" s="42"/>
      <c r="B456" s="42"/>
      <c r="C456" s="42"/>
      <c r="D456" s="42"/>
      <c r="E456" s="42"/>
      <c r="F456" s="42"/>
      <c r="G456" s="42"/>
      <c r="H456" s="63"/>
      <c r="I456" s="42"/>
      <c r="J456" s="42"/>
      <c r="K456" s="42"/>
      <c r="L456" s="42"/>
      <c r="M456" s="42"/>
      <c r="N456" s="42"/>
      <c r="O456" s="42"/>
      <c r="P456" s="42"/>
      <c r="Q456" s="42"/>
      <c r="R456" s="42"/>
      <c r="S456" s="42"/>
      <c r="T456" s="42"/>
      <c r="U456" s="42"/>
      <c r="V456" s="42"/>
      <c r="W456" s="42"/>
      <c r="X456" s="42"/>
      <c r="Y456" s="42"/>
      <c r="Z456" s="42"/>
    </row>
    <row r="457" ht="15.75" customHeight="1">
      <c r="A457" s="42"/>
      <c r="B457" s="42"/>
      <c r="C457" s="42"/>
      <c r="D457" s="42"/>
      <c r="E457" s="42"/>
      <c r="F457" s="42"/>
      <c r="G457" s="42"/>
      <c r="H457" s="63"/>
      <c r="I457" s="42"/>
      <c r="J457" s="42"/>
      <c r="K457" s="42"/>
      <c r="L457" s="42"/>
      <c r="M457" s="42"/>
      <c r="N457" s="42"/>
      <c r="O457" s="42"/>
      <c r="P457" s="42"/>
      <c r="Q457" s="42"/>
      <c r="R457" s="42"/>
      <c r="S457" s="42"/>
      <c r="T457" s="42"/>
      <c r="U457" s="42"/>
      <c r="V457" s="42"/>
      <c r="W457" s="42"/>
      <c r="X457" s="42"/>
      <c r="Y457" s="42"/>
      <c r="Z457" s="42"/>
    </row>
    <row r="458" ht="15.75" customHeight="1">
      <c r="A458" s="42"/>
      <c r="B458" s="42"/>
      <c r="C458" s="42"/>
      <c r="D458" s="42"/>
      <c r="E458" s="42"/>
      <c r="F458" s="42"/>
      <c r="G458" s="42"/>
      <c r="H458" s="63"/>
      <c r="I458" s="42"/>
      <c r="J458" s="42"/>
      <c r="K458" s="42"/>
      <c r="L458" s="42"/>
      <c r="M458" s="42"/>
      <c r="N458" s="42"/>
      <c r="O458" s="42"/>
      <c r="P458" s="42"/>
      <c r="Q458" s="42"/>
      <c r="R458" s="42"/>
      <c r="S458" s="42"/>
      <c r="T458" s="42"/>
      <c r="U458" s="42"/>
      <c r="V458" s="42"/>
      <c r="W458" s="42"/>
      <c r="X458" s="42"/>
      <c r="Y458" s="42"/>
      <c r="Z458" s="42"/>
    </row>
    <row r="459" ht="15.75" customHeight="1">
      <c r="A459" s="42"/>
      <c r="B459" s="42"/>
      <c r="C459" s="42"/>
      <c r="D459" s="42"/>
      <c r="E459" s="42"/>
      <c r="F459" s="42"/>
      <c r="G459" s="42"/>
      <c r="H459" s="63"/>
      <c r="I459" s="42"/>
      <c r="J459" s="42"/>
      <c r="K459" s="42"/>
      <c r="L459" s="42"/>
      <c r="M459" s="42"/>
      <c r="N459" s="42"/>
      <c r="O459" s="42"/>
      <c r="P459" s="42"/>
      <c r="Q459" s="42"/>
      <c r="R459" s="42"/>
      <c r="S459" s="42"/>
      <c r="T459" s="42"/>
      <c r="U459" s="42"/>
      <c r="V459" s="42"/>
      <c r="W459" s="42"/>
      <c r="X459" s="42"/>
      <c r="Y459" s="42"/>
      <c r="Z459" s="42"/>
    </row>
    <row r="460" ht="15.75" customHeight="1">
      <c r="A460" s="42"/>
      <c r="B460" s="42"/>
      <c r="C460" s="42"/>
      <c r="D460" s="42"/>
      <c r="E460" s="42"/>
      <c r="F460" s="42"/>
      <c r="G460" s="42"/>
      <c r="H460" s="63"/>
      <c r="I460" s="42"/>
      <c r="J460" s="42"/>
      <c r="K460" s="42"/>
      <c r="L460" s="42"/>
      <c r="M460" s="42"/>
      <c r="N460" s="42"/>
      <c r="O460" s="42"/>
      <c r="P460" s="42"/>
      <c r="Q460" s="42"/>
      <c r="R460" s="42"/>
      <c r="S460" s="42"/>
      <c r="T460" s="42"/>
      <c r="U460" s="42"/>
      <c r="V460" s="42"/>
      <c r="W460" s="42"/>
      <c r="X460" s="42"/>
      <c r="Y460" s="42"/>
      <c r="Z460" s="42"/>
    </row>
    <row r="461" ht="15.75" customHeight="1">
      <c r="A461" s="42"/>
      <c r="B461" s="42"/>
      <c r="C461" s="42"/>
      <c r="D461" s="42"/>
      <c r="E461" s="42"/>
      <c r="F461" s="42"/>
      <c r="G461" s="42"/>
      <c r="H461" s="63"/>
      <c r="I461" s="42"/>
      <c r="J461" s="42"/>
      <c r="K461" s="42"/>
      <c r="L461" s="42"/>
      <c r="M461" s="42"/>
      <c r="N461" s="42"/>
      <c r="O461" s="42"/>
      <c r="P461" s="42"/>
      <c r="Q461" s="42"/>
      <c r="R461" s="42"/>
      <c r="S461" s="42"/>
      <c r="T461" s="42"/>
      <c r="U461" s="42"/>
      <c r="V461" s="42"/>
      <c r="W461" s="42"/>
      <c r="X461" s="42"/>
      <c r="Y461" s="42"/>
      <c r="Z461" s="42"/>
    </row>
    <row r="462" ht="15.75" customHeight="1">
      <c r="A462" s="42"/>
      <c r="B462" s="42"/>
      <c r="C462" s="42"/>
      <c r="D462" s="42"/>
      <c r="E462" s="42"/>
      <c r="F462" s="42"/>
      <c r="G462" s="42"/>
      <c r="H462" s="63"/>
      <c r="I462" s="42"/>
      <c r="J462" s="42"/>
      <c r="K462" s="42"/>
      <c r="L462" s="42"/>
      <c r="M462" s="42"/>
      <c r="N462" s="42"/>
      <c r="O462" s="42"/>
      <c r="P462" s="42"/>
      <c r="Q462" s="42"/>
      <c r="R462" s="42"/>
      <c r="S462" s="42"/>
      <c r="T462" s="42"/>
      <c r="U462" s="42"/>
      <c r="V462" s="42"/>
      <c r="W462" s="42"/>
      <c r="X462" s="42"/>
      <c r="Y462" s="42"/>
      <c r="Z462" s="42"/>
    </row>
    <row r="463" ht="15.75" customHeight="1">
      <c r="A463" s="42"/>
      <c r="B463" s="42"/>
      <c r="C463" s="42"/>
      <c r="D463" s="42"/>
      <c r="E463" s="42"/>
      <c r="F463" s="42"/>
      <c r="G463" s="42"/>
      <c r="H463" s="63"/>
      <c r="I463" s="42"/>
      <c r="J463" s="42"/>
      <c r="K463" s="42"/>
      <c r="L463" s="42"/>
      <c r="M463" s="42"/>
      <c r="N463" s="42"/>
      <c r="O463" s="42"/>
      <c r="P463" s="42"/>
      <c r="Q463" s="42"/>
      <c r="R463" s="42"/>
      <c r="S463" s="42"/>
      <c r="T463" s="42"/>
      <c r="U463" s="42"/>
      <c r="V463" s="42"/>
      <c r="W463" s="42"/>
      <c r="X463" s="42"/>
      <c r="Y463" s="42"/>
      <c r="Z463" s="42"/>
    </row>
    <row r="464" ht="15.75" customHeight="1">
      <c r="A464" s="42"/>
      <c r="B464" s="42"/>
      <c r="C464" s="42"/>
      <c r="D464" s="42"/>
      <c r="E464" s="42"/>
      <c r="F464" s="42"/>
      <c r="G464" s="42"/>
      <c r="H464" s="63"/>
      <c r="I464" s="42"/>
      <c r="J464" s="42"/>
      <c r="K464" s="42"/>
      <c r="L464" s="42"/>
      <c r="M464" s="42"/>
      <c r="N464" s="42"/>
      <c r="O464" s="42"/>
      <c r="P464" s="42"/>
      <c r="Q464" s="42"/>
      <c r="R464" s="42"/>
      <c r="S464" s="42"/>
      <c r="T464" s="42"/>
      <c r="U464" s="42"/>
      <c r="V464" s="42"/>
      <c r="W464" s="42"/>
      <c r="X464" s="42"/>
      <c r="Y464" s="42"/>
      <c r="Z464" s="42"/>
    </row>
    <row r="465" ht="15.75" customHeight="1">
      <c r="A465" s="42"/>
      <c r="B465" s="42"/>
      <c r="C465" s="42"/>
      <c r="D465" s="42"/>
      <c r="E465" s="42"/>
      <c r="F465" s="42"/>
      <c r="G465" s="42"/>
      <c r="H465" s="63"/>
      <c r="I465" s="42"/>
      <c r="J465" s="42"/>
      <c r="K465" s="42"/>
      <c r="L465" s="42"/>
      <c r="M465" s="42"/>
      <c r="N465" s="42"/>
      <c r="O465" s="42"/>
      <c r="P465" s="42"/>
      <c r="Q465" s="42"/>
      <c r="R465" s="42"/>
      <c r="S465" s="42"/>
      <c r="T465" s="42"/>
      <c r="U465" s="42"/>
      <c r="V465" s="42"/>
      <c r="W465" s="42"/>
      <c r="X465" s="42"/>
      <c r="Y465" s="42"/>
      <c r="Z465" s="42"/>
    </row>
    <row r="466" ht="15.75" customHeight="1">
      <c r="A466" s="42"/>
      <c r="B466" s="42"/>
      <c r="C466" s="42"/>
      <c r="D466" s="42"/>
      <c r="E466" s="42"/>
      <c r="F466" s="42"/>
      <c r="G466" s="42"/>
      <c r="H466" s="63"/>
      <c r="I466" s="42"/>
      <c r="J466" s="42"/>
      <c r="K466" s="42"/>
      <c r="L466" s="42"/>
      <c r="M466" s="42"/>
      <c r="N466" s="42"/>
      <c r="O466" s="42"/>
      <c r="P466" s="42"/>
      <c r="Q466" s="42"/>
      <c r="R466" s="42"/>
      <c r="S466" s="42"/>
      <c r="T466" s="42"/>
      <c r="U466" s="42"/>
      <c r="V466" s="42"/>
      <c r="W466" s="42"/>
      <c r="X466" s="42"/>
      <c r="Y466" s="42"/>
      <c r="Z466" s="42"/>
    </row>
    <row r="467" ht="15.75" customHeight="1">
      <c r="A467" s="42"/>
      <c r="B467" s="42"/>
      <c r="C467" s="42"/>
      <c r="D467" s="42"/>
      <c r="E467" s="42"/>
      <c r="F467" s="42"/>
      <c r="G467" s="42"/>
      <c r="H467" s="63"/>
      <c r="I467" s="42"/>
      <c r="J467" s="42"/>
      <c r="K467" s="42"/>
      <c r="L467" s="42"/>
      <c r="M467" s="42"/>
      <c r="N467" s="42"/>
      <c r="O467" s="42"/>
      <c r="P467" s="42"/>
      <c r="Q467" s="42"/>
      <c r="R467" s="42"/>
      <c r="S467" s="42"/>
      <c r="T467" s="42"/>
      <c r="U467" s="42"/>
      <c r="V467" s="42"/>
      <c r="W467" s="42"/>
      <c r="X467" s="42"/>
      <c r="Y467" s="42"/>
      <c r="Z467" s="42"/>
    </row>
    <row r="468" ht="15.75" customHeight="1">
      <c r="A468" s="42"/>
      <c r="B468" s="42"/>
      <c r="C468" s="42"/>
      <c r="D468" s="42"/>
      <c r="E468" s="42"/>
      <c r="F468" s="42"/>
      <c r="G468" s="42"/>
      <c r="H468" s="63"/>
      <c r="I468" s="42"/>
      <c r="J468" s="42"/>
      <c r="K468" s="42"/>
      <c r="L468" s="42"/>
      <c r="M468" s="42"/>
      <c r="N468" s="42"/>
      <c r="O468" s="42"/>
      <c r="P468" s="42"/>
      <c r="Q468" s="42"/>
      <c r="R468" s="42"/>
      <c r="S468" s="42"/>
      <c r="T468" s="42"/>
      <c r="U468" s="42"/>
      <c r="V468" s="42"/>
      <c r="W468" s="42"/>
      <c r="X468" s="42"/>
      <c r="Y468" s="42"/>
      <c r="Z468" s="42"/>
    </row>
    <row r="469" ht="15.75" customHeight="1">
      <c r="A469" s="42"/>
      <c r="B469" s="42"/>
      <c r="C469" s="42"/>
      <c r="D469" s="42"/>
      <c r="E469" s="42"/>
      <c r="F469" s="42"/>
      <c r="G469" s="42"/>
      <c r="H469" s="63"/>
      <c r="I469" s="42"/>
      <c r="J469" s="42"/>
      <c r="K469" s="42"/>
      <c r="L469" s="42"/>
      <c r="M469" s="42"/>
      <c r="N469" s="42"/>
      <c r="O469" s="42"/>
      <c r="P469" s="42"/>
      <c r="Q469" s="42"/>
      <c r="R469" s="42"/>
      <c r="S469" s="42"/>
      <c r="T469" s="42"/>
      <c r="U469" s="42"/>
      <c r="V469" s="42"/>
      <c r="W469" s="42"/>
      <c r="X469" s="42"/>
      <c r="Y469" s="42"/>
      <c r="Z469" s="42"/>
    </row>
    <row r="470" ht="15.75" customHeight="1">
      <c r="A470" s="42"/>
      <c r="B470" s="42"/>
      <c r="C470" s="42"/>
      <c r="D470" s="42"/>
      <c r="E470" s="42"/>
      <c r="F470" s="42"/>
      <c r="G470" s="42"/>
      <c r="H470" s="63"/>
      <c r="I470" s="42"/>
      <c r="J470" s="42"/>
      <c r="K470" s="42"/>
      <c r="L470" s="42"/>
      <c r="M470" s="42"/>
      <c r="N470" s="42"/>
      <c r="O470" s="42"/>
      <c r="P470" s="42"/>
      <c r="Q470" s="42"/>
      <c r="R470" s="42"/>
      <c r="S470" s="42"/>
      <c r="T470" s="42"/>
      <c r="U470" s="42"/>
      <c r="V470" s="42"/>
      <c r="W470" s="42"/>
      <c r="X470" s="42"/>
      <c r="Y470" s="42"/>
      <c r="Z470" s="42"/>
    </row>
    <row r="471" ht="15.75" customHeight="1">
      <c r="A471" s="42"/>
      <c r="B471" s="42"/>
      <c r="C471" s="42"/>
      <c r="D471" s="42"/>
      <c r="E471" s="42"/>
      <c r="F471" s="42"/>
      <c r="G471" s="42"/>
      <c r="H471" s="63"/>
      <c r="I471" s="42"/>
      <c r="J471" s="42"/>
      <c r="K471" s="42"/>
      <c r="L471" s="42"/>
      <c r="M471" s="42"/>
      <c r="N471" s="42"/>
      <c r="O471" s="42"/>
      <c r="P471" s="42"/>
      <c r="Q471" s="42"/>
      <c r="R471" s="42"/>
      <c r="S471" s="42"/>
      <c r="T471" s="42"/>
      <c r="U471" s="42"/>
      <c r="V471" s="42"/>
      <c r="W471" s="42"/>
      <c r="X471" s="42"/>
      <c r="Y471" s="42"/>
      <c r="Z471" s="42"/>
    </row>
    <row r="472" ht="15.75" customHeight="1">
      <c r="A472" s="42"/>
      <c r="B472" s="42"/>
      <c r="C472" s="42"/>
      <c r="D472" s="42"/>
      <c r="E472" s="42"/>
      <c r="F472" s="42"/>
      <c r="G472" s="42"/>
      <c r="H472" s="63"/>
      <c r="I472" s="42"/>
      <c r="J472" s="42"/>
      <c r="K472" s="42"/>
      <c r="L472" s="42"/>
      <c r="M472" s="42"/>
      <c r="N472" s="42"/>
      <c r="O472" s="42"/>
      <c r="P472" s="42"/>
      <c r="Q472" s="42"/>
      <c r="R472" s="42"/>
      <c r="S472" s="42"/>
      <c r="T472" s="42"/>
      <c r="U472" s="42"/>
      <c r="V472" s="42"/>
      <c r="W472" s="42"/>
      <c r="X472" s="42"/>
      <c r="Y472" s="42"/>
      <c r="Z472" s="42"/>
    </row>
    <row r="473" ht="15.75" customHeight="1">
      <c r="A473" s="42"/>
      <c r="B473" s="42"/>
      <c r="C473" s="42"/>
      <c r="D473" s="42"/>
      <c r="E473" s="42"/>
      <c r="F473" s="42"/>
      <c r="G473" s="42"/>
      <c r="H473" s="63"/>
      <c r="I473" s="42"/>
      <c r="J473" s="42"/>
      <c r="K473" s="42"/>
      <c r="L473" s="42"/>
      <c r="M473" s="42"/>
      <c r="N473" s="42"/>
      <c r="O473" s="42"/>
      <c r="P473" s="42"/>
      <c r="Q473" s="42"/>
      <c r="R473" s="42"/>
      <c r="S473" s="42"/>
      <c r="T473" s="42"/>
      <c r="U473" s="42"/>
      <c r="V473" s="42"/>
      <c r="W473" s="42"/>
      <c r="X473" s="42"/>
      <c r="Y473" s="42"/>
      <c r="Z473" s="42"/>
    </row>
    <row r="474" ht="15.75" customHeight="1">
      <c r="A474" s="42"/>
      <c r="B474" s="42"/>
      <c r="C474" s="42"/>
      <c r="D474" s="42"/>
      <c r="E474" s="42"/>
      <c r="F474" s="42"/>
      <c r="G474" s="42"/>
      <c r="H474" s="63"/>
      <c r="I474" s="42"/>
      <c r="J474" s="42"/>
      <c r="K474" s="42"/>
      <c r="L474" s="42"/>
      <c r="M474" s="42"/>
      <c r="N474" s="42"/>
      <c r="O474" s="42"/>
      <c r="P474" s="42"/>
      <c r="Q474" s="42"/>
      <c r="R474" s="42"/>
      <c r="S474" s="42"/>
      <c r="T474" s="42"/>
      <c r="U474" s="42"/>
      <c r="V474" s="42"/>
      <c r="W474" s="42"/>
      <c r="X474" s="42"/>
      <c r="Y474" s="42"/>
      <c r="Z474" s="42"/>
    </row>
    <row r="475" ht="15.75" customHeight="1">
      <c r="A475" s="42"/>
      <c r="B475" s="42"/>
      <c r="C475" s="42"/>
      <c r="D475" s="42"/>
      <c r="E475" s="42"/>
      <c r="F475" s="42"/>
      <c r="G475" s="42"/>
      <c r="H475" s="63"/>
      <c r="I475" s="42"/>
      <c r="J475" s="42"/>
      <c r="K475" s="42"/>
      <c r="L475" s="42"/>
      <c r="M475" s="42"/>
      <c r="N475" s="42"/>
      <c r="O475" s="42"/>
      <c r="P475" s="42"/>
      <c r="Q475" s="42"/>
      <c r="R475" s="42"/>
      <c r="S475" s="42"/>
      <c r="T475" s="42"/>
      <c r="U475" s="42"/>
      <c r="V475" s="42"/>
      <c r="W475" s="42"/>
      <c r="X475" s="42"/>
      <c r="Y475" s="42"/>
      <c r="Z475" s="42"/>
    </row>
    <row r="476" ht="15.75" customHeight="1">
      <c r="A476" s="42"/>
      <c r="B476" s="42"/>
      <c r="C476" s="42"/>
      <c r="D476" s="42"/>
      <c r="E476" s="42"/>
      <c r="F476" s="42"/>
      <c r="G476" s="42"/>
      <c r="H476" s="63"/>
      <c r="I476" s="42"/>
      <c r="J476" s="42"/>
      <c r="K476" s="42"/>
      <c r="L476" s="42"/>
      <c r="M476" s="42"/>
      <c r="N476" s="42"/>
      <c r="O476" s="42"/>
      <c r="P476" s="42"/>
      <c r="Q476" s="42"/>
      <c r="R476" s="42"/>
      <c r="S476" s="42"/>
      <c r="T476" s="42"/>
      <c r="U476" s="42"/>
      <c r="V476" s="42"/>
      <c r="W476" s="42"/>
      <c r="X476" s="42"/>
      <c r="Y476" s="42"/>
      <c r="Z476" s="42"/>
    </row>
    <row r="477" ht="15.75" customHeight="1">
      <c r="A477" s="42"/>
      <c r="B477" s="42"/>
      <c r="C477" s="42"/>
      <c r="D477" s="42"/>
      <c r="E477" s="42"/>
      <c r="F477" s="42"/>
      <c r="G477" s="42"/>
      <c r="H477" s="63"/>
      <c r="I477" s="42"/>
      <c r="J477" s="42"/>
      <c r="K477" s="42"/>
      <c r="L477" s="42"/>
      <c r="M477" s="42"/>
      <c r="N477" s="42"/>
      <c r="O477" s="42"/>
      <c r="P477" s="42"/>
      <c r="Q477" s="42"/>
      <c r="R477" s="42"/>
      <c r="S477" s="42"/>
      <c r="T477" s="42"/>
      <c r="U477" s="42"/>
      <c r="V477" s="42"/>
      <c r="W477" s="42"/>
      <c r="X477" s="42"/>
      <c r="Y477" s="42"/>
      <c r="Z477" s="42"/>
    </row>
    <row r="478" ht="15.75" customHeight="1">
      <c r="A478" s="42"/>
      <c r="B478" s="42"/>
      <c r="C478" s="42"/>
      <c r="D478" s="42"/>
      <c r="E478" s="42"/>
      <c r="F478" s="42"/>
      <c r="G478" s="42"/>
      <c r="H478" s="63"/>
      <c r="I478" s="42"/>
      <c r="J478" s="42"/>
      <c r="K478" s="42"/>
      <c r="L478" s="42"/>
      <c r="M478" s="42"/>
      <c r="N478" s="42"/>
      <c r="O478" s="42"/>
      <c r="P478" s="42"/>
      <c r="Q478" s="42"/>
      <c r="R478" s="42"/>
      <c r="S478" s="42"/>
      <c r="T478" s="42"/>
      <c r="U478" s="42"/>
      <c r="V478" s="42"/>
      <c r="W478" s="42"/>
      <c r="X478" s="42"/>
      <c r="Y478" s="42"/>
      <c r="Z478" s="42"/>
    </row>
    <row r="479" ht="15.75" customHeight="1">
      <c r="A479" s="42"/>
      <c r="B479" s="42"/>
      <c r="C479" s="42"/>
      <c r="D479" s="42"/>
      <c r="E479" s="42"/>
      <c r="F479" s="42"/>
      <c r="G479" s="42"/>
      <c r="H479" s="63"/>
      <c r="I479" s="42"/>
      <c r="J479" s="42"/>
      <c r="K479" s="42"/>
      <c r="L479" s="42"/>
      <c r="M479" s="42"/>
      <c r="N479" s="42"/>
      <c r="O479" s="42"/>
      <c r="P479" s="42"/>
      <c r="Q479" s="42"/>
      <c r="R479" s="42"/>
      <c r="S479" s="42"/>
      <c r="T479" s="42"/>
      <c r="U479" s="42"/>
      <c r="V479" s="42"/>
      <c r="W479" s="42"/>
      <c r="X479" s="42"/>
      <c r="Y479" s="42"/>
      <c r="Z479" s="42"/>
    </row>
    <row r="480" ht="15.75" customHeight="1">
      <c r="A480" s="42"/>
      <c r="B480" s="42"/>
      <c r="C480" s="42"/>
      <c r="D480" s="42"/>
      <c r="E480" s="42"/>
      <c r="F480" s="42"/>
      <c r="G480" s="42"/>
      <c r="H480" s="63"/>
      <c r="I480" s="42"/>
      <c r="J480" s="42"/>
      <c r="K480" s="42"/>
      <c r="L480" s="42"/>
      <c r="M480" s="42"/>
      <c r="N480" s="42"/>
      <c r="O480" s="42"/>
      <c r="P480" s="42"/>
      <c r="Q480" s="42"/>
      <c r="R480" s="42"/>
      <c r="S480" s="42"/>
      <c r="T480" s="42"/>
      <c r="U480" s="42"/>
      <c r="V480" s="42"/>
      <c r="W480" s="42"/>
      <c r="X480" s="42"/>
      <c r="Y480" s="42"/>
      <c r="Z480" s="42"/>
    </row>
    <row r="481" ht="15.75" customHeight="1">
      <c r="A481" s="42"/>
      <c r="B481" s="42"/>
      <c r="C481" s="42"/>
      <c r="D481" s="42"/>
      <c r="E481" s="42"/>
      <c r="F481" s="42"/>
      <c r="G481" s="42"/>
      <c r="H481" s="63"/>
      <c r="I481" s="42"/>
      <c r="J481" s="42"/>
      <c r="K481" s="42"/>
      <c r="L481" s="42"/>
      <c r="M481" s="42"/>
      <c r="N481" s="42"/>
      <c r="O481" s="42"/>
      <c r="P481" s="42"/>
      <c r="Q481" s="42"/>
      <c r="R481" s="42"/>
      <c r="S481" s="42"/>
      <c r="T481" s="42"/>
      <c r="U481" s="42"/>
      <c r="V481" s="42"/>
      <c r="W481" s="42"/>
      <c r="X481" s="42"/>
      <c r="Y481" s="42"/>
      <c r="Z481" s="42"/>
    </row>
    <row r="482" ht="15.75" customHeight="1">
      <c r="A482" s="42"/>
      <c r="B482" s="42"/>
      <c r="C482" s="42"/>
      <c r="D482" s="42"/>
      <c r="E482" s="42"/>
      <c r="F482" s="42"/>
      <c r="G482" s="42"/>
      <c r="H482" s="63"/>
      <c r="I482" s="42"/>
      <c r="J482" s="42"/>
      <c r="K482" s="42"/>
      <c r="L482" s="42"/>
      <c r="M482" s="42"/>
      <c r="N482" s="42"/>
      <c r="O482" s="42"/>
      <c r="P482" s="42"/>
      <c r="Q482" s="42"/>
      <c r="R482" s="42"/>
      <c r="S482" s="42"/>
      <c r="T482" s="42"/>
      <c r="U482" s="42"/>
      <c r="V482" s="42"/>
      <c r="W482" s="42"/>
      <c r="X482" s="42"/>
      <c r="Y482" s="42"/>
      <c r="Z482" s="42"/>
    </row>
    <row r="483" ht="15.75" customHeight="1">
      <c r="A483" s="42"/>
      <c r="B483" s="42"/>
      <c r="C483" s="42"/>
      <c r="D483" s="42"/>
      <c r="E483" s="42"/>
      <c r="F483" s="42"/>
      <c r="G483" s="42"/>
      <c r="H483" s="63"/>
      <c r="I483" s="42"/>
      <c r="J483" s="42"/>
      <c r="K483" s="42"/>
      <c r="L483" s="42"/>
      <c r="M483" s="42"/>
      <c r="N483" s="42"/>
      <c r="O483" s="42"/>
      <c r="P483" s="42"/>
      <c r="Q483" s="42"/>
      <c r="R483" s="42"/>
      <c r="S483" s="42"/>
      <c r="T483" s="42"/>
      <c r="U483" s="42"/>
      <c r="V483" s="42"/>
      <c r="W483" s="42"/>
      <c r="X483" s="42"/>
      <c r="Y483" s="42"/>
      <c r="Z483" s="42"/>
    </row>
    <row r="484" ht="15.75" customHeight="1">
      <c r="A484" s="42"/>
      <c r="B484" s="42"/>
      <c r="C484" s="42"/>
      <c r="D484" s="42"/>
      <c r="E484" s="42"/>
      <c r="F484" s="42"/>
      <c r="G484" s="42"/>
      <c r="H484" s="63"/>
      <c r="I484" s="42"/>
      <c r="J484" s="42"/>
      <c r="K484" s="42"/>
      <c r="L484" s="42"/>
      <c r="M484" s="42"/>
      <c r="N484" s="42"/>
      <c r="O484" s="42"/>
      <c r="P484" s="42"/>
      <c r="Q484" s="42"/>
      <c r="R484" s="42"/>
      <c r="S484" s="42"/>
      <c r="T484" s="42"/>
      <c r="U484" s="42"/>
      <c r="V484" s="42"/>
      <c r="W484" s="42"/>
      <c r="X484" s="42"/>
      <c r="Y484" s="42"/>
      <c r="Z484" s="42"/>
    </row>
    <row r="485" ht="15.75" customHeight="1">
      <c r="A485" s="42"/>
      <c r="B485" s="42"/>
      <c r="C485" s="42"/>
      <c r="D485" s="42"/>
      <c r="E485" s="42"/>
      <c r="F485" s="42"/>
      <c r="G485" s="42"/>
      <c r="H485" s="63"/>
      <c r="I485" s="42"/>
      <c r="J485" s="42"/>
      <c r="K485" s="42"/>
      <c r="L485" s="42"/>
      <c r="M485" s="42"/>
      <c r="N485" s="42"/>
      <c r="O485" s="42"/>
      <c r="P485" s="42"/>
      <c r="Q485" s="42"/>
      <c r="R485" s="42"/>
      <c r="S485" s="42"/>
      <c r="T485" s="42"/>
      <c r="U485" s="42"/>
      <c r="V485" s="42"/>
      <c r="W485" s="42"/>
      <c r="X485" s="42"/>
      <c r="Y485" s="42"/>
      <c r="Z485" s="42"/>
    </row>
    <row r="486" ht="15.75" customHeight="1">
      <c r="A486" s="42"/>
      <c r="B486" s="42"/>
      <c r="C486" s="42"/>
      <c r="D486" s="42"/>
      <c r="E486" s="42"/>
      <c r="F486" s="42"/>
      <c r="G486" s="42"/>
      <c r="H486" s="63"/>
      <c r="I486" s="42"/>
      <c r="J486" s="42"/>
      <c r="K486" s="42"/>
      <c r="L486" s="42"/>
      <c r="M486" s="42"/>
      <c r="N486" s="42"/>
      <c r="O486" s="42"/>
      <c r="P486" s="42"/>
      <c r="Q486" s="42"/>
      <c r="R486" s="42"/>
      <c r="S486" s="42"/>
      <c r="T486" s="42"/>
      <c r="U486" s="42"/>
      <c r="V486" s="42"/>
      <c r="W486" s="42"/>
      <c r="X486" s="42"/>
      <c r="Y486" s="42"/>
      <c r="Z486" s="42"/>
    </row>
    <row r="487" ht="15.75" customHeight="1">
      <c r="A487" s="42"/>
      <c r="B487" s="42"/>
      <c r="C487" s="42"/>
      <c r="D487" s="42"/>
      <c r="E487" s="42"/>
      <c r="F487" s="42"/>
      <c r="G487" s="42"/>
      <c r="H487" s="63"/>
      <c r="I487" s="42"/>
      <c r="J487" s="42"/>
      <c r="K487" s="42"/>
      <c r="L487" s="42"/>
      <c r="M487" s="42"/>
      <c r="N487" s="42"/>
      <c r="O487" s="42"/>
      <c r="P487" s="42"/>
      <c r="Q487" s="42"/>
      <c r="R487" s="42"/>
      <c r="S487" s="42"/>
      <c r="T487" s="42"/>
      <c r="U487" s="42"/>
      <c r="V487" s="42"/>
      <c r="W487" s="42"/>
      <c r="X487" s="42"/>
      <c r="Y487" s="42"/>
      <c r="Z487" s="42"/>
    </row>
    <row r="488" ht="15.75" customHeight="1">
      <c r="A488" s="42"/>
      <c r="B488" s="42"/>
      <c r="C488" s="42"/>
      <c r="D488" s="42"/>
      <c r="E488" s="42"/>
      <c r="F488" s="42"/>
      <c r="G488" s="42"/>
      <c r="H488" s="63"/>
      <c r="I488" s="42"/>
      <c r="J488" s="42"/>
      <c r="K488" s="42"/>
      <c r="L488" s="42"/>
      <c r="M488" s="42"/>
      <c r="N488" s="42"/>
      <c r="O488" s="42"/>
      <c r="P488" s="42"/>
      <c r="Q488" s="42"/>
      <c r="R488" s="42"/>
      <c r="S488" s="42"/>
      <c r="T488" s="42"/>
      <c r="U488" s="42"/>
      <c r="V488" s="42"/>
      <c r="W488" s="42"/>
      <c r="X488" s="42"/>
      <c r="Y488" s="42"/>
      <c r="Z488" s="42"/>
    </row>
    <row r="489" ht="15.75" customHeight="1">
      <c r="A489" s="42"/>
      <c r="B489" s="42"/>
      <c r="C489" s="42"/>
      <c r="D489" s="42"/>
      <c r="E489" s="42"/>
      <c r="F489" s="42"/>
      <c r="G489" s="42"/>
      <c r="H489" s="63"/>
      <c r="I489" s="42"/>
      <c r="J489" s="42"/>
      <c r="K489" s="42"/>
      <c r="L489" s="42"/>
      <c r="M489" s="42"/>
      <c r="N489" s="42"/>
      <c r="O489" s="42"/>
      <c r="P489" s="42"/>
      <c r="Q489" s="42"/>
      <c r="R489" s="42"/>
      <c r="S489" s="42"/>
      <c r="T489" s="42"/>
      <c r="U489" s="42"/>
      <c r="V489" s="42"/>
      <c r="W489" s="42"/>
      <c r="X489" s="42"/>
      <c r="Y489" s="42"/>
      <c r="Z489" s="42"/>
    </row>
    <row r="490" ht="15.75" customHeight="1">
      <c r="A490" s="42"/>
      <c r="B490" s="42"/>
      <c r="C490" s="42"/>
      <c r="D490" s="42"/>
      <c r="E490" s="42"/>
      <c r="F490" s="42"/>
      <c r="G490" s="42"/>
      <c r="H490" s="63"/>
      <c r="I490" s="42"/>
      <c r="J490" s="42"/>
      <c r="K490" s="42"/>
      <c r="L490" s="42"/>
      <c r="M490" s="42"/>
      <c r="N490" s="42"/>
      <c r="O490" s="42"/>
      <c r="P490" s="42"/>
      <c r="Q490" s="42"/>
      <c r="R490" s="42"/>
      <c r="S490" s="42"/>
      <c r="T490" s="42"/>
      <c r="U490" s="42"/>
      <c r="V490" s="42"/>
      <c r="W490" s="42"/>
      <c r="X490" s="42"/>
      <c r="Y490" s="42"/>
      <c r="Z490" s="42"/>
    </row>
    <row r="491" ht="15.75" customHeight="1">
      <c r="A491" s="42"/>
      <c r="B491" s="42"/>
      <c r="C491" s="42"/>
      <c r="D491" s="42"/>
      <c r="E491" s="42"/>
      <c r="F491" s="42"/>
      <c r="G491" s="42"/>
      <c r="H491" s="63"/>
      <c r="I491" s="42"/>
      <c r="J491" s="42"/>
      <c r="K491" s="42"/>
      <c r="L491" s="42"/>
      <c r="M491" s="42"/>
      <c r="N491" s="42"/>
      <c r="O491" s="42"/>
      <c r="P491" s="42"/>
      <c r="Q491" s="42"/>
      <c r="R491" s="42"/>
      <c r="S491" s="42"/>
      <c r="T491" s="42"/>
      <c r="U491" s="42"/>
      <c r="V491" s="42"/>
      <c r="W491" s="42"/>
      <c r="X491" s="42"/>
      <c r="Y491" s="42"/>
      <c r="Z491" s="42"/>
    </row>
    <row r="492" ht="15.75" customHeight="1">
      <c r="A492" s="42"/>
      <c r="B492" s="42"/>
      <c r="C492" s="42"/>
      <c r="D492" s="42"/>
      <c r="E492" s="42"/>
      <c r="F492" s="42"/>
      <c r="G492" s="42"/>
      <c r="H492" s="63"/>
      <c r="I492" s="42"/>
      <c r="J492" s="42"/>
      <c r="K492" s="42"/>
      <c r="L492" s="42"/>
      <c r="M492" s="42"/>
      <c r="N492" s="42"/>
      <c r="O492" s="42"/>
      <c r="P492" s="42"/>
      <c r="Q492" s="42"/>
      <c r="R492" s="42"/>
      <c r="S492" s="42"/>
      <c r="T492" s="42"/>
      <c r="U492" s="42"/>
      <c r="V492" s="42"/>
      <c r="W492" s="42"/>
      <c r="X492" s="42"/>
      <c r="Y492" s="42"/>
      <c r="Z492" s="42"/>
    </row>
    <row r="493" ht="15.75" customHeight="1">
      <c r="A493" s="42"/>
      <c r="B493" s="42"/>
      <c r="C493" s="42"/>
      <c r="D493" s="42"/>
      <c r="E493" s="42"/>
      <c r="F493" s="42"/>
      <c r="G493" s="42"/>
      <c r="H493" s="63"/>
      <c r="I493" s="42"/>
      <c r="J493" s="42"/>
      <c r="K493" s="42"/>
      <c r="L493" s="42"/>
      <c r="M493" s="42"/>
      <c r="N493" s="42"/>
      <c r="O493" s="42"/>
      <c r="P493" s="42"/>
      <c r="Q493" s="42"/>
      <c r="R493" s="42"/>
      <c r="S493" s="42"/>
      <c r="T493" s="42"/>
      <c r="U493" s="42"/>
      <c r="V493" s="42"/>
      <c r="W493" s="42"/>
      <c r="X493" s="42"/>
      <c r="Y493" s="42"/>
      <c r="Z493" s="42"/>
    </row>
    <row r="494" ht="15.75" customHeight="1">
      <c r="A494" s="42"/>
      <c r="B494" s="42"/>
      <c r="C494" s="42"/>
      <c r="D494" s="42"/>
      <c r="E494" s="42"/>
      <c r="F494" s="42"/>
      <c r="G494" s="42"/>
      <c r="H494" s="63"/>
      <c r="I494" s="42"/>
      <c r="J494" s="42"/>
      <c r="K494" s="42"/>
      <c r="L494" s="42"/>
      <c r="M494" s="42"/>
      <c r="N494" s="42"/>
      <c r="O494" s="42"/>
      <c r="P494" s="42"/>
      <c r="Q494" s="42"/>
      <c r="R494" s="42"/>
      <c r="S494" s="42"/>
      <c r="T494" s="42"/>
      <c r="U494" s="42"/>
      <c r="V494" s="42"/>
      <c r="W494" s="42"/>
      <c r="X494" s="42"/>
      <c r="Y494" s="42"/>
      <c r="Z494" s="42"/>
    </row>
    <row r="495" ht="15.75" customHeight="1">
      <c r="A495" s="42"/>
      <c r="B495" s="42"/>
      <c r="C495" s="42"/>
      <c r="D495" s="42"/>
      <c r="E495" s="42"/>
      <c r="F495" s="42"/>
      <c r="G495" s="42"/>
      <c r="H495" s="63"/>
      <c r="I495" s="42"/>
      <c r="J495" s="42"/>
      <c r="K495" s="42"/>
      <c r="L495" s="42"/>
      <c r="M495" s="42"/>
      <c r="N495" s="42"/>
      <c r="O495" s="42"/>
      <c r="P495" s="42"/>
      <c r="Q495" s="42"/>
      <c r="R495" s="42"/>
      <c r="S495" s="42"/>
      <c r="T495" s="42"/>
      <c r="U495" s="42"/>
      <c r="V495" s="42"/>
      <c r="W495" s="42"/>
      <c r="X495" s="42"/>
      <c r="Y495" s="42"/>
      <c r="Z495" s="42"/>
    </row>
    <row r="496" ht="15.75" customHeight="1">
      <c r="A496" s="42"/>
      <c r="B496" s="42"/>
      <c r="C496" s="42"/>
      <c r="D496" s="42"/>
      <c r="E496" s="42"/>
      <c r="F496" s="42"/>
      <c r="G496" s="42"/>
      <c r="H496" s="63"/>
      <c r="I496" s="42"/>
      <c r="J496" s="42"/>
      <c r="K496" s="42"/>
      <c r="L496" s="42"/>
      <c r="M496" s="42"/>
      <c r="N496" s="42"/>
      <c r="O496" s="42"/>
      <c r="P496" s="42"/>
      <c r="Q496" s="42"/>
      <c r="R496" s="42"/>
      <c r="S496" s="42"/>
      <c r="T496" s="42"/>
      <c r="U496" s="42"/>
      <c r="V496" s="42"/>
      <c r="W496" s="42"/>
      <c r="X496" s="42"/>
      <c r="Y496" s="42"/>
      <c r="Z496" s="42"/>
    </row>
    <row r="497" ht="15.75" customHeight="1">
      <c r="A497" s="42"/>
      <c r="B497" s="42"/>
      <c r="C497" s="42"/>
      <c r="D497" s="42"/>
      <c r="E497" s="42"/>
      <c r="F497" s="42"/>
      <c r="G497" s="42"/>
      <c r="H497" s="63"/>
      <c r="I497" s="42"/>
      <c r="J497" s="42"/>
      <c r="K497" s="42"/>
      <c r="L497" s="42"/>
      <c r="M497" s="42"/>
      <c r="N497" s="42"/>
      <c r="O497" s="42"/>
      <c r="P497" s="42"/>
      <c r="Q497" s="42"/>
      <c r="R497" s="42"/>
      <c r="S497" s="42"/>
      <c r="T497" s="42"/>
      <c r="U497" s="42"/>
      <c r="V497" s="42"/>
      <c r="W497" s="42"/>
      <c r="X497" s="42"/>
      <c r="Y497" s="42"/>
      <c r="Z497" s="42"/>
    </row>
    <row r="498" ht="15.75" customHeight="1">
      <c r="A498" s="42"/>
      <c r="B498" s="42"/>
      <c r="C498" s="42"/>
      <c r="D498" s="42"/>
      <c r="E498" s="42"/>
      <c r="F498" s="42"/>
      <c r="G498" s="42"/>
      <c r="H498" s="63"/>
      <c r="I498" s="42"/>
      <c r="J498" s="42"/>
      <c r="K498" s="42"/>
      <c r="L498" s="42"/>
      <c r="M498" s="42"/>
      <c r="N498" s="42"/>
      <c r="O498" s="42"/>
      <c r="P498" s="42"/>
      <c r="Q498" s="42"/>
      <c r="R498" s="42"/>
      <c r="S498" s="42"/>
      <c r="T498" s="42"/>
      <c r="U498" s="42"/>
      <c r="V498" s="42"/>
      <c r="W498" s="42"/>
      <c r="X498" s="42"/>
      <c r="Y498" s="42"/>
      <c r="Z498" s="42"/>
    </row>
    <row r="499" ht="15.75" customHeight="1">
      <c r="A499" s="42"/>
      <c r="B499" s="42"/>
      <c r="C499" s="42"/>
      <c r="D499" s="42"/>
      <c r="E499" s="42"/>
      <c r="F499" s="42"/>
      <c r="G499" s="42"/>
      <c r="H499" s="63"/>
      <c r="I499" s="42"/>
      <c r="J499" s="42"/>
      <c r="K499" s="42"/>
      <c r="L499" s="42"/>
      <c r="M499" s="42"/>
      <c r="N499" s="42"/>
      <c r="O499" s="42"/>
      <c r="P499" s="42"/>
      <c r="Q499" s="42"/>
      <c r="R499" s="42"/>
      <c r="S499" s="42"/>
      <c r="T499" s="42"/>
      <c r="U499" s="42"/>
      <c r="V499" s="42"/>
      <c r="W499" s="42"/>
      <c r="X499" s="42"/>
      <c r="Y499" s="42"/>
      <c r="Z499" s="42"/>
    </row>
    <row r="500" ht="15.75" customHeight="1">
      <c r="A500" s="42"/>
      <c r="B500" s="42"/>
      <c r="C500" s="42"/>
      <c r="D500" s="42"/>
      <c r="E500" s="42"/>
      <c r="F500" s="42"/>
      <c r="G500" s="42"/>
      <c r="H500" s="63"/>
      <c r="I500" s="42"/>
      <c r="J500" s="42"/>
      <c r="K500" s="42"/>
      <c r="L500" s="42"/>
      <c r="M500" s="42"/>
      <c r="N500" s="42"/>
      <c r="O500" s="42"/>
      <c r="P500" s="42"/>
      <c r="Q500" s="42"/>
      <c r="R500" s="42"/>
      <c r="S500" s="42"/>
      <c r="T500" s="42"/>
      <c r="U500" s="42"/>
      <c r="V500" s="42"/>
      <c r="W500" s="42"/>
      <c r="X500" s="42"/>
      <c r="Y500" s="42"/>
      <c r="Z500" s="42"/>
    </row>
    <row r="501" ht="15.75" customHeight="1">
      <c r="A501" s="42"/>
      <c r="B501" s="42"/>
      <c r="C501" s="42"/>
      <c r="D501" s="42"/>
      <c r="E501" s="42"/>
      <c r="F501" s="42"/>
      <c r="G501" s="42"/>
      <c r="H501" s="63"/>
      <c r="I501" s="42"/>
      <c r="J501" s="42"/>
      <c r="K501" s="42"/>
      <c r="L501" s="42"/>
      <c r="M501" s="42"/>
      <c r="N501" s="42"/>
      <c r="O501" s="42"/>
      <c r="P501" s="42"/>
      <c r="Q501" s="42"/>
      <c r="R501" s="42"/>
      <c r="S501" s="42"/>
      <c r="T501" s="42"/>
      <c r="U501" s="42"/>
      <c r="V501" s="42"/>
      <c r="W501" s="42"/>
      <c r="X501" s="42"/>
      <c r="Y501" s="42"/>
      <c r="Z501" s="42"/>
    </row>
    <row r="502" ht="15.75" customHeight="1">
      <c r="A502" s="42"/>
      <c r="B502" s="42"/>
      <c r="C502" s="42"/>
      <c r="D502" s="42"/>
      <c r="E502" s="42"/>
      <c r="F502" s="42"/>
      <c r="G502" s="42"/>
      <c r="H502" s="63"/>
      <c r="I502" s="42"/>
      <c r="J502" s="42"/>
      <c r="K502" s="42"/>
      <c r="L502" s="42"/>
      <c r="M502" s="42"/>
      <c r="N502" s="42"/>
      <c r="O502" s="42"/>
      <c r="P502" s="42"/>
      <c r="Q502" s="42"/>
      <c r="R502" s="42"/>
      <c r="S502" s="42"/>
      <c r="T502" s="42"/>
      <c r="U502" s="42"/>
      <c r="V502" s="42"/>
      <c r="W502" s="42"/>
      <c r="X502" s="42"/>
      <c r="Y502" s="42"/>
      <c r="Z502" s="42"/>
    </row>
    <row r="503" ht="15.75" customHeight="1">
      <c r="A503" s="42"/>
      <c r="B503" s="42"/>
      <c r="C503" s="42"/>
      <c r="D503" s="42"/>
      <c r="E503" s="42"/>
      <c r="F503" s="42"/>
      <c r="G503" s="42"/>
      <c r="H503" s="63"/>
      <c r="I503" s="42"/>
      <c r="J503" s="42"/>
      <c r="K503" s="42"/>
      <c r="L503" s="42"/>
      <c r="M503" s="42"/>
      <c r="N503" s="42"/>
      <c r="O503" s="42"/>
      <c r="P503" s="42"/>
      <c r="Q503" s="42"/>
      <c r="R503" s="42"/>
      <c r="S503" s="42"/>
      <c r="T503" s="42"/>
      <c r="U503" s="42"/>
      <c r="V503" s="42"/>
      <c r="W503" s="42"/>
      <c r="X503" s="42"/>
      <c r="Y503" s="42"/>
      <c r="Z503" s="42"/>
    </row>
    <row r="504" ht="15.75" customHeight="1">
      <c r="A504" s="42"/>
      <c r="B504" s="42"/>
      <c r="C504" s="42"/>
      <c r="D504" s="42"/>
      <c r="E504" s="42"/>
      <c r="F504" s="42"/>
      <c r="G504" s="42"/>
      <c r="H504" s="63"/>
      <c r="I504" s="42"/>
      <c r="J504" s="42"/>
      <c r="K504" s="42"/>
      <c r="L504" s="42"/>
      <c r="M504" s="42"/>
      <c r="N504" s="42"/>
      <c r="O504" s="42"/>
      <c r="P504" s="42"/>
      <c r="Q504" s="42"/>
      <c r="R504" s="42"/>
      <c r="S504" s="42"/>
      <c r="T504" s="42"/>
      <c r="U504" s="42"/>
      <c r="V504" s="42"/>
      <c r="W504" s="42"/>
      <c r="X504" s="42"/>
      <c r="Y504" s="42"/>
      <c r="Z504" s="42"/>
    </row>
    <row r="505" ht="15.75" customHeight="1">
      <c r="A505" s="42"/>
      <c r="B505" s="42"/>
      <c r="C505" s="42"/>
      <c r="D505" s="42"/>
      <c r="E505" s="42"/>
      <c r="F505" s="42"/>
      <c r="G505" s="42"/>
      <c r="H505" s="63"/>
      <c r="I505" s="42"/>
      <c r="J505" s="42"/>
      <c r="K505" s="42"/>
      <c r="L505" s="42"/>
      <c r="M505" s="42"/>
      <c r="N505" s="42"/>
      <c r="O505" s="42"/>
      <c r="P505" s="42"/>
      <c r="Q505" s="42"/>
      <c r="R505" s="42"/>
      <c r="S505" s="42"/>
      <c r="T505" s="42"/>
      <c r="U505" s="42"/>
      <c r="V505" s="42"/>
      <c r="W505" s="42"/>
      <c r="X505" s="42"/>
      <c r="Y505" s="42"/>
      <c r="Z505" s="42"/>
    </row>
    <row r="506" ht="15.75" customHeight="1">
      <c r="A506" s="42"/>
      <c r="B506" s="42"/>
      <c r="C506" s="42"/>
      <c r="D506" s="42"/>
      <c r="E506" s="42"/>
      <c r="F506" s="42"/>
      <c r="G506" s="42"/>
      <c r="H506" s="63"/>
      <c r="I506" s="42"/>
      <c r="J506" s="42"/>
      <c r="K506" s="42"/>
      <c r="L506" s="42"/>
      <c r="M506" s="42"/>
      <c r="N506" s="42"/>
      <c r="O506" s="42"/>
      <c r="P506" s="42"/>
      <c r="Q506" s="42"/>
      <c r="R506" s="42"/>
      <c r="S506" s="42"/>
      <c r="T506" s="42"/>
      <c r="U506" s="42"/>
      <c r="V506" s="42"/>
      <c r="W506" s="42"/>
      <c r="X506" s="42"/>
      <c r="Y506" s="42"/>
      <c r="Z506" s="42"/>
    </row>
    <row r="507" ht="15.75" customHeight="1">
      <c r="A507" s="42"/>
      <c r="B507" s="42"/>
      <c r="C507" s="42"/>
      <c r="D507" s="42"/>
      <c r="E507" s="42"/>
      <c r="F507" s="42"/>
      <c r="G507" s="42"/>
      <c r="H507" s="63"/>
      <c r="I507" s="42"/>
      <c r="J507" s="42"/>
      <c r="K507" s="42"/>
      <c r="L507" s="42"/>
      <c r="M507" s="42"/>
      <c r="N507" s="42"/>
      <c r="O507" s="42"/>
      <c r="P507" s="42"/>
      <c r="Q507" s="42"/>
      <c r="R507" s="42"/>
      <c r="S507" s="42"/>
      <c r="T507" s="42"/>
      <c r="U507" s="42"/>
      <c r="V507" s="42"/>
      <c r="W507" s="42"/>
      <c r="X507" s="42"/>
      <c r="Y507" s="42"/>
      <c r="Z507" s="42"/>
    </row>
    <row r="508" ht="15.75" customHeight="1">
      <c r="A508" s="42"/>
      <c r="B508" s="42"/>
      <c r="C508" s="42"/>
      <c r="D508" s="42"/>
      <c r="E508" s="42"/>
      <c r="F508" s="42"/>
      <c r="G508" s="42"/>
      <c r="H508" s="63"/>
      <c r="I508" s="42"/>
      <c r="J508" s="42"/>
      <c r="K508" s="42"/>
      <c r="L508" s="42"/>
      <c r="M508" s="42"/>
      <c r="N508" s="42"/>
      <c r="O508" s="42"/>
      <c r="P508" s="42"/>
      <c r="Q508" s="42"/>
      <c r="R508" s="42"/>
      <c r="S508" s="42"/>
      <c r="T508" s="42"/>
      <c r="U508" s="42"/>
      <c r="V508" s="42"/>
      <c r="W508" s="42"/>
      <c r="X508" s="42"/>
      <c r="Y508" s="42"/>
      <c r="Z508" s="42"/>
    </row>
    <row r="509" ht="15.75" customHeight="1">
      <c r="A509" s="42"/>
      <c r="B509" s="42"/>
      <c r="C509" s="42"/>
      <c r="D509" s="42"/>
      <c r="E509" s="42"/>
      <c r="F509" s="42"/>
      <c r="G509" s="42"/>
      <c r="H509" s="63"/>
      <c r="I509" s="42"/>
      <c r="J509" s="42"/>
      <c r="K509" s="42"/>
      <c r="L509" s="42"/>
      <c r="M509" s="42"/>
      <c r="N509" s="42"/>
      <c r="O509" s="42"/>
      <c r="P509" s="42"/>
      <c r="Q509" s="42"/>
      <c r="R509" s="42"/>
      <c r="S509" s="42"/>
      <c r="T509" s="42"/>
      <c r="U509" s="42"/>
      <c r="V509" s="42"/>
      <c r="W509" s="42"/>
      <c r="X509" s="42"/>
      <c r="Y509" s="42"/>
      <c r="Z509" s="42"/>
    </row>
    <row r="510" ht="15.75" customHeight="1">
      <c r="A510" s="42"/>
      <c r="B510" s="42"/>
      <c r="C510" s="42"/>
      <c r="D510" s="42"/>
      <c r="E510" s="42"/>
      <c r="F510" s="42"/>
      <c r="G510" s="42"/>
      <c r="H510" s="63"/>
      <c r="I510" s="42"/>
      <c r="J510" s="42"/>
      <c r="K510" s="42"/>
      <c r="L510" s="42"/>
      <c r="M510" s="42"/>
      <c r="N510" s="42"/>
      <c r="O510" s="42"/>
      <c r="P510" s="42"/>
      <c r="Q510" s="42"/>
      <c r="R510" s="42"/>
      <c r="S510" s="42"/>
      <c r="T510" s="42"/>
      <c r="U510" s="42"/>
      <c r="V510" s="42"/>
      <c r="W510" s="42"/>
      <c r="X510" s="42"/>
      <c r="Y510" s="42"/>
      <c r="Z510" s="42"/>
    </row>
    <row r="511" ht="15.75" customHeight="1">
      <c r="A511" s="42"/>
      <c r="B511" s="42"/>
      <c r="C511" s="42"/>
      <c r="D511" s="42"/>
      <c r="E511" s="42"/>
      <c r="F511" s="42"/>
      <c r="G511" s="42"/>
      <c r="H511" s="63"/>
      <c r="I511" s="42"/>
      <c r="J511" s="42"/>
      <c r="K511" s="42"/>
      <c r="L511" s="42"/>
      <c r="M511" s="42"/>
      <c r="N511" s="42"/>
      <c r="O511" s="42"/>
      <c r="P511" s="42"/>
      <c r="Q511" s="42"/>
      <c r="R511" s="42"/>
      <c r="S511" s="42"/>
      <c r="T511" s="42"/>
      <c r="U511" s="42"/>
      <c r="V511" s="42"/>
      <c r="W511" s="42"/>
      <c r="X511" s="42"/>
      <c r="Y511" s="42"/>
      <c r="Z511" s="42"/>
    </row>
    <row r="512" ht="15.75" customHeight="1">
      <c r="A512" s="42"/>
      <c r="B512" s="42"/>
      <c r="C512" s="42"/>
      <c r="D512" s="42"/>
      <c r="E512" s="42"/>
      <c r="F512" s="42"/>
      <c r="G512" s="42"/>
      <c r="H512" s="63"/>
      <c r="I512" s="42"/>
      <c r="J512" s="42"/>
      <c r="K512" s="42"/>
      <c r="L512" s="42"/>
      <c r="M512" s="42"/>
      <c r="N512" s="42"/>
      <c r="O512" s="42"/>
      <c r="P512" s="42"/>
      <c r="Q512" s="42"/>
      <c r="R512" s="42"/>
      <c r="S512" s="42"/>
      <c r="T512" s="42"/>
      <c r="U512" s="42"/>
      <c r="V512" s="42"/>
      <c r="W512" s="42"/>
      <c r="X512" s="42"/>
      <c r="Y512" s="42"/>
      <c r="Z512" s="42"/>
    </row>
    <row r="513" ht="15.75" customHeight="1">
      <c r="A513" s="42"/>
      <c r="B513" s="42"/>
      <c r="C513" s="42"/>
      <c r="D513" s="42"/>
      <c r="E513" s="42"/>
      <c r="F513" s="42"/>
      <c r="G513" s="42"/>
      <c r="H513" s="63"/>
      <c r="I513" s="42"/>
      <c r="J513" s="42"/>
      <c r="K513" s="42"/>
      <c r="L513" s="42"/>
      <c r="M513" s="42"/>
      <c r="N513" s="42"/>
      <c r="O513" s="42"/>
      <c r="P513" s="42"/>
      <c r="Q513" s="42"/>
      <c r="R513" s="42"/>
      <c r="S513" s="42"/>
      <c r="T513" s="42"/>
      <c r="U513" s="42"/>
      <c r="V513" s="42"/>
      <c r="W513" s="42"/>
      <c r="X513" s="42"/>
      <c r="Y513" s="42"/>
      <c r="Z513" s="42"/>
    </row>
    <row r="514" ht="15.75" customHeight="1">
      <c r="A514" s="42"/>
      <c r="B514" s="42"/>
      <c r="C514" s="42"/>
      <c r="D514" s="42"/>
      <c r="E514" s="42"/>
      <c r="F514" s="42"/>
      <c r="G514" s="42"/>
      <c r="H514" s="63"/>
      <c r="I514" s="42"/>
      <c r="J514" s="42"/>
      <c r="K514" s="42"/>
      <c r="L514" s="42"/>
      <c r="M514" s="42"/>
      <c r="N514" s="42"/>
      <c r="O514" s="42"/>
      <c r="P514" s="42"/>
      <c r="Q514" s="42"/>
      <c r="R514" s="42"/>
      <c r="S514" s="42"/>
      <c r="T514" s="42"/>
      <c r="U514" s="42"/>
      <c r="V514" s="42"/>
      <c r="W514" s="42"/>
      <c r="X514" s="42"/>
      <c r="Y514" s="42"/>
      <c r="Z514" s="42"/>
    </row>
    <row r="515" ht="15.75" customHeight="1">
      <c r="A515" s="42"/>
      <c r="B515" s="42"/>
      <c r="C515" s="42"/>
      <c r="D515" s="42"/>
      <c r="E515" s="42"/>
      <c r="F515" s="42"/>
      <c r="G515" s="42"/>
      <c r="H515" s="63"/>
      <c r="I515" s="42"/>
      <c r="J515" s="42"/>
      <c r="K515" s="42"/>
      <c r="L515" s="42"/>
      <c r="M515" s="42"/>
      <c r="N515" s="42"/>
      <c r="O515" s="42"/>
      <c r="P515" s="42"/>
      <c r="Q515" s="42"/>
      <c r="R515" s="42"/>
      <c r="S515" s="42"/>
      <c r="T515" s="42"/>
      <c r="U515" s="42"/>
      <c r="V515" s="42"/>
      <c r="W515" s="42"/>
      <c r="X515" s="42"/>
      <c r="Y515" s="42"/>
      <c r="Z515" s="42"/>
    </row>
    <row r="516" ht="15.75" customHeight="1">
      <c r="A516" s="42"/>
      <c r="B516" s="42"/>
      <c r="C516" s="42"/>
      <c r="D516" s="42"/>
      <c r="E516" s="42"/>
      <c r="F516" s="42"/>
      <c r="G516" s="42"/>
      <c r="H516" s="63"/>
      <c r="I516" s="42"/>
      <c r="J516" s="42"/>
      <c r="K516" s="42"/>
      <c r="L516" s="42"/>
      <c r="M516" s="42"/>
      <c r="N516" s="42"/>
      <c r="O516" s="42"/>
      <c r="P516" s="42"/>
      <c r="Q516" s="42"/>
      <c r="R516" s="42"/>
      <c r="S516" s="42"/>
      <c r="T516" s="42"/>
      <c r="U516" s="42"/>
      <c r="V516" s="42"/>
      <c r="W516" s="42"/>
      <c r="X516" s="42"/>
      <c r="Y516" s="42"/>
      <c r="Z516" s="42"/>
    </row>
    <row r="517" ht="15.75" customHeight="1">
      <c r="A517" s="42"/>
      <c r="B517" s="42"/>
      <c r="C517" s="42"/>
      <c r="D517" s="42"/>
      <c r="E517" s="42"/>
      <c r="F517" s="42"/>
      <c r="G517" s="42"/>
      <c r="H517" s="63"/>
      <c r="I517" s="42"/>
      <c r="J517" s="42"/>
      <c r="K517" s="42"/>
      <c r="L517" s="42"/>
      <c r="M517" s="42"/>
      <c r="N517" s="42"/>
      <c r="O517" s="42"/>
      <c r="P517" s="42"/>
      <c r="Q517" s="42"/>
      <c r="R517" s="42"/>
      <c r="S517" s="42"/>
      <c r="T517" s="42"/>
      <c r="U517" s="42"/>
      <c r="V517" s="42"/>
      <c r="W517" s="42"/>
      <c r="X517" s="42"/>
      <c r="Y517" s="42"/>
      <c r="Z517" s="42"/>
    </row>
    <row r="518" ht="15.75" customHeight="1">
      <c r="A518" s="42"/>
      <c r="B518" s="42"/>
      <c r="C518" s="42"/>
      <c r="D518" s="42"/>
      <c r="E518" s="42"/>
      <c r="F518" s="42"/>
      <c r="G518" s="42"/>
      <c r="H518" s="63"/>
      <c r="I518" s="42"/>
      <c r="J518" s="42"/>
      <c r="K518" s="42"/>
      <c r="L518" s="42"/>
      <c r="M518" s="42"/>
      <c r="N518" s="42"/>
      <c r="O518" s="42"/>
      <c r="P518" s="42"/>
      <c r="Q518" s="42"/>
      <c r="R518" s="42"/>
      <c r="S518" s="42"/>
      <c r="T518" s="42"/>
      <c r="U518" s="42"/>
      <c r="V518" s="42"/>
      <c r="W518" s="42"/>
      <c r="X518" s="42"/>
      <c r="Y518" s="42"/>
      <c r="Z518" s="42"/>
    </row>
    <row r="519" ht="15.75" customHeight="1">
      <c r="A519" s="42"/>
      <c r="B519" s="42"/>
      <c r="C519" s="42"/>
      <c r="D519" s="42"/>
      <c r="E519" s="42"/>
      <c r="F519" s="42"/>
      <c r="G519" s="42"/>
      <c r="H519" s="63"/>
      <c r="I519" s="42"/>
      <c r="J519" s="42"/>
      <c r="K519" s="42"/>
      <c r="L519" s="42"/>
      <c r="M519" s="42"/>
      <c r="N519" s="42"/>
      <c r="O519" s="42"/>
      <c r="P519" s="42"/>
      <c r="Q519" s="42"/>
      <c r="R519" s="42"/>
      <c r="S519" s="42"/>
      <c r="T519" s="42"/>
      <c r="U519" s="42"/>
      <c r="V519" s="42"/>
      <c r="W519" s="42"/>
      <c r="X519" s="42"/>
      <c r="Y519" s="42"/>
      <c r="Z519" s="42"/>
    </row>
    <row r="520" ht="15.75" customHeight="1">
      <c r="A520" s="42"/>
      <c r="B520" s="42"/>
      <c r="C520" s="42"/>
      <c r="D520" s="42"/>
      <c r="E520" s="42"/>
      <c r="F520" s="42"/>
      <c r="G520" s="42"/>
      <c r="H520" s="63"/>
      <c r="I520" s="42"/>
      <c r="J520" s="42"/>
      <c r="K520" s="42"/>
      <c r="L520" s="42"/>
      <c r="M520" s="42"/>
      <c r="N520" s="42"/>
      <c r="O520" s="42"/>
      <c r="P520" s="42"/>
      <c r="Q520" s="42"/>
      <c r="R520" s="42"/>
      <c r="S520" s="42"/>
      <c r="T520" s="42"/>
      <c r="U520" s="42"/>
      <c r="V520" s="42"/>
      <c r="W520" s="42"/>
      <c r="X520" s="42"/>
      <c r="Y520" s="42"/>
      <c r="Z520" s="42"/>
    </row>
    <row r="521" ht="15.75" customHeight="1">
      <c r="A521" s="42"/>
      <c r="B521" s="42"/>
      <c r="C521" s="42"/>
      <c r="D521" s="42"/>
      <c r="E521" s="42"/>
      <c r="F521" s="42"/>
      <c r="G521" s="42"/>
      <c r="H521" s="63"/>
      <c r="I521" s="42"/>
      <c r="J521" s="42"/>
      <c r="K521" s="42"/>
      <c r="L521" s="42"/>
      <c r="M521" s="42"/>
      <c r="N521" s="42"/>
      <c r="O521" s="42"/>
      <c r="P521" s="42"/>
      <c r="Q521" s="42"/>
      <c r="R521" s="42"/>
      <c r="S521" s="42"/>
      <c r="T521" s="42"/>
      <c r="U521" s="42"/>
      <c r="V521" s="42"/>
      <c r="W521" s="42"/>
      <c r="X521" s="42"/>
      <c r="Y521" s="42"/>
      <c r="Z521" s="42"/>
    </row>
    <row r="522" ht="15.75" customHeight="1">
      <c r="A522" s="42"/>
      <c r="B522" s="42"/>
      <c r="C522" s="42"/>
      <c r="D522" s="42"/>
      <c r="E522" s="42"/>
      <c r="F522" s="42"/>
      <c r="G522" s="42"/>
      <c r="H522" s="63"/>
      <c r="I522" s="42"/>
      <c r="J522" s="42"/>
      <c r="K522" s="42"/>
      <c r="L522" s="42"/>
      <c r="M522" s="42"/>
      <c r="N522" s="42"/>
      <c r="O522" s="42"/>
      <c r="P522" s="42"/>
      <c r="Q522" s="42"/>
      <c r="R522" s="42"/>
      <c r="S522" s="42"/>
      <c r="T522" s="42"/>
      <c r="U522" s="42"/>
      <c r="V522" s="42"/>
      <c r="W522" s="42"/>
      <c r="X522" s="42"/>
      <c r="Y522" s="42"/>
      <c r="Z522" s="42"/>
    </row>
    <row r="523" ht="15.75" customHeight="1">
      <c r="A523" s="42"/>
      <c r="B523" s="42"/>
      <c r="C523" s="42"/>
      <c r="D523" s="42"/>
      <c r="E523" s="42"/>
      <c r="F523" s="42"/>
      <c r="G523" s="42"/>
      <c r="H523" s="63"/>
      <c r="I523" s="42"/>
      <c r="J523" s="42"/>
      <c r="K523" s="42"/>
      <c r="L523" s="42"/>
      <c r="M523" s="42"/>
      <c r="N523" s="42"/>
      <c r="O523" s="42"/>
      <c r="P523" s="42"/>
      <c r="Q523" s="42"/>
      <c r="R523" s="42"/>
      <c r="S523" s="42"/>
      <c r="T523" s="42"/>
      <c r="U523" s="42"/>
      <c r="V523" s="42"/>
      <c r="W523" s="42"/>
      <c r="X523" s="42"/>
      <c r="Y523" s="42"/>
      <c r="Z523" s="42"/>
    </row>
    <row r="524" ht="15.75" customHeight="1">
      <c r="A524" s="42"/>
      <c r="B524" s="42"/>
      <c r="C524" s="42"/>
      <c r="D524" s="42"/>
      <c r="E524" s="42"/>
      <c r="F524" s="42"/>
      <c r="G524" s="42"/>
      <c r="H524" s="63"/>
      <c r="I524" s="42"/>
      <c r="J524" s="42"/>
      <c r="K524" s="42"/>
      <c r="L524" s="42"/>
      <c r="M524" s="42"/>
      <c r="N524" s="42"/>
      <c r="O524" s="42"/>
      <c r="P524" s="42"/>
      <c r="Q524" s="42"/>
      <c r="R524" s="42"/>
      <c r="S524" s="42"/>
      <c r="T524" s="42"/>
      <c r="U524" s="42"/>
      <c r="V524" s="42"/>
      <c r="W524" s="42"/>
      <c r="X524" s="42"/>
      <c r="Y524" s="42"/>
      <c r="Z524" s="42"/>
    </row>
    <row r="525" ht="15.75" customHeight="1">
      <c r="A525" s="42"/>
      <c r="B525" s="42"/>
      <c r="C525" s="42"/>
      <c r="D525" s="42"/>
      <c r="E525" s="42"/>
      <c r="F525" s="42"/>
      <c r="G525" s="42"/>
      <c r="H525" s="63"/>
      <c r="I525" s="42"/>
      <c r="J525" s="42"/>
      <c r="K525" s="42"/>
      <c r="L525" s="42"/>
      <c r="M525" s="42"/>
      <c r="N525" s="42"/>
      <c r="O525" s="42"/>
      <c r="P525" s="42"/>
      <c r="Q525" s="42"/>
      <c r="R525" s="42"/>
      <c r="S525" s="42"/>
      <c r="T525" s="42"/>
      <c r="U525" s="42"/>
      <c r="V525" s="42"/>
      <c r="W525" s="42"/>
      <c r="X525" s="42"/>
      <c r="Y525" s="42"/>
      <c r="Z525" s="42"/>
    </row>
    <row r="526" ht="15.75" customHeight="1">
      <c r="A526" s="42"/>
      <c r="B526" s="42"/>
      <c r="C526" s="42"/>
      <c r="D526" s="42"/>
      <c r="E526" s="42"/>
      <c r="F526" s="42"/>
      <c r="G526" s="42"/>
      <c r="H526" s="63"/>
      <c r="I526" s="42"/>
      <c r="J526" s="42"/>
      <c r="K526" s="42"/>
      <c r="L526" s="42"/>
      <c r="M526" s="42"/>
      <c r="N526" s="42"/>
      <c r="O526" s="42"/>
      <c r="P526" s="42"/>
      <c r="Q526" s="42"/>
      <c r="R526" s="42"/>
      <c r="S526" s="42"/>
      <c r="T526" s="42"/>
      <c r="U526" s="42"/>
      <c r="V526" s="42"/>
      <c r="W526" s="42"/>
      <c r="X526" s="42"/>
      <c r="Y526" s="42"/>
      <c r="Z526" s="42"/>
    </row>
    <row r="527" ht="15.75" customHeight="1">
      <c r="A527" s="42"/>
      <c r="B527" s="42"/>
      <c r="C527" s="42"/>
      <c r="D527" s="42"/>
      <c r="E527" s="42"/>
      <c r="F527" s="42"/>
      <c r="G527" s="42"/>
      <c r="H527" s="63"/>
      <c r="I527" s="42"/>
      <c r="J527" s="42"/>
      <c r="K527" s="42"/>
      <c r="L527" s="42"/>
      <c r="M527" s="42"/>
      <c r="N527" s="42"/>
      <c r="O527" s="42"/>
      <c r="P527" s="42"/>
      <c r="Q527" s="42"/>
      <c r="R527" s="42"/>
      <c r="S527" s="42"/>
      <c r="T527" s="42"/>
      <c r="U527" s="42"/>
      <c r="V527" s="42"/>
      <c r="W527" s="42"/>
      <c r="X527" s="42"/>
      <c r="Y527" s="42"/>
      <c r="Z527" s="42"/>
    </row>
    <row r="528" ht="15.75" customHeight="1">
      <c r="A528" s="42"/>
      <c r="B528" s="42"/>
      <c r="C528" s="42"/>
      <c r="D528" s="42"/>
      <c r="E528" s="42"/>
      <c r="F528" s="42"/>
      <c r="G528" s="42"/>
      <c r="H528" s="63"/>
      <c r="I528" s="42"/>
      <c r="J528" s="42"/>
      <c r="K528" s="42"/>
      <c r="L528" s="42"/>
      <c r="M528" s="42"/>
      <c r="N528" s="42"/>
      <c r="O528" s="42"/>
      <c r="P528" s="42"/>
      <c r="Q528" s="42"/>
      <c r="R528" s="42"/>
      <c r="S528" s="42"/>
      <c r="T528" s="42"/>
      <c r="U528" s="42"/>
      <c r="V528" s="42"/>
      <c r="W528" s="42"/>
      <c r="X528" s="42"/>
      <c r="Y528" s="42"/>
      <c r="Z528" s="42"/>
    </row>
    <row r="529" ht="15.75" customHeight="1">
      <c r="A529" s="42"/>
      <c r="B529" s="42"/>
      <c r="C529" s="42"/>
      <c r="D529" s="42"/>
      <c r="E529" s="42"/>
      <c r="F529" s="42"/>
      <c r="G529" s="42"/>
      <c r="H529" s="63"/>
      <c r="I529" s="42"/>
      <c r="J529" s="42"/>
      <c r="K529" s="42"/>
      <c r="L529" s="42"/>
      <c r="M529" s="42"/>
      <c r="N529" s="42"/>
      <c r="O529" s="42"/>
      <c r="P529" s="42"/>
      <c r="Q529" s="42"/>
      <c r="R529" s="42"/>
      <c r="S529" s="42"/>
      <c r="T529" s="42"/>
      <c r="U529" s="42"/>
      <c r="V529" s="42"/>
      <c r="W529" s="42"/>
      <c r="X529" s="42"/>
      <c r="Y529" s="42"/>
      <c r="Z529" s="42"/>
    </row>
    <row r="530" ht="15.75" customHeight="1">
      <c r="A530" s="42"/>
      <c r="B530" s="42"/>
      <c r="C530" s="42"/>
      <c r="D530" s="42"/>
      <c r="E530" s="42"/>
      <c r="F530" s="42"/>
      <c r="G530" s="42"/>
      <c r="H530" s="63"/>
      <c r="I530" s="42"/>
      <c r="J530" s="42"/>
      <c r="K530" s="42"/>
      <c r="L530" s="42"/>
      <c r="M530" s="42"/>
      <c r="N530" s="42"/>
      <c r="O530" s="42"/>
      <c r="P530" s="42"/>
      <c r="Q530" s="42"/>
      <c r="R530" s="42"/>
      <c r="S530" s="42"/>
      <c r="T530" s="42"/>
      <c r="U530" s="42"/>
      <c r="V530" s="42"/>
      <c r="W530" s="42"/>
      <c r="X530" s="42"/>
      <c r="Y530" s="42"/>
      <c r="Z530" s="42"/>
    </row>
    <row r="531" ht="15.75" customHeight="1">
      <c r="A531" s="42"/>
      <c r="B531" s="42"/>
      <c r="C531" s="42"/>
      <c r="D531" s="42"/>
      <c r="E531" s="42"/>
      <c r="F531" s="42"/>
      <c r="G531" s="42"/>
      <c r="H531" s="63"/>
      <c r="I531" s="42"/>
      <c r="J531" s="42"/>
      <c r="K531" s="42"/>
      <c r="L531" s="42"/>
      <c r="M531" s="42"/>
      <c r="N531" s="42"/>
      <c r="O531" s="42"/>
      <c r="P531" s="42"/>
      <c r="Q531" s="42"/>
      <c r="R531" s="42"/>
      <c r="S531" s="42"/>
      <c r="T531" s="42"/>
      <c r="U531" s="42"/>
      <c r="V531" s="42"/>
      <c r="W531" s="42"/>
      <c r="X531" s="42"/>
      <c r="Y531" s="42"/>
      <c r="Z531" s="42"/>
    </row>
    <row r="532" ht="15.75" customHeight="1">
      <c r="A532" s="42"/>
      <c r="B532" s="42"/>
      <c r="C532" s="42"/>
      <c r="D532" s="42"/>
      <c r="E532" s="42"/>
      <c r="F532" s="42"/>
      <c r="G532" s="42"/>
      <c r="H532" s="63"/>
      <c r="I532" s="42"/>
      <c r="J532" s="42"/>
      <c r="K532" s="42"/>
      <c r="L532" s="42"/>
      <c r="M532" s="42"/>
      <c r="N532" s="42"/>
      <c r="O532" s="42"/>
      <c r="P532" s="42"/>
      <c r="Q532" s="42"/>
      <c r="R532" s="42"/>
      <c r="S532" s="42"/>
      <c r="T532" s="42"/>
      <c r="U532" s="42"/>
      <c r="V532" s="42"/>
      <c r="W532" s="42"/>
      <c r="X532" s="42"/>
      <c r="Y532" s="42"/>
      <c r="Z532" s="42"/>
    </row>
    <row r="533" ht="15.75" customHeight="1">
      <c r="A533" s="42"/>
      <c r="B533" s="42"/>
      <c r="C533" s="42"/>
      <c r="D533" s="42"/>
      <c r="E533" s="42"/>
      <c r="F533" s="42"/>
      <c r="G533" s="42"/>
      <c r="H533" s="63"/>
      <c r="I533" s="42"/>
      <c r="J533" s="42"/>
      <c r="K533" s="42"/>
      <c r="L533" s="42"/>
      <c r="M533" s="42"/>
      <c r="N533" s="42"/>
      <c r="O533" s="42"/>
      <c r="P533" s="42"/>
      <c r="Q533" s="42"/>
      <c r="R533" s="42"/>
      <c r="S533" s="42"/>
      <c r="T533" s="42"/>
      <c r="U533" s="42"/>
      <c r="V533" s="42"/>
      <c r="W533" s="42"/>
      <c r="X533" s="42"/>
      <c r="Y533" s="42"/>
      <c r="Z533" s="42"/>
    </row>
    <row r="534" ht="15.75" customHeight="1">
      <c r="A534" s="42"/>
      <c r="B534" s="42"/>
      <c r="C534" s="42"/>
      <c r="D534" s="42"/>
      <c r="E534" s="42"/>
      <c r="F534" s="42"/>
      <c r="G534" s="42"/>
      <c r="H534" s="63"/>
      <c r="I534" s="42"/>
      <c r="J534" s="42"/>
      <c r="K534" s="42"/>
      <c r="L534" s="42"/>
      <c r="M534" s="42"/>
      <c r="N534" s="42"/>
      <c r="O534" s="42"/>
      <c r="P534" s="42"/>
      <c r="Q534" s="42"/>
      <c r="R534" s="42"/>
      <c r="S534" s="42"/>
      <c r="T534" s="42"/>
      <c r="U534" s="42"/>
      <c r="V534" s="42"/>
      <c r="W534" s="42"/>
      <c r="X534" s="42"/>
      <c r="Y534" s="42"/>
      <c r="Z534" s="42"/>
    </row>
    <row r="535" ht="15.75" customHeight="1">
      <c r="A535" s="42"/>
      <c r="B535" s="42"/>
      <c r="C535" s="42"/>
      <c r="D535" s="42"/>
      <c r="E535" s="42"/>
      <c r="F535" s="42"/>
      <c r="G535" s="42"/>
      <c r="H535" s="63"/>
      <c r="I535" s="42"/>
      <c r="J535" s="42"/>
      <c r="K535" s="42"/>
      <c r="L535" s="42"/>
      <c r="M535" s="42"/>
      <c r="N535" s="42"/>
      <c r="O535" s="42"/>
      <c r="P535" s="42"/>
      <c r="Q535" s="42"/>
      <c r="R535" s="42"/>
      <c r="S535" s="42"/>
      <c r="T535" s="42"/>
      <c r="U535" s="42"/>
      <c r="V535" s="42"/>
      <c r="W535" s="42"/>
      <c r="X535" s="42"/>
      <c r="Y535" s="42"/>
      <c r="Z535" s="42"/>
    </row>
    <row r="536" ht="15.75" customHeight="1">
      <c r="A536" s="42"/>
      <c r="B536" s="42"/>
      <c r="C536" s="42"/>
      <c r="D536" s="42"/>
      <c r="E536" s="42"/>
      <c r="F536" s="42"/>
      <c r="G536" s="42"/>
      <c r="H536" s="63"/>
      <c r="I536" s="42"/>
      <c r="J536" s="42"/>
      <c r="K536" s="42"/>
      <c r="L536" s="42"/>
      <c r="M536" s="42"/>
      <c r="N536" s="42"/>
      <c r="O536" s="42"/>
      <c r="P536" s="42"/>
      <c r="Q536" s="42"/>
      <c r="R536" s="42"/>
      <c r="S536" s="42"/>
      <c r="T536" s="42"/>
      <c r="U536" s="42"/>
      <c r="V536" s="42"/>
      <c r="W536" s="42"/>
      <c r="X536" s="42"/>
      <c r="Y536" s="42"/>
      <c r="Z536" s="42"/>
    </row>
    <row r="537" ht="15.75" customHeight="1">
      <c r="A537" s="42"/>
      <c r="B537" s="42"/>
      <c r="C537" s="42"/>
      <c r="D537" s="42"/>
      <c r="E537" s="42"/>
      <c r="F537" s="42"/>
      <c r="G537" s="42"/>
      <c r="H537" s="63"/>
      <c r="I537" s="42"/>
      <c r="J537" s="42"/>
      <c r="K537" s="42"/>
      <c r="L537" s="42"/>
      <c r="M537" s="42"/>
      <c r="N537" s="42"/>
      <c r="O537" s="42"/>
      <c r="P537" s="42"/>
      <c r="Q537" s="42"/>
      <c r="R537" s="42"/>
      <c r="S537" s="42"/>
      <c r="T537" s="42"/>
      <c r="U537" s="42"/>
      <c r="V537" s="42"/>
      <c r="W537" s="42"/>
      <c r="X537" s="42"/>
      <c r="Y537" s="42"/>
      <c r="Z537" s="42"/>
    </row>
    <row r="538" ht="15.75" customHeight="1">
      <c r="A538" s="42"/>
      <c r="B538" s="42"/>
      <c r="C538" s="42"/>
      <c r="D538" s="42"/>
      <c r="E538" s="42"/>
      <c r="F538" s="42"/>
      <c r="G538" s="42"/>
      <c r="H538" s="63"/>
      <c r="I538" s="42"/>
      <c r="J538" s="42"/>
      <c r="K538" s="42"/>
      <c r="L538" s="42"/>
      <c r="M538" s="42"/>
      <c r="N538" s="42"/>
      <c r="O538" s="42"/>
      <c r="P538" s="42"/>
      <c r="Q538" s="42"/>
      <c r="R538" s="42"/>
      <c r="S538" s="42"/>
      <c r="T538" s="42"/>
      <c r="U538" s="42"/>
      <c r="V538" s="42"/>
      <c r="W538" s="42"/>
      <c r="X538" s="42"/>
      <c r="Y538" s="42"/>
      <c r="Z538" s="42"/>
    </row>
    <row r="539" ht="15.75" customHeight="1">
      <c r="A539" s="42"/>
      <c r="B539" s="42"/>
      <c r="C539" s="42"/>
      <c r="D539" s="42"/>
      <c r="E539" s="42"/>
      <c r="F539" s="42"/>
      <c r="G539" s="42"/>
      <c r="H539" s="63"/>
      <c r="I539" s="42"/>
      <c r="J539" s="42"/>
      <c r="K539" s="42"/>
      <c r="L539" s="42"/>
      <c r="M539" s="42"/>
      <c r="N539" s="42"/>
      <c r="O539" s="42"/>
      <c r="P539" s="42"/>
      <c r="Q539" s="42"/>
      <c r="R539" s="42"/>
      <c r="S539" s="42"/>
      <c r="T539" s="42"/>
      <c r="U539" s="42"/>
      <c r="V539" s="42"/>
      <c r="W539" s="42"/>
      <c r="X539" s="42"/>
      <c r="Y539" s="42"/>
      <c r="Z539" s="42"/>
    </row>
    <row r="540" ht="15.75" customHeight="1">
      <c r="A540" s="42"/>
      <c r="B540" s="42"/>
      <c r="C540" s="42"/>
      <c r="D540" s="42"/>
      <c r="E540" s="42"/>
      <c r="F540" s="42"/>
      <c r="G540" s="42"/>
      <c r="H540" s="63"/>
      <c r="I540" s="42"/>
      <c r="J540" s="42"/>
      <c r="K540" s="42"/>
      <c r="L540" s="42"/>
      <c r="M540" s="42"/>
      <c r="N540" s="42"/>
      <c r="O540" s="42"/>
      <c r="P540" s="42"/>
      <c r="Q540" s="42"/>
      <c r="R540" s="42"/>
      <c r="S540" s="42"/>
      <c r="T540" s="42"/>
      <c r="U540" s="42"/>
      <c r="V540" s="42"/>
      <c r="W540" s="42"/>
      <c r="X540" s="42"/>
      <c r="Y540" s="42"/>
      <c r="Z540" s="42"/>
    </row>
    <row r="541" ht="15.75" customHeight="1">
      <c r="A541" s="42"/>
      <c r="B541" s="42"/>
      <c r="C541" s="42"/>
      <c r="D541" s="42"/>
      <c r="E541" s="42"/>
      <c r="F541" s="42"/>
      <c r="G541" s="42"/>
      <c r="H541" s="63"/>
      <c r="I541" s="42"/>
      <c r="J541" s="42"/>
      <c r="K541" s="42"/>
      <c r="L541" s="42"/>
      <c r="M541" s="42"/>
      <c r="N541" s="42"/>
      <c r="O541" s="42"/>
      <c r="P541" s="42"/>
      <c r="Q541" s="42"/>
      <c r="R541" s="42"/>
      <c r="S541" s="42"/>
      <c r="T541" s="42"/>
      <c r="U541" s="42"/>
      <c r="V541" s="42"/>
      <c r="W541" s="42"/>
      <c r="X541" s="42"/>
      <c r="Y541" s="42"/>
      <c r="Z541" s="42"/>
    </row>
    <row r="542" ht="15.75" customHeight="1">
      <c r="A542" s="42"/>
      <c r="B542" s="42"/>
      <c r="C542" s="42"/>
      <c r="D542" s="42"/>
      <c r="E542" s="42"/>
      <c r="F542" s="42"/>
      <c r="G542" s="42"/>
      <c r="H542" s="63"/>
      <c r="I542" s="42"/>
      <c r="J542" s="42"/>
      <c r="K542" s="42"/>
      <c r="L542" s="42"/>
      <c r="M542" s="42"/>
      <c r="N542" s="42"/>
      <c r="O542" s="42"/>
      <c r="P542" s="42"/>
      <c r="Q542" s="42"/>
      <c r="R542" s="42"/>
      <c r="S542" s="42"/>
      <c r="T542" s="42"/>
      <c r="U542" s="42"/>
      <c r="V542" s="42"/>
      <c r="W542" s="42"/>
      <c r="X542" s="42"/>
      <c r="Y542" s="42"/>
      <c r="Z542" s="42"/>
    </row>
    <row r="543" ht="15.75" customHeight="1">
      <c r="A543" s="42"/>
      <c r="B543" s="42"/>
      <c r="C543" s="42"/>
      <c r="D543" s="42"/>
      <c r="E543" s="42"/>
      <c r="F543" s="42"/>
      <c r="G543" s="42"/>
      <c r="H543" s="63"/>
      <c r="I543" s="42"/>
      <c r="J543" s="42"/>
      <c r="K543" s="42"/>
      <c r="L543" s="42"/>
      <c r="M543" s="42"/>
      <c r="N543" s="42"/>
      <c r="O543" s="42"/>
      <c r="P543" s="42"/>
      <c r="Q543" s="42"/>
      <c r="R543" s="42"/>
      <c r="S543" s="42"/>
      <c r="T543" s="42"/>
      <c r="U543" s="42"/>
      <c r="V543" s="42"/>
      <c r="W543" s="42"/>
      <c r="X543" s="42"/>
      <c r="Y543" s="42"/>
      <c r="Z543" s="42"/>
    </row>
    <row r="544" ht="15.75" customHeight="1">
      <c r="A544" s="42"/>
      <c r="B544" s="42"/>
      <c r="C544" s="42"/>
      <c r="D544" s="42"/>
      <c r="E544" s="42"/>
      <c r="F544" s="42"/>
      <c r="G544" s="42"/>
      <c r="H544" s="63"/>
      <c r="I544" s="42"/>
      <c r="J544" s="42"/>
      <c r="K544" s="42"/>
      <c r="L544" s="42"/>
      <c r="M544" s="42"/>
      <c r="N544" s="42"/>
      <c r="O544" s="42"/>
      <c r="P544" s="42"/>
      <c r="Q544" s="42"/>
      <c r="R544" s="42"/>
      <c r="S544" s="42"/>
      <c r="T544" s="42"/>
      <c r="U544" s="42"/>
      <c r="V544" s="42"/>
      <c r="W544" s="42"/>
      <c r="X544" s="42"/>
      <c r="Y544" s="42"/>
      <c r="Z544" s="42"/>
    </row>
    <row r="545" ht="15.75" customHeight="1">
      <c r="A545" s="42"/>
      <c r="B545" s="42"/>
      <c r="C545" s="42"/>
      <c r="D545" s="42"/>
      <c r="E545" s="42"/>
      <c r="F545" s="42"/>
      <c r="G545" s="42"/>
      <c r="H545" s="63"/>
      <c r="I545" s="42"/>
      <c r="J545" s="42"/>
      <c r="K545" s="42"/>
      <c r="L545" s="42"/>
      <c r="M545" s="42"/>
      <c r="N545" s="42"/>
      <c r="O545" s="42"/>
      <c r="P545" s="42"/>
      <c r="Q545" s="42"/>
      <c r="R545" s="42"/>
      <c r="S545" s="42"/>
      <c r="T545" s="42"/>
      <c r="U545" s="42"/>
      <c r="V545" s="42"/>
      <c r="W545" s="42"/>
      <c r="X545" s="42"/>
      <c r="Y545" s="42"/>
      <c r="Z545" s="42"/>
    </row>
    <row r="546" ht="15.75" customHeight="1">
      <c r="A546" s="42"/>
      <c r="B546" s="42"/>
      <c r="C546" s="42"/>
      <c r="D546" s="42"/>
      <c r="E546" s="42"/>
      <c r="F546" s="42"/>
      <c r="G546" s="42"/>
      <c r="H546" s="63"/>
      <c r="I546" s="42"/>
      <c r="J546" s="42"/>
      <c r="K546" s="42"/>
      <c r="L546" s="42"/>
      <c r="M546" s="42"/>
      <c r="N546" s="42"/>
      <c r="O546" s="42"/>
      <c r="P546" s="42"/>
      <c r="Q546" s="42"/>
      <c r="R546" s="42"/>
      <c r="S546" s="42"/>
      <c r="T546" s="42"/>
      <c r="U546" s="42"/>
      <c r="V546" s="42"/>
      <c r="W546" s="42"/>
      <c r="X546" s="42"/>
      <c r="Y546" s="42"/>
      <c r="Z546" s="42"/>
    </row>
    <row r="547" ht="15.75" customHeight="1">
      <c r="A547" s="42"/>
      <c r="B547" s="42"/>
      <c r="C547" s="42"/>
      <c r="D547" s="42"/>
      <c r="E547" s="42"/>
      <c r="F547" s="42"/>
      <c r="G547" s="42"/>
      <c r="H547" s="63"/>
      <c r="I547" s="42"/>
      <c r="J547" s="42"/>
      <c r="K547" s="42"/>
      <c r="L547" s="42"/>
      <c r="M547" s="42"/>
      <c r="N547" s="42"/>
      <c r="O547" s="42"/>
      <c r="P547" s="42"/>
      <c r="Q547" s="42"/>
      <c r="R547" s="42"/>
      <c r="S547" s="42"/>
      <c r="T547" s="42"/>
      <c r="U547" s="42"/>
      <c r="V547" s="42"/>
      <c r="W547" s="42"/>
      <c r="X547" s="42"/>
      <c r="Y547" s="42"/>
      <c r="Z547" s="42"/>
    </row>
    <row r="548" ht="15.75" customHeight="1">
      <c r="A548" s="42"/>
      <c r="B548" s="42"/>
      <c r="C548" s="42"/>
      <c r="D548" s="42"/>
      <c r="E548" s="42"/>
      <c r="F548" s="42"/>
      <c r="G548" s="42"/>
      <c r="H548" s="63"/>
      <c r="I548" s="42"/>
      <c r="J548" s="42"/>
      <c r="K548" s="42"/>
      <c r="L548" s="42"/>
      <c r="M548" s="42"/>
      <c r="N548" s="42"/>
      <c r="O548" s="42"/>
      <c r="P548" s="42"/>
      <c r="Q548" s="42"/>
      <c r="R548" s="42"/>
      <c r="S548" s="42"/>
      <c r="T548" s="42"/>
      <c r="U548" s="42"/>
      <c r="V548" s="42"/>
      <c r="W548" s="42"/>
      <c r="X548" s="42"/>
      <c r="Y548" s="42"/>
      <c r="Z548" s="42"/>
    </row>
    <row r="549" ht="15.75" customHeight="1">
      <c r="A549" s="42"/>
      <c r="B549" s="42"/>
      <c r="C549" s="42"/>
      <c r="D549" s="42"/>
      <c r="E549" s="42"/>
      <c r="F549" s="42"/>
      <c r="G549" s="42"/>
      <c r="H549" s="63"/>
      <c r="I549" s="42"/>
      <c r="J549" s="42"/>
      <c r="K549" s="42"/>
      <c r="L549" s="42"/>
      <c r="M549" s="42"/>
      <c r="N549" s="42"/>
      <c r="O549" s="42"/>
      <c r="P549" s="42"/>
      <c r="Q549" s="42"/>
      <c r="R549" s="42"/>
      <c r="S549" s="42"/>
      <c r="T549" s="42"/>
      <c r="U549" s="42"/>
      <c r="V549" s="42"/>
      <c r="W549" s="42"/>
      <c r="X549" s="42"/>
      <c r="Y549" s="42"/>
      <c r="Z549" s="42"/>
    </row>
    <row r="550" ht="15.75" customHeight="1">
      <c r="A550" s="42"/>
      <c r="B550" s="42"/>
      <c r="C550" s="42"/>
      <c r="D550" s="42"/>
      <c r="E550" s="42"/>
      <c r="F550" s="42"/>
      <c r="G550" s="42"/>
      <c r="H550" s="63"/>
      <c r="I550" s="42"/>
      <c r="J550" s="42"/>
      <c r="K550" s="42"/>
      <c r="L550" s="42"/>
      <c r="M550" s="42"/>
      <c r="N550" s="42"/>
      <c r="O550" s="42"/>
      <c r="P550" s="42"/>
      <c r="Q550" s="42"/>
      <c r="R550" s="42"/>
      <c r="S550" s="42"/>
      <c r="T550" s="42"/>
      <c r="U550" s="42"/>
      <c r="V550" s="42"/>
      <c r="W550" s="42"/>
      <c r="X550" s="42"/>
      <c r="Y550" s="42"/>
      <c r="Z550" s="42"/>
    </row>
    <row r="551" ht="15.75" customHeight="1">
      <c r="A551" s="42"/>
      <c r="B551" s="42"/>
      <c r="C551" s="42"/>
      <c r="D551" s="42"/>
      <c r="E551" s="42"/>
      <c r="F551" s="42"/>
      <c r="G551" s="42"/>
      <c r="H551" s="63"/>
      <c r="I551" s="42"/>
      <c r="J551" s="42"/>
      <c r="K551" s="42"/>
      <c r="L551" s="42"/>
      <c r="M551" s="42"/>
      <c r="N551" s="42"/>
      <c r="O551" s="42"/>
      <c r="P551" s="42"/>
      <c r="Q551" s="42"/>
      <c r="R551" s="42"/>
      <c r="S551" s="42"/>
      <c r="T551" s="42"/>
      <c r="U551" s="42"/>
      <c r="V551" s="42"/>
      <c r="W551" s="42"/>
      <c r="X551" s="42"/>
      <c r="Y551" s="42"/>
      <c r="Z551" s="42"/>
    </row>
    <row r="552" ht="15.75" customHeight="1">
      <c r="A552" s="42"/>
      <c r="B552" s="42"/>
      <c r="C552" s="42"/>
      <c r="D552" s="42"/>
      <c r="E552" s="42"/>
      <c r="F552" s="42"/>
      <c r="G552" s="42"/>
      <c r="H552" s="63"/>
      <c r="I552" s="42"/>
      <c r="J552" s="42"/>
      <c r="K552" s="42"/>
      <c r="L552" s="42"/>
      <c r="M552" s="42"/>
      <c r="N552" s="42"/>
      <c r="O552" s="42"/>
      <c r="P552" s="42"/>
      <c r="Q552" s="42"/>
      <c r="R552" s="42"/>
      <c r="S552" s="42"/>
      <c r="T552" s="42"/>
      <c r="U552" s="42"/>
      <c r="V552" s="42"/>
      <c r="W552" s="42"/>
      <c r="X552" s="42"/>
      <c r="Y552" s="42"/>
      <c r="Z552" s="42"/>
    </row>
    <row r="553" ht="15.75" customHeight="1">
      <c r="A553" s="42"/>
      <c r="B553" s="42"/>
      <c r="C553" s="42"/>
      <c r="D553" s="42"/>
      <c r="E553" s="42"/>
      <c r="F553" s="42"/>
      <c r="G553" s="42"/>
      <c r="H553" s="63"/>
      <c r="I553" s="42"/>
      <c r="J553" s="42"/>
      <c r="K553" s="42"/>
      <c r="L553" s="42"/>
      <c r="M553" s="42"/>
      <c r="N553" s="42"/>
      <c r="O553" s="42"/>
      <c r="P553" s="42"/>
      <c r="Q553" s="42"/>
      <c r="R553" s="42"/>
      <c r="S553" s="42"/>
      <c r="T553" s="42"/>
      <c r="U553" s="42"/>
      <c r="V553" s="42"/>
      <c r="W553" s="42"/>
      <c r="X553" s="42"/>
      <c r="Y553" s="42"/>
      <c r="Z553" s="42"/>
    </row>
    <row r="554" ht="15.75" customHeight="1">
      <c r="A554" s="42"/>
      <c r="B554" s="42"/>
      <c r="C554" s="42"/>
      <c r="D554" s="42"/>
      <c r="E554" s="42"/>
      <c r="F554" s="42"/>
      <c r="G554" s="42"/>
      <c r="H554" s="63"/>
      <c r="I554" s="42"/>
      <c r="J554" s="42"/>
      <c r="K554" s="42"/>
      <c r="L554" s="42"/>
      <c r="M554" s="42"/>
      <c r="N554" s="42"/>
      <c r="O554" s="42"/>
      <c r="P554" s="42"/>
      <c r="Q554" s="42"/>
      <c r="R554" s="42"/>
      <c r="S554" s="42"/>
      <c r="T554" s="42"/>
      <c r="U554" s="42"/>
      <c r="V554" s="42"/>
      <c r="W554" s="42"/>
      <c r="X554" s="42"/>
      <c r="Y554" s="42"/>
      <c r="Z554" s="42"/>
    </row>
    <row r="555" ht="15.75" customHeight="1">
      <c r="A555" s="42"/>
      <c r="B555" s="42"/>
      <c r="C555" s="42"/>
      <c r="D555" s="42"/>
      <c r="E555" s="42"/>
      <c r="F555" s="42"/>
      <c r="G555" s="42"/>
      <c r="H555" s="63"/>
      <c r="I555" s="42"/>
      <c r="J555" s="42"/>
      <c r="K555" s="42"/>
      <c r="L555" s="42"/>
      <c r="M555" s="42"/>
      <c r="N555" s="42"/>
      <c r="O555" s="42"/>
      <c r="P555" s="42"/>
      <c r="Q555" s="42"/>
      <c r="R555" s="42"/>
      <c r="S555" s="42"/>
      <c r="T555" s="42"/>
      <c r="U555" s="42"/>
      <c r="V555" s="42"/>
      <c r="W555" s="42"/>
      <c r="X555" s="42"/>
      <c r="Y555" s="42"/>
      <c r="Z555" s="42"/>
    </row>
    <row r="556" ht="15.75" customHeight="1">
      <c r="A556" s="42"/>
      <c r="B556" s="42"/>
      <c r="C556" s="42"/>
      <c r="D556" s="42"/>
      <c r="E556" s="42"/>
      <c r="F556" s="42"/>
      <c r="G556" s="42"/>
      <c r="H556" s="63"/>
      <c r="I556" s="42"/>
      <c r="J556" s="42"/>
      <c r="K556" s="42"/>
      <c r="L556" s="42"/>
      <c r="M556" s="42"/>
      <c r="N556" s="42"/>
      <c r="O556" s="42"/>
      <c r="P556" s="42"/>
      <c r="Q556" s="42"/>
      <c r="R556" s="42"/>
      <c r="S556" s="42"/>
      <c r="T556" s="42"/>
      <c r="U556" s="42"/>
      <c r="V556" s="42"/>
      <c r="W556" s="42"/>
      <c r="X556" s="42"/>
      <c r="Y556" s="42"/>
      <c r="Z556" s="42"/>
    </row>
    <row r="557" ht="15.75" customHeight="1">
      <c r="A557" s="42"/>
      <c r="B557" s="42"/>
      <c r="C557" s="42"/>
      <c r="D557" s="42"/>
      <c r="E557" s="42"/>
      <c r="F557" s="42"/>
      <c r="G557" s="42"/>
      <c r="H557" s="63"/>
      <c r="I557" s="42"/>
      <c r="J557" s="42"/>
      <c r="K557" s="42"/>
      <c r="L557" s="42"/>
      <c r="M557" s="42"/>
      <c r="N557" s="42"/>
      <c r="O557" s="42"/>
      <c r="P557" s="42"/>
      <c r="Q557" s="42"/>
      <c r="R557" s="42"/>
      <c r="S557" s="42"/>
      <c r="T557" s="42"/>
      <c r="U557" s="42"/>
      <c r="V557" s="42"/>
      <c r="W557" s="42"/>
      <c r="X557" s="42"/>
      <c r="Y557" s="42"/>
      <c r="Z557" s="42"/>
    </row>
    <row r="558" ht="15.75" customHeight="1">
      <c r="A558" s="42"/>
      <c r="B558" s="42"/>
      <c r="C558" s="42"/>
      <c r="D558" s="42"/>
      <c r="E558" s="42"/>
      <c r="F558" s="42"/>
      <c r="G558" s="42"/>
      <c r="H558" s="63"/>
      <c r="I558" s="42"/>
      <c r="J558" s="42"/>
      <c r="K558" s="42"/>
      <c r="L558" s="42"/>
      <c r="M558" s="42"/>
      <c r="N558" s="42"/>
      <c r="O558" s="42"/>
      <c r="P558" s="42"/>
      <c r="Q558" s="42"/>
      <c r="R558" s="42"/>
      <c r="S558" s="42"/>
      <c r="T558" s="42"/>
      <c r="U558" s="42"/>
      <c r="V558" s="42"/>
      <c r="W558" s="42"/>
      <c r="X558" s="42"/>
      <c r="Y558" s="42"/>
      <c r="Z558" s="42"/>
    </row>
    <row r="559" ht="15.75" customHeight="1">
      <c r="A559" s="42"/>
      <c r="B559" s="42"/>
      <c r="C559" s="42"/>
      <c r="D559" s="42"/>
      <c r="E559" s="42"/>
      <c r="F559" s="42"/>
      <c r="G559" s="42"/>
      <c r="H559" s="63"/>
      <c r="I559" s="42"/>
      <c r="J559" s="42"/>
      <c r="K559" s="42"/>
      <c r="L559" s="42"/>
      <c r="M559" s="42"/>
      <c r="N559" s="42"/>
      <c r="O559" s="42"/>
      <c r="P559" s="42"/>
      <c r="Q559" s="42"/>
      <c r="R559" s="42"/>
      <c r="S559" s="42"/>
      <c r="T559" s="42"/>
      <c r="U559" s="42"/>
      <c r="V559" s="42"/>
      <c r="W559" s="42"/>
      <c r="X559" s="42"/>
      <c r="Y559" s="42"/>
      <c r="Z559" s="42"/>
    </row>
    <row r="560" ht="15.75" customHeight="1">
      <c r="A560" s="42"/>
      <c r="B560" s="42"/>
      <c r="C560" s="42"/>
      <c r="D560" s="42"/>
      <c r="E560" s="42"/>
      <c r="F560" s="42"/>
      <c r="G560" s="42"/>
      <c r="H560" s="63"/>
      <c r="I560" s="42"/>
      <c r="J560" s="42"/>
      <c r="K560" s="42"/>
      <c r="L560" s="42"/>
      <c r="M560" s="42"/>
      <c r="N560" s="42"/>
      <c r="O560" s="42"/>
      <c r="P560" s="42"/>
      <c r="Q560" s="42"/>
      <c r="R560" s="42"/>
      <c r="S560" s="42"/>
      <c r="T560" s="42"/>
      <c r="U560" s="42"/>
      <c r="V560" s="42"/>
      <c r="W560" s="42"/>
      <c r="X560" s="42"/>
      <c r="Y560" s="42"/>
      <c r="Z560" s="42"/>
    </row>
    <row r="561" ht="15.75" customHeight="1">
      <c r="A561" s="42"/>
      <c r="B561" s="42"/>
      <c r="C561" s="42"/>
      <c r="D561" s="42"/>
      <c r="E561" s="42"/>
      <c r="F561" s="42"/>
      <c r="G561" s="42"/>
      <c r="H561" s="63"/>
      <c r="I561" s="42"/>
      <c r="J561" s="42"/>
      <c r="K561" s="42"/>
      <c r="L561" s="42"/>
      <c r="M561" s="42"/>
      <c r="N561" s="42"/>
      <c r="O561" s="42"/>
      <c r="P561" s="42"/>
      <c r="Q561" s="42"/>
      <c r="R561" s="42"/>
      <c r="S561" s="42"/>
      <c r="T561" s="42"/>
      <c r="U561" s="42"/>
      <c r="V561" s="42"/>
      <c r="W561" s="42"/>
      <c r="X561" s="42"/>
      <c r="Y561" s="42"/>
      <c r="Z561" s="42"/>
    </row>
    <row r="562" ht="15.75" customHeight="1">
      <c r="A562" s="42"/>
      <c r="B562" s="42"/>
      <c r="C562" s="42"/>
      <c r="D562" s="42"/>
      <c r="E562" s="42"/>
      <c r="F562" s="42"/>
      <c r="G562" s="42"/>
      <c r="H562" s="63"/>
      <c r="I562" s="42"/>
      <c r="J562" s="42"/>
      <c r="K562" s="42"/>
      <c r="L562" s="42"/>
      <c r="M562" s="42"/>
      <c r="N562" s="42"/>
      <c r="O562" s="42"/>
      <c r="P562" s="42"/>
      <c r="Q562" s="42"/>
      <c r="R562" s="42"/>
      <c r="S562" s="42"/>
      <c r="T562" s="42"/>
      <c r="U562" s="42"/>
      <c r="V562" s="42"/>
      <c r="W562" s="42"/>
      <c r="X562" s="42"/>
      <c r="Y562" s="42"/>
      <c r="Z562" s="42"/>
    </row>
    <row r="563" ht="15.75" customHeight="1">
      <c r="A563" s="42"/>
      <c r="B563" s="42"/>
      <c r="C563" s="42"/>
      <c r="D563" s="42"/>
      <c r="E563" s="42"/>
      <c r="F563" s="42"/>
      <c r="G563" s="42"/>
      <c r="H563" s="63"/>
      <c r="I563" s="42"/>
      <c r="J563" s="42"/>
      <c r="K563" s="42"/>
      <c r="L563" s="42"/>
      <c r="M563" s="42"/>
      <c r="N563" s="42"/>
      <c r="O563" s="42"/>
      <c r="P563" s="42"/>
      <c r="Q563" s="42"/>
      <c r="R563" s="42"/>
      <c r="S563" s="42"/>
      <c r="T563" s="42"/>
      <c r="U563" s="42"/>
      <c r="V563" s="42"/>
      <c r="W563" s="42"/>
      <c r="X563" s="42"/>
      <c r="Y563" s="42"/>
      <c r="Z563" s="42"/>
    </row>
    <row r="564" ht="15.75" customHeight="1">
      <c r="A564" s="42"/>
      <c r="B564" s="42"/>
      <c r="C564" s="42"/>
      <c r="D564" s="42"/>
      <c r="E564" s="42"/>
      <c r="F564" s="42"/>
      <c r="G564" s="42"/>
      <c r="H564" s="63"/>
      <c r="I564" s="42"/>
      <c r="J564" s="42"/>
      <c r="K564" s="42"/>
      <c r="L564" s="42"/>
      <c r="M564" s="42"/>
      <c r="N564" s="42"/>
      <c r="O564" s="42"/>
      <c r="P564" s="42"/>
      <c r="Q564" s="42"/>
      <c r="R564" s="42"/>
      <c r="S564" s="42"/>
      <c r="T564" s="42"/>
      <c r="U564" s="42"/>
      <c r="V564" s="42"/>
      <c r="W564" s="42"/>
      <c r="X564" s="42"/>
      <c r="Y564" s="42"/>
      <c r="Z564" s="42"/>
    </row>
    <row r="565" ht="15.75" customHeight="1">
      <c r="A565" s="42"/>
      <c r="B565" s="42"/>
      <c r="C565" s="42"/>
      <c r="D565" s="42"/>
      <c r="E565" s="42"/>
      <c r="F565" s="42"/>
      <c r="G565" s="42"/>
      <c r="H565" s="63"/>
      <c r="I565" s="42"/>
      <c r="J565" s="42"/>
      <c r="K565" s="42"/>
      <c r="L565" s="42"/>
      <c r="M565" s="42"/>
      <c r="N565" s="42"/>
      <c r="O565" s="42"/>
      <c r="P565" s="42"/>
      <c r="Q565" s="42"/>
      <c r="R565" s="42"/>
      <c r="S565" s="42"/>
      <c r="T565" s="42"/>
      <c r="U565" s="42"/>
      <c r="V565" s="42"/>
      <c r="W565" s="42"/>
      <c r="X565" s="42"/>
      <c r="Y565" s="42"/>
      <c r="Z565" s="42"/>
    </row>
    <row r="566" ht="15.75" customHeight="1">
      <c r="A566" s="42"/>
      <c r="B566" s="42"/>
      <c r="C566" s="42"/>
      <c r="D566" s="42"/>
      <c r="E566" s="42"/>
      <c r="F566" s="42"/>
      <c r="G566" s="42"/>
      <c r="H566" s="63"/>
      <c r="I566" s="42"/>
      <c r="J566" s="42"/>
      <c r="K566" s="42"/>
      <c r="L566" s="42"/>
      <c r="M566" s="42"/>
      <c r="N566" s="42"/>
      <c r="O566" s="42"/>
      <c r="P566" s="42"/>
      <c r="Q566" s="42"/>
      <c r="R566" s="42"/>
      <c r="S566" s="42"/>
      <c r="T566" s="42"/>
      <c r="U566" s="42"/>
      <c r="V566" s="42"/>
      <c r="W566" s="42"/>
      <c r="X566" s="42"/>
      <c r="Y566" s="42"/>
      <c r="Z566" s="42"/>
    </row>
    <row r="567" ht="15.75" customHeight="1">
      <c r="A567" s="42"/>
      <c r="B567" s="42"/>
      <c r="C567" s="42"/>
      <c r="D567" s="42"/>
      <c r="E567" s="42"/>
      <c r="F567" s="42"/>
      <c r="G567" s="42"/>
      <c r="H567" s="63"/>
      <c r="I567" s="42"/>
      <c r="J567" s="42"/>
      <c r="K567" s="42"/>
      <c r="L567" s="42"/>
      <c r="M567" s="42"/>
      <c r="N567" s="42"/>
      <c r="O567" s="42"/>
      <c r="P567" s="42"/>
      <c r="Q567" s="42"/>
      <c r="R567" s="42"/>
      <c r="S567" s="42"/>
      <c r="T567" s="42"/>
      <c r="U567" s="42"/>
      <c r="V567" s="42"/>
      <c r="W567" s="42"/>
      <c r="X567" s="42"/>
      <c r="Y567" s="42"/>
      <c r="Z567" s="42"/>
    </row>
    <row r="568" ht="15.75" customHeight="1">
      <c r="A568" s="42"/>
      <c r="B568" s="42"/>
      <c r="C568" s="42"/>
      <c r="D568" s="42"/>
      <c r="E568" s="42"/>
      <c r="F568" s="42"/>
      <c r="G568" s="42"/>
      <c r="H568" s="63"/>
      <c r="I568" s="42"/>
      <c r="J568" s="42"/>
      <c r="K568" s="42"/>
      <c r="L568" s="42"/>
      <c r="M568" s="42"/>
      <c r="N568" s="42"/>
      <c r="O568" s="42"/>
      <c r="P568" s="42"/>
      <c r="Q568" s="42"/>
      <c r="R568" s="42"/>
      <c r="S568" s="42"/>
      <c r="T568" s="42"/>
      <c r="U568" s="42"/>
      <c r="V568" s="42"/>
      <c r="W568" s="42"/>
      <c r="X568" s="42"/>
      <c r="Y568" s="42"/>
      <c r="Z568" s="42"/>
    </row>
    <row r="569" ht="15.75" customHeight="1">
      <c r="A569" s="42"/>
      <c r="B569" s="42"/>
      <c r="C569" s="42"/>
      <c r="D569" s="42"/>
      <c r="E569" s="42"/>
      <c r="F569" s="42"/>
      <c r="G569" s="42"/>
      <c r="H569" s="63"/>
      <c r="I569" s="42"/>
      <c r="J569" s="42"/>
      <c r="K569" s="42"/>
      <c r="L569" s="42"/>
      <c r="M569" s="42"/>
      <c r="N569" s="42"/>
      <c r="O569" s="42"/>
      <c r="P569" s="42"/>
      <c r="Q569" s="42"/>
      <c r="R569" s="42"/>
      <c r="S569" s="42"/>
      <c r="T569" s="42"/>
      <c r="U569" s="42"/>
      <c r="V569" s="42"/>
      <c r="W569" s="42"/>
      <c r="X569" s="42"/>
      <c r="Y569" s="42"/>
      <c r="Z569" s="42"/>
    </row>
    <row r="570" ht="15.75" customHeight="1">
      <c r="A570" s="42"/>
      <c r="B570" s="42"/>
      <c r="C570" s="42"/>
      <c r="D570" s="42"/>
      <c r="E570" s="42"/>
      <c r="F570" s="42"/>
      <c r="G570" s="42"/>
      <c r="H570" s="63"/>
      <c r="I570" s="42"/>
      <c r="J570" s="42"/>
      <c r="K570" s="42"/>
      <c r="L570" s="42"/>
      <c r="M570" s="42"/>
      <c r="N570" s="42"/>
      <c r="O570" s="42"/>
      <c r="P570" s="42"/>
      <c r="Q570" s="42"/>
      <c r="R570" s="42"/>
      <c r="S570" s="42"/>
      <c r="T570" s="42"/>
      <c r="U570" s="42"/>
      <c r="V570" s="42"/>
      <c r="W570" s="42"/>
      <c r="X570" s="42"/>
      <c r="Y570" s="42"/>
      <c r="Z570" s="42"/>
    </row>
    <row r="571" ht="15.75" customHeight="1">
      <c r="A571" s="42"/>
      <c r="B571" s="42"/>
      <c r="C571" s="42"/>
      <c r="D571" s="42"/>
      <c r="E571" s="42"/>
      <c r="F571" s="42"/>
      <c r="G571" s="42"/>
      <c r="H571" s="63"/>
      <c r="I571" s="42"/>
      <c r="J571" s="42"/>
      <c r="K571" s="42"/>
      <c r="L571" s="42"/>
      <c r="M571" s="42"/>
      <c r="N571" s="42"/>
      <c r="O571" s="42"/>
      <c r="P571" s="42"/>
      <c r="Q571" s="42"/>
      <c r="R571" s="42"/>
      <c r="S571" s="42"/>
      <c r="T571" s="42"/>
      <c r="U571" s="42"/>
      <c r="V571" s="42"/>
      <c r="W571" s="42"/>
      <c r="X571" s="42"/>
      <c r="Y571" s="42"/>
      <c r="Z571" s="42"/>
    </row>
    <row r="572" ht="15.75" customHeight="1">
      <c r="A572" s="42"/>
      <c r="B572" s="42"/>
      <c r="C572" s="42"/>
      <c r="D572" s="42"/>
      <c r="E572" s="42"/>
      <c r="F572" s="42"/>
      <c r="G572" s="42"/>
      <c r="H572" s="63"/>
      <c r="I572" s="42"/>
      <c r="J572" s="42"/>
      <c r="K572" s="42"/>
      <c r="L572" s="42"/>
      <c r="M572" s="42"/>
      <c r="N572" s="42"/>
      <c r="O572" s="42"/>
      <c r="P572" s="42"/>
      <c r="Q572" s="42"/>
      <c r="R572" s="42"/>
      <c r="S572" s="42"/>
      <c r="T572" s="42"/>
      <c r="U572" s="42"/>
      <c r="V572" s="42"/>
      <c r="W572" s="42"/>
      <c r="X572" s="42"/>
      <c r="Y572" s="42"/>
      <c r="Z572" s="42"/>
    </row>
    <row r="573" ht="15.75" customHeight="1">
      <c r="A573" s="42"/>
      <c r="B573" s="42"/>
      <c r="C573" s="42"/>
      <c r="D573" s="42"/>
      <c r="E573" s="42"/>
      <c r="F573" s="42"/>
      <c r="G573" s="42"/>
      <c r="H573" s="63"/>
      <c r="I573" s="42"/>
      <c r="J573" s="42"/>
      <c r="K573" s="42"/>
      <c r="L573" s="42"/>
      <c r="M573" s="42"/>
      <c r="N573" s="42"/>
      <c r="O573" s="42"/>
      <c r="P573" s="42"/>
      <c r="Q573" s="42"/>
      <c r="R573" s="42"/>
      <c r="S573" s="42"/>
      <c r="T573" s="42"/>
      <c r="U573" s="42"/>
      <c r="V573" s="42"/>
      <c r="W573" s="42"/>
      <c r="X573" s="42"/>
      <c r="Y573" s="42"/>
      <c r="Z573" s="42"/>
    </row>
    <row r="574" ht="15.75" customHeight="1">
      <c r="A574" s="42"/>
      <c r="B574" s="42"/>
      <c r="C574" s="42"/>
      <c r="D574" s="42"/>
      <c r="E574" s="42"/>
      <c r="F574" s="42"/>
      <c r="G574" s="42"/>
      <c r="H574" s="63"/>
      <c r="I574" s="42"/>
      <c r="J574" s="42"/>
      <c r="K574" s="42"/>
      <c r="L574" s="42"/>
      <c r="M574" s="42"/>
      <c r="N574" s="42"/>
      <c r="O574" s="42"/>
      <c r="P574" s="42"/>
      <c r="Q574" s="42"/>
      <c r="R574" s="42"/>
      <c r="S574" s="42"/>
      <c r="T574" s="42"/>
      <c r="U574" s="42"/>
      <c r="V574" s="42"/>
      <c r="W574" s="42"/>
      <c r="X574" s="42"/>
      <c r="Y574" s="42"/>
      <c r="Z574" s="42"/>
    </row>
    <row r="575" ht="15.75" customHeight="1">
      <c r="A575" s="42"/>
      <c r="B575" s="42"/>
      <c r="C575" s="42"/>
      <c r="D575" s="42"/>
      <c r="E575" s="42"/>
      <c r="F575" s="42"/>
      <c r="G575" s="42"/>
      <c r="H575" s="63"/>
      <c r="I575" s="42"/>
      <c r="J575" s="42"/>
      <c r="K575" s="42"/>
      <c r="L575" s="42"/>
      <c r="M575" s="42"/>
      <c r="N575" s="42"/>
      <c r="O575" s="42"/>
      <c r="P575" s="42"/>
      <c r="Q575" s="42"/>
      <c r="R575" s="42"/>
      <c r="S575" s="42"/>
      <c r="T575" s="42"/>
      <c r="U575" s="42"/>
      <c r="V575" s="42"/>
      <c r="W575" s="42"/>
      <c r="X575" s="42"/>
      <c r="Y575" s="42"/>
      <c r="Z575" s="42"/>
    </row>
    <row r="576" ht="15.75" customHeight="1">
      <c r="A576" s="42"/>
      <c r="B576" s="42"/>
      <c r="C576" s="42"/>
      <c r="D576" s="42"/>
      <c r="E576" s="42"/>
      <c r="F576" s="42"/>
      <c r="G576" s="42"/>
      <c r="H576" s="63"/>
      <c r="I576" s="42"/>
      <c r="J576" s="42"/>
      <c r="K576" s="42"/>
      <c r="L576" s="42"/>
      <c r="M576" s="42"/>
      <c r="N576" s="42"/>
      <c r="O576" s="42"/>
      <c r="P576" s="42"/>
      <c r="Q576" s="42"/>
      <c r="R576" s="42"/>
      <c r="S576" s="42"/>
      <c r="T576" s="42"/>
      <c r="U576" s="42"/>
      <c r="V576" s="42"/>
      <c r="W576" s="42"/>
      <c r="X576" s="42"/>
      <c r="Y576" s="42"/>
      <c r="Z576" s="42"/>
    </row>
    <row r="577" ht="15.75" customHeight="1">
      <c r="A577" s="42"/>
      <c r="B577" s="42"/>
      <c r="C577" s="42"/>
      <c r="D577" s="42"/>
      <c r="E577" s="42"/>
      <c r="F577" s="42"/>
      <c r="G577" s="42"/>
      <c r="H577" s="63"/>
      <c r="I577" s="42"/>
      <c r="J577" s="42"/>
      <c r="K577" s="42"/>
      <c r="L577" s="42"/>
      <c r="M577" s="42"/>
      <c r="N577" s="42"/>
      <c r="O577" s="42"/>
      <c r="P577" s="42"/>
      <c r="Q577" s="42"/>
      <c r="R577" s="42"/>
      <c r="S577" s="42"/>
      <c r="T577" s="42"/>
      <c r="U577" s="42"/>
      <c r="V577" s="42"/>
      <c r="W577" s="42"/>
      <c r="X577" s="42"/>
      <c r="Y577" s="42"/>
      <c r="Z577" s="42"/>
    </row>
    <row r="578" ht="15.75" customHeight="1">
      <c r="A578" s="42"/>
      <c r="B578" s="42"/>
      <c r="C578" s="42"/>
      <c r="D578" s="42"/>
      <c r="E578" s="42"/>
      <c r="F578" s="42"/>
      <c r="G578" s="42"/>
      <c r="H578" s="63"/>
      <c r="I578" s="42"/>
      <c r="J578" s="42"/>
      <c r="K578" s="42"/>
      <c r="L578" s="42"/>
      <c r="M578" s="42"/>
      <c r="N578" s="42"/>
      <c r="O578" s="42"/>
      <c r="P578" s="42"/>
      <c r="Q578" s="42"/>
      <c r="R578" s="42"/>
      <c r="S578" s="42"/>
      <c r="T578" s="42"/>
      <c r="U578" s="42"/>
      <c r="V578" s="42"/>
      <c r="W578" s="42"/>
      <c r="X578" s="42"/>
      <c r="Y578" s="42"/>
      <c r="Z578" s="42"/>
    </row>
    <row r="579" ht="15.75" customHeight="1">
      <c r="A579" s="42"/>
      <c r="B579" s="42"/>
      <c r="C579" s="42"/>
      <c r="D579" s="42"/>
      <c r="E579" s="42"/>
      <c r="F579" s="42"/>
      <c r="G579" s="42"/>
      <c r="H579" s="63"/>
      <c r="I579" s="42"/>
      <c r="J579" s="42"/>
      <c r="K579" s="42"/>
      <c r="L579" s="42"/>
      <c r="M579" s="42"/>
      <c r="N579" s="42"/>
      <c r="O579" s="42"/>
      <c r="P579" s="42"/>
      <c r="Q579" s="42"/>
      <c r="R579" s="42"/>
      <c r="S579" s="42"/>
      <c r="T579" s="42"/>
      <c r="U579" s="42"/>
      <c r="V579" s="42"/>
      <c r="W579" s="42"/>
      <c r="X579" s="42"/>
      <c r="Y579" s="42"/>
      <c r="Z579" s="42"/>
    </row>
    <row r="580" ht="15.75" customHeight="1">
      <c r="A580" s="42"/>
      <c r="B580" s="42"/>
      <c r="C580" s="42"/>
      <c r="D580" s="42"/>
      <c r="E580" s="42"/>
      <c r="F580" s="42"/>
      <c r="G580" s="42"/>
      <c r="H580" s="63"/>
      <c r="I580" s="42"/>
      <c r="J580" s="42"/>
      <c r="K580" s="42"/>
      <c r="L580" s="42"/>
      <c r="M580" s="42"/>
      <c r="N580" s="42"/>
      <c r="O580" s="42"/>
      <c r="P580" s="42"/>
      <c r="Q580" s="42"/>
      <c r="R580" s="42"/>
      <c r="S580" s="42"/>
      <c r="T580" s="42"/>
      <c r="U580" s="42"/>
      <c r="V580" s="42"/>
      <c r="W580" s="42"/>
      <c r="X580" s="42"/>
      <c r="Y580" s="42"/>
      <c r="Z580" s="42"/>
    </row>
    <row r="581" ht="15.75" customHeight="1">
      <c r="A581" s="42"/>
      <c r="B581" s="42"/>
      <c r="C581" s="42"/>
      <c r="D581" s="42"/>
      <c r="E581" s="42"/>
      <c r="F581" s="42"/>
      <c r="G581" s="42"/>
      <c r="H581" s="63"/>
      <c r="I581" s="42"/>
      <c r="J581" s="42"/>
      <c r="K581" s="42"/>
      <c r="L581" s="42"/>
      <c r="M581" s="42"/>
      <c r="N581" s="42"/>
      <c r="O581" s="42"/>
      <c r="P581" s="42"/>
      <c r="Q581" s="42"/>
      <c r="R581" s="42"/>
      <c r="S581" s="42"/>
      <c r="T581" s="42"/>
      <c r="U581" s="42"/>
      <c r="V581" s="42"/>
      <c r="W581" s="42"/>
      <c r="X581" s="42"/>
      <c r="Y581" s="42"/>
      <c r="Z581" s="42"/>
    </row>
    <row r="582" ht="15.75" customHeight="1">
      <c r="A582" s="42"/>
      <c r="B582" s="42"/>
      <c r="C582" s="42"/>
      <c r="D582" s="42"/>
      <c r="E582" s="42"/>
      <c r="F582" s="42"/>
      <c r="G582" s="42"/>
      <c r="H582" s="63"/>
      <c r="I582" s="42"/>
      <c r="J582" s="42"/>
      <c r="K582" s="42"/>
      <c r="L582" s="42"/>
      <c r="M582" s="42"/>
      <c r="N582" s="42"/>
      <c r="O582" s="42"/>
      <c r="P582" s="42"/>
      <c r="Q582" s="42"/>
      <c r="R582" s="42"/>
      <c r="S582" s="42"/>
      <c r="T582" s="42"/>
      <c r="U582" s="42"/>
      <c r="V582" s="42"/>
      <c r="W582" s="42"/>
      <c r="X582" s="42"/>
      <c r="Y582" s="42"/>
      <c r="Z582" s="42"/>
    </row>
    <row r="583" ht="15.75" customHeight="1">
      <c r="A583" s="42"/>
      <c r="B583" s="42"/>
      <c r="C583" s="42"/>
      <c r="D583" s="42"/>
      <c r="E583" s="42"/>
      <c r="F583" s="42"/>
      <c r="G583" s="42"/>
      <c r="H583" s="63"/>
      <c r="I583" s="42"/>
      <c r="J583" s="42"/>
      <c r="K583" s="42"/>
      <c r="L583" s="42"/>
      <c r="M583" s="42"/>
      <c r="N583" s="42"/>
      <c r="O583" s="42"/>
      <c r="P583" s="42"/>
      <c r="Q583" s="42"/>
      <c r="R583" s="42"/>
      <c r="S583" s="42"/>
      <c r="T583" s="42"/>
      <c r="U583" s="42"/>
      <c r="V583" s="42"/>
      <c r="W583" s="42"/>
      <c r="X583" s="42"/>
      <c r="Y583" s="42"/>
      <c r="Z583" s="42"/>
    </row>
    <row r="584" ht="15.75" customHeight="1">
      <c r="A584" s="42"/>
      <c r="B584" s="42"/>
      <c r="C584" s="42"/>
      <c r="D584" s="42"/>
      <c r="E584" s="42"/>
      <c r="F584" s="42"/>
      <c r="G584" s="42"/>
      <c r="H584" s="63"/>
      <c r="I584" s="42"/>
      <c r="J584" s="42"/>
      <c r="K584" s="42"/>
      <c r="L584" s="42"/>
      <c r="M584" s="42"/>
      <c r="N584" s="42"/>
      <c r="O584" s="42"/>
      <c r="P584" s="42"/>
      <c r="Q584" s="42"/>
      <c r="R584" s="42"/>
      <c r="S584" s="42"/>
      <c r="T584" s="42"/>
      <c r="U584" s="42"/>
      <c r="V584" s="42"/>
      <c r="W584" s="42"/>
      <c r="X584" s="42"/>
      <c r="Y584" s="42"/>
      <c r="Z584" s="42"/>
    </row>
    <row r="585" ht="15.75" customHeight="1">
      <c r="A585" s="42"/>
      <c r="B585" s="42"/>
      <c r="C585" s="42"/>
      <c r="D585" s="42"/>
      <c r="E585" s="42"/>
      <c r="F585" s="42"/>
      <c r="G585" s="42"/>
      <c r="H585" s="63"/>
      <c r="I585" s="42"/>
      <c r="J585" s="42"/>
      <c r="K585" s="42"/>
      <c r="L585" s="42"/>
      <c r="M585" s="42"/>
      <c r="N585" s="42"/>
      <c r="O585" s="42"/>
      <c r="P585" s="42"/>
      <c r="Q585" s="42"/>
      <c r="R585" s="42"/>
      <c r="S585" s="42"/>
      <c r="T585" s="42"/>
      <c r="U585" s="42"/>
      <c r="V585" s="42"/>
      <c r="W585" s="42"/>
      <c r="X585" s="42"/>
      <c r="Y585" s="42"/>
      <c r="Z585" s="42"/>
    </row>
    <row r="586" ht="15.75" customHeight="1">
      <c r="A586" s="42"/>
      <c r="B586" s="42"/>
      <c r="C586" s="42"/>
      <c r="D586" s="42"/>
      <c r="E586" s="42"/>
      <c r="F586" s="42"/>
      <c r="G586" s="42"/>
      <c r="H586" s="63"/>
      <c r="I586" s="42"/>
      <c r="J586" s="42"/>
      <c r="K586" s="42"/>
      <c r="L586" s="42"/>
      <c r="M586" s="42"/>
      <c r="N586" s="42"/>
      <c r="O586" s="42"/>
      <c r="P586" s="42"/>
      <c r="Q586" s="42"/>
      <c r="R586" s="42"/>
      <c r="S586" s="42"/>
      <c r="T586" s="42"/>
      <c r="U586" s="42"/>
      <c r="V586" s="42"/>
      <c r="W586" s="42"/>
      <c r="X586" s="42"/>
      <c r="Y586" s="42"/>
      <c r="Z586" s="42"/>
    </row>
    <row r="587" ht="15.75" customHeight="1">
      <c r="A587" s="42"/>
      <c r="B587" s="42"/>
      <c r="C587" s="42"/>
      <c r="D587" s="42"/>
      <c r="E587" s="42"/>
      <c r="F587" s="42"/>
      <c r="G587" s="42"/>
      <c r="H587" s="63"/>
      <c r="I587" s="42"/>
      <c r="J587" s="42"/>
      <c r="K587" s="42"/>
      <c r="L587" s="42"/>
      <c r="M587" s="42"/>
      <c r="N587" s="42"/>
      <c r="O587" s="42"/>
      <c r="P587" s="42"/>
      <c r="Q587" s="42"/>
      <c r="R587" s="42"/>
      <c r="S587" s="42"/>
      <c r="T587" s="42"/>
      <c r="U587" s="42"/>
      <c r="V587" s="42"/>
      <c r="W587" s="42"/>
      <c r="X587" s="42"/>
      <c r="Y587" s="42"/>
      <c r="Z587" s="42"/>
    </row>
    <row r="588" ht="15.75" customHeight="1">
      <c r="A588" s="42"/>
      <c r="B588" s="42"/>
      <c r="C588" s="42"/>
      <c r="D588" s="42"/>
      <c r="E588" s="42"/>
      <c r="F588" s="42"/>
      <c r="G588" s="42"/>
      <c r="H588" s="63"/>
      <c r="I588" s="42"/>
      <c r="J588" s="42"/>
      <c r="K588" s="42"/>
      <c r="L588" s="42"/>
      <c r="M588" s="42"/>
      <c r="N588" s="42"/>
      <c r="O588" s="42"/>
      <c r="P588" s="42"/>
      <c r="Q588" s="42"/>
      <c r="R588" s="42"/>
      <c r="S588" s="42"/>
      <c r="T588" s="42"/>
      <c r="U588" s="42"/>
      <c r="V588" s="42"/>
      <c r="W588" s="42"/>
      <c r="X588" s="42"/>
      <c r="Y588" s="42"/>
      <c r="Z588" s="42"/>
    </row>
    <row r="589" ht="15.75" customHeight="1">
      <c r="A589" s="42"/>
      <c r="B589" s="42"/>
      <c r="C589" s="42"/>
      <c r="D589" s="42"/>
      <c r="E589" s="42"/>
      <c r="F589" s="42"/>
      <c r="G589" s="42"/>
      <c r="H589" s="63"/>
      <c r="I589" s="42"/>
      <c r="J589" s="42"/>
      <c r="K589" s="42"/>
      <c r="L589" s="42"/>
      <c r="M589" s="42"/>
      <c r="N589" s="42"/>
      <c r="O589" s="42"/>
      <c r="P589" s="42"/>
      <c r="Q589" s="42"/>
      <c r="R589" s="42"/>
      <c r="S589" s="42"/>
      <c r="T589" s="42"/>
      <c r="U589" s="42"/>
      <c r="V589" s="42"/>
      <c r="W589" s="42"/>
      <c r="X589" s="42"/>
      <c r="Y589" s="42"/>
      <c r="Z589" s="42"/>
    </row>
    <row r="590" ht="15.75" customHeight="1">
      <c r="A590" s="42"/>
      <c r="B590" s="42"/>
      <c r="C590" s="42"/>
      <c r="D590" s="42"/>
      <c r="E590" s="42"/>
      <c r="F590" s="42"/>
      <c r="G590" s="42"/>
      <c r="H590" s="63"/>
      <c r="I590" s="42"/>
      <c r="J590" s="42"/>
      <c r="K590" s="42"/>
      <c r="L590" s="42"/>
      <c r="M590" s="42"/>
      <c r="N590" s="42"/>
      <c r="O590" s="42"/>
      <c r="P590" s="42"/>
      <c r="Q590" s="42"/>
      <c r="R590" s="42"/>
      <c r="S590" s="42"/>
      <c r="T590" s="42"/>
      <c r="U590" s="42"/>
      <c r="V590" s="42"/>
      <c r="W590" s="42"/>
      <c r="X590" s="42"/>
      <c r="Y590" s="42"/>
      <c r="Z590" s="42"/>
    </row>
    <row r="591" ht="15.75" customHeight="1">
      <c r="A591" s="42"/>
      <c r="B591" s="42"/>
      <c r="C591" s="42"/>
      <c r="D591" s="42"/>
      <c r="E591" s="42"/>
      <c r="F591" s="42"/>
      <c r="G591" s="42"/>
      <c r="H591" s="63"/>
      <c r="I591" s="42"/>
      <c r="J591" s="42"/>
      <c r="K591" s="42"/>
      <c r="L591" s="42"/>
      <c r="M591" s="42"/>
      <c r="N591" s="42"/>
      <c r="O591" s="42"/>
      <c r="P591" s="42"/>
      <c r="Q591" s="42"/>
      <c r="R591" s="42"/>
      <c r="S591" s="42"/>
      <c r="T591" s="42"/>
      <c r="U591" s="42"/>
      <c r="V591" s="42"/>
      <c r="W591" s="42"/>
      <c r="X591" s="42"/>
      <c r="Y591" s="42"/>
      <c r="Z591" s="42"/>
    </row>
    <row r="592" ht="15.75" customHeight="1">
      <c r="A592" s="42"/>
      <c r="B592" s="42"/>
      <c r="C592" s="42"/>
      <c r="D592" s="42"/>
      <c r="E592" s="42"/>
      <c r="F592" s="42"/>
      <c r="G592" s="42"/>
      <c r="H592" s="63"/>
      <c r="I592" s="42"/>
      <c r="J592" s="42"/>
      <c r="K592" s="42"/>
      <c r="L592" s="42"/>
      <c r="M592" s="42"/>
      <c r="N592" s="42"/>
      <c r="O592" s="42"/>
      <c r="P592" s="42"/>
      <c r="Q592" s="42"/>
      <c r="R592" s="42"/>
      <c r="S592" s="42"/>
      <c r="T592" s="42"/>
      <c r="U592" s="42"/>
      <c r="V592" s="42"/>
      <c r="W592" s="42"/>
      <c r="X592" s="42"/>
      <c r="Y592" s="42"/>
      <c r="Z592" s="42"/>
    </row>
    <row r="593" ht="15.75" customHeight="1">
      <c r="A593" s="42"/>
      <c r="B593" s="42"/>
      <c r="C593" s="42"/>
      <c r="D593" s="42"/>
      <c r="E593" s="42"/>
      <c r="F593" s="42"/>
      <c r="G593" s="42"/>
      <c r="H593" s="63"/>
      <c r="I593" s="42"/>
      <c r="J593" s="42"/>
      <c r="K593" s="42"/>
      <c r="L593" s="42"/>
      <c r="M593" s="42"/>
      <c r="N593" s="42"/>
      <c r="O593" s="42"/>
      <c r="P593" s="42"/>
      <c r="Q593" s="42"/>
      <c r="R593" s="42"/>
      <c r="S593" s="42"/>
      <c r="T593" s="42"/>
      <c r="U593" s="42"/>
      <c r="V593" s="42"/>
      <c r="W593" s="42"/>
      <c r="X593" s="42"/>
      <c r="Y593" s="42"/>
      <c r="Z593" s="42"/>
    </row>
    <row r="594" ht="15.75" customHeight="1">
      <c r="A594" s="42"/>
      <c r="B594" s="42"/>
      <c r="C594" s="42"/>
      <c r="D594" s="42"/>
      <c r="E594" s="42"/>
      <c r="F594" s="42"/>
      <c r="G594" s="42"/>
      <c r="H594" s="63"/>
      <c r="I594" s="42"/>
      <c r="J594" s="42"/>
      <c r="K594" s="42"/>
      <c r="L594" s="42"/>
      <c r="M594" s="42"/>
      <c r="N594" s="42"/>
      <c r="O594" s="42"/>
      <c r="P594" s="42"/>
      <c r="Q594" s="42"/>
      <c r="R594" s="42"/>
      <c r="S594" s="42"/>
      <c r="T594" s="42"/>
      <c r="U594" s="42"/>
      <c r="V594" s="42"/>
      <c r="W594" s="42"/>
      <c r="X594" s="42"/>
      <c r="Y594" s="42"/>
      <c r="Z594" s="42"/>
    </row>
    <row r="595" ht="15.75" customHeight="1">
      <c r="A595" s="42"/>
      <c r="B595" s="42"/>
      <c r="C595" s="42"/>
      <c r="D595" s="42"/>
      <c r="E595" s="42"/>
      <c r="F595" s="42"/>
      <c r="G595" s="42"/>
      <c r="H595" s="63"/>
      <c r="I595" s="42"/>
      <c r="J595" s="42"/>
      <c r="K595" s="42"/>
      <c r="L595" s="42"/>
      <c r="M595" s="42"/>
      <c r="N595" s="42"/>
      <c r="O595" s="42"/>
      <c r="P595" s="42"/>
      <c r="Q595" s="42"/>
      <c r="R595" s="42"/>
      <c r="S595" s="42"/>
      <c r="T595" s="42"/>
      <c r="U595" s="42"/>
      <c r="V595" s="42"/>
      <c r="W595" s="42"/>
      <c r="X595" s="42"/>
      <c r="Y595" s="42"/>
      <c r="Z595" s="42"/>
    </row>
    <row r="596" ht="15.75" customHeight="1">
      <c r="A596" s="42"/>
      <c r="B596" s="42"/>
      <c r="C596" s="42"/>
      <c r="D596" s="42"/>
      <c r="E596" s="42"/>
      <c r="F596" s="42"/>
      <c r="G596" s="42"/>
      <c r="H596" s="63"/>
      <c r="I596" s="42"/>
      <c r="J596" s="42"/>
      <c r="K596" s="42"/>
      <c r="L596" s="42"/>
      <c r="M596" s="42"/>
      <c r="N596" s="42"/>
      <c r="O596" s="42"/>
      <c r="P596" s="42"/>
      <c r="Q596" s="42"/>
      <c r="R596" s="42"/>
      <c r="S596" s="42"/>
      <c r="T596" s="42"/>
      <c r="U596" s="42"/>
      <c r="V596" s="42"/>
      <c r="W596" s="42"/>
      <c r="X596" s="42"/>
      <c r="Y596" s="42"/>
      <c r="Z596" s="42"/>
    </row>
    <row r="597" ht="15.75" customHeight="1">
      <c r="A597" s="42"/>
      <c r="B597" s="42"/>
      <c r="C597" s="42"/>
      <c r="D597" s="42"/>
      <c r="E597" s="42"/>
      <c r="F597" s="42"/>
      <c r="G597" s="42"/>
      <c r="H597" s="63"/>
      <c r="I597" s="42"/>
      <c r="J597" s="42"/>
      <c r="K597" s="42"/>
      <c r="L597" s="42"/>
      <c r="M597" s="42"/>
      <c r="N597" s="42"/>
      <c r="O597" s="42"/>
      <c r="P597" s="42"/>
      <c r="Q597" s="42"/>
      <c r="R597" s="42"/>
      <c r="S597" s="42"/>
      <c r="T597" s="42"/>
      <c r="U597" s="42"/>
      <c r="V597" s="42"/>
      <c r="W597" s="42"/>
      <c r="X597" s="42"/>
      <c r="Y597" s="42"/>
      <c r="Z597" s="42"/>
    </row>
    <row r="598" ht="15.75" customHeight="1">
      <c r="A598" s="42"/>
      <c r="B598" s="42"/>
      <c r="C598" s="42"/>
      <c r="D598" s="42"/>
      <c r="E598" s="42"/>
      <c r="F598" s="42"/>
      <c r="G598" s="42"/>
      <c r="H598" s="63"/>
      <c r="I598" s="42"/>
      <c r="J598" s="42"/>
      <c r="K598" s="42"/>
      <c r="L598" s="42"/>
      <c r="M598" s="42"/>
      <c r="N598" s="42"/>
      <c r="O598" s="42"/>
      <c r="P598" s="42"/>
      <c r="Q598" s="42"/>
      <c r="R598" s="42"/>
      <c r="S598" s="42"/>
      <c r="T598" s="42"/>
      <c r="U598" s="42"/>
      <c r="V598" s="42"/>
      <c r="W598" s="42"/>
      <c r="X598" s="42"/>
      <c r="Y598" s="42"/>
      <c r="Z598" s="42"/>
    </row>
    <row r="599" ht="15.75" customHeight="1">
      <c r="A599" s="42"/>
      <c r="B599" s="42"/>
      <c r="C599" s="42"/>
      <c r="D599" s="42"/>
      <c r="E599" s="42"/>
      <c r="F599" s="42"/>
      <c r="G599" s="42"/>
      <c r="H599" s="63"/>
      <c r="I599" s="42"/>
      <c r="J599" s="42"/>
      <c r="K599" s="42"/>
      <c r="L599" s="42"/>
      <c r="M599" s="42"/>
      <c r="N599" s="42"/>
      <c r="O599" s="42"/>
      <c r="P599" s="42"/>
      <c r="Q599" s="42"/>
      <c r="R599" s="42"/>
      <c r="S599" s="42"/>
      <c r="T599" s="42"/>
      <c r="U599" s="42"/>
      <c r="V599" s="42"/>
      <c r="W599" s="42"/>
      <c r="X599" s="42"/>
      <c r="Y599" s="42"/>
      <c r="Z599" s="42"/>
    </row>
    <row r="600" ht="15.75" customHeight="1">
      <c r="A600" s="42"/>
      <c r="B600" s="42"/>
      <c r="C600" s="42"/>
      <c r="D600" s="42"/>
      <c r="E600" s="42"/>
      <c r="F600" s="42"/>
      <c r="G600" s="42"/>
      <c r="H600" s="63"/>
      <c r="I600" s="42"/>
      <c r="J600" s="42"/>
      <c r="K600" s="42"/>
      <c r="L600" s="42"/>
      <c r="M600" s="42"/>
      <c r="N600" s="42"/>
      <c r="O600" s="42"/>
      <c r="P600" s="42"/>
      <c r="Q600" s="42"/>
      <c r="R600" s="42"/>
      <c r="S600" s="42"/>
      <c r="T600" s="42"/>
      <c r="U600" s="42"/>
      <c r="V600" s="42"/>
      <c r="W600" s="42"/>
      <c r="X600" s="42"/>
      <c r="Y600" s="42"/>
      <c r="Z600" s="42"/>
    </row>
    <row r="601" ht="15.75" customHeight="1">
      <c r="A601" s="42"/>
      <c r="B601" s="42"/>
      <c r="C601" s="42"/>
      <c r="D601" s="42"/>
      <c r="E601" s="42"/>
      <c r="F601" s="42"/>
      <c r="G601" s="42"/>
      <c r="H601" s="63"/>
      <c r="I601" s="42"/>
      <c r="J601" s="42"/>
      <c r="K601" s="42"/>
      <c r="L601" s="42"/>
      <c r="M601" s="42"/>
      <c r="N601" s="42"/>
      <c r="O601" s="42"/>
      <c r="P601" s="42"/>
      <c r="Q601" s="42"/>
      <c r="R601" s="42"/>
      <c r="S601" s="42"/>
      <c r="T601" s="42"/>
      <c r="U601" s="42"/>
      <c r="V601" s="42"/>
      <c r="W601" s="42"/>
      <c r="X601" s="42"/>
      <c r="Y601" s="42"/>
      <c r="Z601" s="42"/>
    </row>
    <row r="602" ht="15.75" customHeight="1">
      <c r="A602" s="42"/>
      <c r="B602" s="42"/>
      <c r="C602" s="42"/>
      <c r="D602" s="42"/>
      <c r="E602" s="42"/>
      <c r="F602" s="42"/>
      <c r="G602" s="42"/>
      <c r="H602" s="63"/>
      <c r="I602" s="42"/>
      <c r="J602" s="42"/>
      <c r="K602" s="42"/>
      <c r="L602" s="42"/>
      <c r="M602" s="42"/>
      <c r="N602" s="42"/>
      <c r="O602" s="42"/>
      <c r="P602" s="42"/>
      <c r="Q602" s="42"/>
      <c r="R602" s="42"/>
      <c r="S602" s="42"/>
      <c r="T602" s="42"/>
      <c r="U602" s="42"/>
      <c r="V602" s="42"/>
      <c r="W602" s="42"/>
      <c r="X602" s="42"/>
      <c r="Y602" s="42"/>
      <c r="Z602" s="42"/>
    </row>
    <row r="603" ht="15.75" customHeight="1">
      <c r="A603" s="42"/>
      <c r="B603" s="42"/>
      <c r="C603" s="42"/>
      <c r="D603" s="42"/>
      <c r="E603" s="42"/>
      <c r="F603" s="42"/>
      <c r="G603" s="42"/>
      <c r="H603" s="63"/>
      <c r="I603" s="42"/>
      <c r="J603" s="42"/>
      <c r="K603" s="42"/>
      <c r="L603" s="42"/>
      <c r="M603" s="42"/>
      <c r="N603" s="42"/>
      <c r="O603" s="42"/>
      <c r="P603" s="42"/>
      <c r="Q603" s="42"/>
      <c r="R603" s="42"/>
      <c r="S603" s="42"/>
      <c r="T603" s="42"/>
      <c r="U603" s="42"/>
      <c r="V603" s="42"/>
      <c r="W603" s="42"/>
      <c r="X603" s="42"/>
      <c r="Y603" s="42"/>
      <c r="Z603" s="42"/>
    </row>
    <row r="604" ht="15.75" customHeight="1">
      <c r="A604" s="42"/>
      <c r="B604" s="42"/>
      <c r="C604" s="42"/>
      <c r="D604" s="42"/>
      <c r="E604" s="42"/>
      <c r="F604" s="42"/>
      <c r="G604" s="42"/>
      <c r="H604" s="63"/>
      <c r="I604" s="42"/>
      <c r="J604" s="42"/>
      <c r="K604" s="42"/>
      <c r="L604" s="42"/>
      <c r="M604" s="42"/>
      <c r="N604" s="42"/>
      <c r="O604" s="42"/>
      <c r="P604" s="42"/>
      <c r="Q604" s="42"/>
      <c r="R604" s="42"/>
      <c r="S604" s="42"/>
      <c r="T604" s="42"/>
      <c r="U604" s="42"/>
      <c r="V604" s="42"/>
      <c r="W604" s="42"/>
      <c r="X604" s="42"/>
      <c r="Y604" s="42"/>
      <c r="Z604" s="42"/>
    </row>
    <row r="605" ht="15.75" customHeight="1">
      <c r="A605" s="42"/>
      <c r="B605" s="42"/>
      <c r="C605" s="42"/>
      <c r="D605" s="42"/>
      <c r="E605" s="42"/>
      <c r="F605" s="42"/>
      <c r="G605" s="42"/>
      <c r="H605" s="63"/>
      <c r="I605" s="42"/>
      <c r="J605" s="42"/>
      <c r="K605" s="42"/>
      <c r="L605" s="42"/>
      <c r="M605" s="42"/>
      <c r="N605" s="42"/>
      <c r="O605" s="42"/>
      <c r="P605" s="42"/>
      <c r="Q605" s="42"/>
      <c r="R605" s="42"/>
      <c r="S605" s="42"/>
      <c r="T605" s="42"/>
      <c r="U605" s="42"/>
      <c r="V605" s="42"/>
      <c r="W605" s="42"/>
      <c r="X605" s="42"/>
      <c r="Y605" s="42"/>
      <c r="Z605" s="42"/>
    </row>
    <row r="606" ht="15.75" customHeight="1">
      <c r="A606" s="42"/>
      <c r="B606" s="42"/>
      <c r="C606" s="42"/>
      <c r="D606" s="42"/>
      <c r="E606" s="42"/>
      <c r="F606" s="42"/>
      <c r="G606" s="42"/>
      <c r="H606" s="63"/>
      <c r="I606" s="42"/>
      <c r="J606" s="42"/>
      <c r="K606" s="42"/>
      <c r="L606" s="42"/>
      <c r="M606" s="42"/>
      <c r="N606" s="42"/>
      <c r="O606" s="42"/>
      <c r="P606" s="42"/>
      <c r="Q606" s="42"/>
      <c r="R606" s="42"/>
      <c r="S606" s="42"/>
      <c r="T606" s="42"/>
      <c r="U606" s="42"/>
      <c r="V606" s="42"/>
      <c r="W606" s="42"/>
      <c r="X606" s="42"/>
      <c r="Y606" s="42"/>
      <c r="Z606" s="42"/>
    </row>
    <row r="607" ht="15.75" customHeight="1">
      <c r="A607" s="42"/>
      <c r="B607" s="42"/>
      <c r="C607" s="42"/>
      <c r="D607" s="42"/>
      <c r="E607" s="42"/>
      <c r="F607" s="42"/>
      <c r="G607" s="42"/>
      <c r="H607" s="63"/>
      <c r="I607" s="42"/>
      <c r="J607" s="42"/>
      <c r="K607" s="42"/>
      <c r="L607" s="42"/>
      <c r="M607" s="42"/>
      <c r="N607" s="42"/>
      <c r="O607" s="42"/>
      <c r="P607" s="42"/>
      <c r="Q607" s="42"/>
      <c r="R607" s="42"/>
      <c r="S607" s="42"/>
      <c r="T607" s="42"/>
      <c r="U607" s="42"/>
      <c r="V607" s="42"/>
      <c r="W607" s="42"/>
      <c r="X607" s="42"/>
      <c r="Y607" s="42"/>
      <c r="Z607" s="42"/>
    </row>
    <row r="608" ht="15.75" customHeight="1">
      <c r="A608" s="42"/>
      <c r="B608" s="42"/>
      <c r="C608" s="42"/>
      <c r="D608" s="42"/>
      <c r="E608" s="42"/>
      <c r="F608" s="42"/>
      <c r="G608" s="42"/>
      <c r="H608" s="63"/>
      <c r="I608" s="42"/>
      <c r="J608" s="42"/>
      <c r="K608" s="42"/>
      <c r="L608" s="42"/>
      <c r="M608" s="42"/>
      <c r="N608" s="42"/>
      <c r="O608" s="42"/>
      <c r="P608" s="42"/>
      <c r="Q608" s="42"/>
      <c r="R608" s="42"/>
      <c r="S608" s="42"/>
      <c r="T608" s="42"/>
      <c r="U608" s="42"/>
      <c r="V608" s="42"/>
      <c r="W608" s="42"/>
      <c r="X608" s="42"/>
      <c r="Y608" s="42"/>
      <c r="Z608" s="42"/>
    </row>
    <row r="609" ht="15.75" customHeight="1">
      <c r="A609" s="42"/>
      <c r="B609" s="42"/>
      <c r="C609" s="42"/>
      <c r="D609" s="42"/>
      <c r="E609" s="42"/>
      <c r="F609" s="42"/>
      <c r="G609" s="42"/>
      <c r="H609" s="63"/>
      <c r="I609" s="42"/>
      <c r="J609" s="42"/>
      <c r="K609" s="42"/>
      <c r="L609" s="42"/>
      <c r="M609" s="42"/>
      <c r="N609" s="42"/>
      <c r="O609" s="42"/>
      <c r="P609" s="42"/>
      <c r="Q609" s="42"/>
      <c r="R609" s="42"/>
      <c r="S609" s="42"/>
      <c r="T609" s="42"/>
      <c r="U609" s="42"/>
      <c r="V609" s="42"/>
      <c r="W609" s="42"/>
      <c r="X609" s="42"/>
      <c r="Y609" s="42"/>
      <c r="Z609" s="42"/>
    </row>
    <row r="610" ht="15.75" customHeight="1">
      <c r="A610" s="42"/>
      <c r="B610" s="42"/>
      <c r="C610" s="42"/>
      <c r="D610" s="42"/>
      <c r="E610" s="42"/>
      <c r="F610" s="42"/>
      <c r="G610" s="42"/>
      <c r="H610" s="63"/>
      <c r="I610" s="42"/>
      <c r="J610" s="42"/>
      <c r="K610" s="42"/>
      <c r="L610" s="42"/>
      <c r="M610" s="42"/>
      <c r="N610" s="42"/>
      <c r="O610" s="42"/>
      <c r="P610" s="42"/>
      <c r="Q610" s="42"/>
      <c r="R610" s="42"/>
      <c r="S610" s="42"/>
      <c r="T610" s="42"/>
      <c r="U610" s="42"/>
      <c r="V610" s="42"/>
      <c r="W610" s="42"/>
      <c r="X610" s="42"/>
      <c r="Y610" s="42"/>
      <c r="Z610" s="42"/>
    </row>
    <row r="611" ht="15.75" customHeight="1">
      <c r="A611" s="42"/>
      <c r="B611" s="42"/>
      <c r="C611" s="42"/>
      <c r="D611" s="42"/>
      <c r="E611" s="42"/>
      <c r="F611" s="42"/>
      <c r="G611" s="42"/>
      <c r="H611" s="63"/>
      <c r="I611" s="42"/>
      <c r="J611" s="42"/>
      <c r="K611" s="42"/>
      <c r="L611" s="42"/>
      <c r="M611" s="42"/>
      <c r="N611" s="42"/>
      <c r="O611" s="42"/>
      <c r="P611" s="42"/>
      <c r="Q611" s="42"/>
      <c r="R611" s="42"/>
      <c r="S611" s="42"/>
      <c r="T611" s="42"/>
      <c r="U611" s="42"/>
      <c r="V611" s="42"/>
      <c r="W611" s="42"/>
      <c r="X611" s="42"/>
      <c r="Y611" s="42"/>
      <c r="Z611" s="42"/>
    </row>
    <row r="612" ht="15.75" customHeight="1">
      <c r="A612" s="42"/>
      <c r="B612" s="42"/>
      <c r="C612" s="42"/>
      <c r="D612" s="42"/>
      <c r="E612" s="42"/>
      <c r="F612" s="42"/>
      <c r="G612" s="42"/>
      <c r="H612" s="63"/>
      <c r="I612" s="42"/>
      <c r="J612" s="42"/>
      <c r="K612" s="42"/>
      <c r="L612" s="42"/>
      <c r="M612" s="42"/>
      <c r="N612" s="42"/>
      <c r="O612" s="42"/>
      <c r="P612" s="42"/>
      <c r="Q612" s="42"/>
      <c r="R612" s="42"/>
      <c r="S612" s="42"/>
      <c r="T612" s="42"/>
      <c r="U612" s="42"/>
      <c r="V612" s="42"/>
      <c r="W612" s="42"/>
      <c r="X612" s="42"/>
      <c r="Y612" s="42"/>
      <c r="Z612" s="42"/>
    </row>
    <row r="613" ht="15.75" customHeight="1">
      <c r="A613" s="42"/>
      <c r="B613" s="42"/>
      <c r="C613" s="42"/>
      <c r="D613" s="42"/>
      <c r="E613" s="42"/>
      <c r="F613" s="42"/>
      <c r="G613" s="42"/>
      <c r="H613" s="63"/>
      <c r="I613" s="42"/>
      <c r="J613" s="42"/>
      <c r="K613" s="42"/>
      <c r="L613" s="42"/>
      <c r="M613" s="42"/>
      <c r="N613" s="42"/>
      <c r="O613" s="42"/>
      <c r="P613" s="42"/>
      <c r="Q613" s="42"/>
      <c r="R613" s="42"/>
      <c r="S613" s="42"/>
      <c r="T613" s="42"/>
      <c r="U613" s="42"/>
      <c r="V613" s="42"/>
      <c r="W613" s="42"/>
      <c r="X613" s="42"/>
      <c r="Y613" s="42"/>
      <c r="Z613" s="42"/>
    </row>
    <row r="614" ht="15.75" customHeight="1">
      <c r="A614" s="42"/>
      <c r="B614" s="42"/>
      <c r="C614" s="42"/>
      <c r="D614" s="42"/>
      <c r="E614" s="42"/>
      <c r="F614" s="42"/>
      <c r="G614" s="42"/>
      <c r="H614" s="63"/>
      <c r="I614" s="42"/>
      <c r="J614" s="42"/>
      <c r="K614" s="42"/>
      <c r="L614" s="42"/>
      <c r="M614" s="42"/>
      <c r="N614" s="42"/>
      <c r="O614" s="42"/>
      <c r="P614" s="42"/>
      <c r="Q614" s="42"/>
      <c r="R614" s="42"/>
      <c r="S614" s="42"/>
      <c r="T614" s="42"/>
      <c r="U614" s="42"/>
      <c r="V614" s="42"/>
      <c r="W614" s="42"/>
      <c r="X614" s="42"/>
      <c r="Y614" s="42"/>
      <c r="Z614" s="42"/>
    </row>
    <row r="615" ht="15.75" customHeight="1">
      <c r="A615" s="42"/>
      <c r="B615" s="42"/>
      <c r="C615" s="42"/>
      <c r="D615" s="42"/>
      <c r="E615" s="42"/>
      <c r="F615" s="42"/>
      <c r="G615" s="42"/>
      <c r="H615" s="63"/>
      <c r="I615" s="42"/>
      <c r="J615" s="42"/>
      <c r="K615" s="42"/>
      <c r="L615" s="42"/>
      <c r="M615" s="42"/>
      <c r="N615" s="42"/>
      <c r="O615" s="42"/>
      <c r="P615" s="42"/>
      <c r="Q615" s="42"/>
      <c r="R615" s="42"/>
      <c r="S615" s="42"/>
      <c r="T615" s="42"/>
      <c r="U615" s="42"/>
      <c r="V615" s="42"/>
      <c r="W615" s="42"/>
      <c r="X615" s="42"/>
      <c r="Y615" s="42"/>
      <c r="Z615" s="42"/>
    </row>
    <row r="616" ht="15.75" customHeight="1">
      <c r="A616" s="42"/>
      <c r="B616" s="42"/>
      <c r="C616" s="42"/>
      <c r="D616" s="42"/>
      <c r="E616" s="42"/>
      <c r="F616" s="42"/>
      <c r="G616" s="42"/>
      <c r="H616" s="63"/>
      <c r="I616" s="42"/>
      <c r="J616" s="42"/>
      <c r="K616" s="42"/>
      <c r="L616" s="42"/>
      <c r="M616" s="42"/>
      <c r="N616" s="42"/>
      <c r="O616" s="42"/>
      <c r="P616" s="42"/>
      <c r="Q616" s="42"/>
      <c r="R616" s="42"/>
      <c r="S616" s="42"/>
      <c r="T616" s="42"/>
      <c r="U616" s="42"/>
      <c r="V616" s="42"/>
      <c r="W616" s="42"/>
      <c r="X616" s="42"/>
      <c r="Y616" s="42"/>
      <c r="Z616" s="42"/>
    </row>
    <row r="617" ht="15.75" customHeight="1">
      <c r="A617" s="42"/>
      <c r="B617" s="42"/>
      <c r="C617" s="42"/>
      <c r="D617" s="42"/>
      <c r="E617" s="42"/>
      <c r="F617" s="42"/>
      <c r="G617" s="42"/>
      <c r="H617" s="63"/>
      <c r="I617" s="42"/>
      <c r="J617" s="42"/>
      <c r="K617" s="42"/>
      <c r="L617" s="42"/>
      <c r="M617" s="42"/>
      <c r="N617" s="42"/>
      <c r="O617" s="42"/>
      <c r="P617" s="42"/>
      <c r="Q617" s="42"/>
      <c r="R617" s="42"/>
      <c r="S617" s="42"/>
      <c r="T617" s="42"/>
      <c r="U617" s="42"/>
      <c r="V617" s="42"/>
      <c r="W617" s="42"/>
      <c r="X617" s="42"/>
      <c r="Y617" s="42"/>
      <c r="Z617" s="42"/>
    </row>
    <row r="618" ht="15.75" customHeight="1">
      <c r="A618" s="42"/>
      <c r="B618" s="42"/>
      <c r="C618" s="42"/>
      <c r="D618" s="42"/>
      <c r="E618" s="42"/>
      <c r="F618" s="42"/>
      <c r="G618" s="42"/>
      <c r="H618" s="63"/>
      <c r="I618" s="42"/>
      <c r="J618" s="42"/>
      <c r="K618" s="42"/>
      <c r="L618" s="42"/>
      <c r="M618" s="42"/>
      <c r="N618" s="42"/>
      <c r="O618" s="42"/>
      <c r="P618" s="42"/>
      <c r="Q618" s="42"/>
      <c r="R618" s="42"/>
      <c r="S618" s="42"/>
      <c r="T618" s="42"/>
      <c r="U618" s="42"/>
      <c r="V618" s="42"/>
      <c r="W618" s="42"/>
      <c r="X618" s="42"/>
      <c r="Y618" s="42"/>
      <c r="Z618" s="42"/>
    </row>
    <row r="619" ht="15.75" customHeight="1">
      <c r="A619" s="42"/>
      <c r="B619" s="42"/>
      <c r="C619" s="42"/>
      <c r="D619" s="42"/>
      <c r="E619" s="42"/>
      <c r="F619" s="42"/>
      <c r="G619" s="42"/>
      <c r="H619" s="63"/>
      <c r="I619" s="42"/>
      <c r="J619" s="42"/>
      <c r="K619" s="42"/>
      <c r="L619" s="42"/>
      <c r="M619" s="42"/>
      <c r="N619" s="42"/>
      <c r="O619" s="42"/>
      <c r="P619" s="42"/>
      <c r="Q619" s="42"/>
      <c r="R619" s="42"/>
      <c r="S619" s="42"/>
      <c r="T619" s="42"/>
      <c r="U619" s="42"/>
      <c r="V619" s="42"/>
      <c r="W619" s="42"/>
      <c r="X619" s="42"/>
      <c r="Y619" s="42"/>
      <c r="Z619" s="42"/>
    </row>
    <row r="620" ht="15.75" customHeight="1">
      <c r="A620" s="42"/>
      <c r="B620" s="42"/>
      <c r="C620" s="42"/>
      <c r="D620" s="42"/>
      <c r="E620" s="42"/>
      <c r="F620" s="42"/>
      <c r="G620" s="42"/>
      <c r="H620" s="63"/>
      <c r="I620" s="42"/>
      <c r="J620" s="42"/>
      <c r="K620" s="42"/>
      <c r="L620" s="42"/>
      <c r="M620" s="42"/>
      <c r="N620" s="42"/>
      <c r="O620" s="42"/>
      <c r="P620" s="42"/>
      <c r="Q620" s="42"/>
      <c r="R620" s="42"/>
      <c r="S620" s="42"/>
      <c r="T620" s="42"/>
      <c r="U620" s="42"/>
      <c r="V620" s="42"/>
      <c r="W620" s="42"/>
      <c r="X620" s="42"/>
      <c r="Y620" s="42"/>
      <c r="Z620" s="42"/>
    </row>
    <row r="621" ht="15.75" customHeight="1">
      <c r="A621" s="42"/>
      <c r="B621" s="42"/>
      <c r="C621" s="42"/>
      <c r="D621" s="42"/>
      <c r="E621" s="42"/>
      <c r="F621" s="42"/>
      <c r="G621" s="42"/>
      <c r="H621" s="63"/>
      <c r="I621" s="42"/>
      <c r="J621" s="42"/>
      <c r="K621" s="42"/>
      <c r="L621" s="42"/>
      <c r="M621" s="42"/>
      <c r="N621" s="42"/>
      <c r="O621" s="42"/>
      <c r="P621" s="42"/>
      <c r="Q621" s="42"/>
      <c r="R621" s="42"/>
      <c r="S621" s="42"/>
      <c r="T621" s="42"/>
      <c r="U621" s="42"/>
      <c r="V621" s="42"/>
      <c r="W621" s="42"/>
      <c r="X621" s="42"/>
      <c r="Y621" s="42"/>
      <c r="Z621" s="42"/>
    </row>
    <row r="622" ht="15.75" customHeight="1">
      <c r="A622" s="42"/>
      <c r="B622" s="42"/>
      <c r="C622" s="42"/>
      <c r="D622" s="42"/>
      <c r="E622" s="42"/>
      <c r="F622" s="42"/>
      <c r="G622" s="42"/>
      <c r="H622" s="63"/>
      <c r="I622" s="42"/>
      <c r="J622" s="42"/>
      <c r="K622" s="42"/>
      <c r="L622" s="42"/>
      <c r="M622" s="42"/>
      <c r="N622" s="42"/>
      <c r="O622" s="42"/>
      <c r="P622" s="42"/>
      <c r="Q622" s="42"/>
      <c r="R622" s="42"/>
      <c r="S622" s="42"/>
      <c r="T622" s="42"/>
      <c r="U622" s="42"/>
      <c r="V622" s="42"/>
      <c r="W622" s="42"/>
      <c r="X622" s="42"/>
      <c r="Y622" s="42"/>
      <c r="Z622" s="42"/>
    </row>
    <row r="623" ht="15.75" customHeight="1">
      <c r="A623" s="42"/>
      <c r="B623" s="42"/>
      <c r="C623" s="42"/>
      <c r="D623" s="42"/>
      <c r="E623" s="42"/>
      <c r="F623" s="42"/>
      <c r="G623" s="42"/>
      <c r="H623" s="63"/>
      <c r="I623" s="42"/>
      <c r="J623" s="42"/>
      <c r="K623" s="42"/>
      <c r="L623" s="42"/>
      <c r="M623" s="42"/>
      <c r="N623" s="42"/>
      <c r="O623" s="42"/>
      <c r="P623" s="42"/>
      <c r="Q623" s="42"/>
      <c r="R623" s="42"/>
      <c r="S623" s="42"/>
      <c r="T623" s="42"/>
      <c r="U623" s="42"/>
      <c r="V623" s="42"/>
      <c r="W623" s="42"/>
      <c r="X623" s="42"/>
      <c r="Y623" s="42"/>
      <c r="Z623" s="42"/>
    </row>
    <row r="624" ht="15.75" customHeight="1">
      <c r="A624" s="42"/>
      <c r="B624" s="42"/>
      <c r="C624" s="42"/>
      <c r="D624" s="42"/>
      <c r="E624" s="42"/>
      <c r="F624" s="42"/>
      <c r="G624" s="42"/>
      <c r="H624" s="63"/>
      <c r="I624" s="42"/>
      <c r="J624" s="42"/>
      <c r="K624" s="42"/>
      <c r="L624" s="42"/>
      <c r="M624" s="42"/>
      <c r="N624" s="42"/>
      <c r="O624" s="42"/>
      <c r="P624" s="42"/>
      <c r="Q624" s="42"/>
      <c r="R624" s="42"/>
      <c r="S624" s="42"/>
      <c r="T624" s="42"/>
      <c r="U624" s="42"/>
      <c r="V624" s="42"/>
      <c r="W624" s="42"/>
      <c r="X624" s="42"/>
      <c r="Y624" s="42"/>
      <c r="Z624" s="42"/>
    </row>
    <row r="625" ht="15.75" customHeight="1">
      <c r="A625" s="42"/>
      <c r="B625" s="42"/>
      <c r="C625" s="42"/>
      <c r="D625" s="42"/>
      <c r="E625" s="42"/>
      <c r="F625" s="42"/>
      <c r="G625" s="42"/>
      <c r="H625" s="63"/>
      <c r="I625" s="42"/>
      <c r="J625" s="42"/>
      <c r="K625" s="42"/>
      <c r="L625" s="42"/>
      <c r="M625" s="42"/>
      <c r="N625" s="42"/>
      <c r="O625" s="42"/>
      <c r="P625" s="42"/>
      <c r="Q625" s="42"/>
      <c r="R625" s="42"/>
      <c r="S625" s="42"/>
      <c r="T625" s="42"/>
      <c r="U625" s="42"/>
      <c r="V625" s="42"/>
      <c r="W625" s="42"/>
      <c r="X625" s="42"/>
      <c r="Y625" s="42"/>
      <c r="Z625" s="42"/>
    </row>
    <row r="626" ht="15.75" customHeight="1">
      <c r="A626" s="42"/>
      <c r="B626" s="42"/>
      <c r="C626" s="42"/>
      <c r="D626" s="42"/>
      <c r="E626" s="42"/>
      <c r="F626" s="42"/>
      <c r="G626" s="42"/>
      <c r="H626" s="63"/>
      <c r="I626" s="42"/>
      <c r="J626" s="42"/>
      <c r="K626" s="42"/>
      <c r="L626" s="42"/>
      <c r="M626" s="42"/>
      <c r="N626" s="42"/>
      <c r="O626" s="42"/>
      <c r="P626" s="42"/>
      <c r="Q626" s="42"/>
      <c r="R626" s="42"/>
      <c r="S626" s="42"/>
      <c r="T626" s="42"/>
      <c r="U626" s="42"/>
      <c r="V626" s="42"/>
      <c r="W626" s="42"/>
      <c r="X626" s="42"/>
      <c r="Y626" s="42"/>
      <c r="Z626" s="42"/>
    </row>
    <row r="627" ht="15.75" customHeight="1">
      <c r="A627" s="42"/>
      <c r="B627" s="42"/>
      <c r="C627" s="42"/>
      <c r="D627" s="42"/>
      <c r="E627" s="42"/>
      <c r="F627" s="42"/>
      <c r="G627" s="42"/>
      <c r="H627" s="63"/>
      <c r="I627" s="42"/>
      <c r="J627" s="42"/>
      <c r="K627" s="42"/>
      <c r="L627" s="42"/>
      <c r="M627" s="42"/>
      <c r="N627" s="42"/>
      <c r="O627" s="42"/>
      <c r="P627" s="42"/>
      <c r="Q627" s="42"/>
      <c r="R627" s="42"/>
      <c r="S627" s="42"/>
      <c r="T627" s="42"/>
      <c r="U627" s="42"/>
      <c r="V627" s="42"/>
      <c r="W627" s="42"/>
      <c r="X627" s="42"/>
      <c r="Y627" s="42"/>
      <c r="Z627" s="42"/>
    </row>
    <row r="628" ht="15.75" customHeight="1">
      <c r="A628" s="42"/>
      <c r="B628" s="42"/>
      <c r="C628" s="42"/>
      <c r="D628" s="42"/>
      <c r="E628" s="42"/>
      <c r="F628" s="42"/>
      <c r="G628" s="42"/>
      <c r="H628" s="63"/>
      <c r="I628" s="42"/>
      <c r="J628" s="42"/>
      <c r="K628" s="42"/>
      <c r="L628" s="42"/>
      <c r="M628" s="42"/>
      <c r="N628" s="42"/>
      <c r="O628" s="42"/>
      <c r="P628" s="42"/>
      <c r="Q628" s="42"/>
      <c r="R628" s="42"/>
      <c r="S628" s="42"/>
      <c r="T628" s="42"/>
      <c r="U628" s="42"/>
      <c r="V628" s="42"/>
      <c r="W628" s="42"/>
      <c r="X628" s="42"/>
      <c r="Y628" s="42"/>
      <c r="Z628" s="42"/>
    </row>
    <row r="629" ht="15.75" customHeight="1">
      <c r="A629" s="42"/>
      <c r="B629" s="42"/>
      <c r="C629" s="42"/>
      <c r="D629" s="42"/>
      <c r="E629" s="42"/>
      <c r="F629" s="42"/>
      <c r="G629" s="42"/>
      <c r="H629" s="63"/>
      <c r="I629" s="42"/>
      <c r="J629" s="42"/>
      <c r="K629" s="42"/>
      <c r="L629" s="42"/>
      <c r="M629" s="42"/>
      <c r="N629" s="42"/>
      <c r="O629" s="42"/>
      <c r="P629" s="42"/>
      <c r="Q629" s="42"/>
      <c r="R629" s="42"/>
      <c r="S629" s="42"/>
      <c r="T629" s="42"/>
      <c r="U629" s="42"/>
      <c r="V629" s="42"/>
      <c r="W629" s="42"/>
      <c r="X629" s="42"/>
      <c r="Y629" s="42"/>
      <c r="Z629" s="42"/>
    </row>
    <row r="630" ht="15.75" customHeight="1">
      <c r="A630" s="42"/>
      <c r="B630" s="42"/>
      <c r="C630" s="42"/>
      <c r="D630" s="42"/>
      <c r="E630" s="42"/>
      <c r="F630" s="42"/>
      <c r="G630" s="42"/>
      <c r="H630" s="63"/>
      <c r="I630" s="42"/>
      <c r="J630" s="42"/>
      <c r="K630" s="42"/>
      <c r="L630" s="42"/>
      <c r="M630" s="42"/>
      <c r="N630" s="42"/>
      <c r="O630" s="42"/>
      <c r="P630" s="42"/>
      <c r="Q630" s="42"/>
      <c r="R630" s="42"/>
      <c r="S630" s="42"/>
      <c r="T630" s="42"/>
      <c r="U630" s="42"/>
      <c r="V630" s="42"/>
      <c r="W630" s="42"/>
      <c r="X630" s="42"/>
      <c r="Y630" s="42"/>
      <c r="Z630" s="42"/>
    </row>
    <row r="631" ht="15.75" customHeight="1">
      <c r="A631" s="42"/>
      <c r="B631" s="42"/>
      <c r="C631" s="42"/>
      <c r="D631" s="42"/>
      <c r="E631" s="42"/>
      <c r="F631" s="42"/>
      <c r="G631" s="42"/>
      <c r="H631" s="63"/>
      <c r="I631" s="42"/>
      <c r="J631" s="42"/>
      <c r="K631" s="42"/>
      <c r="L631" s="42"/>
      <c r="M631" s="42"/>
      <c r="N631" s="42"/>
      <c r="O631" s="42"/>
      <c r="P631" s="42"/>
      <c r="Q631" s="42"/>
      <c r="R631" s="42"/>
      <c r="S631" s="42"/>
      <c r="T631" s="42"/>
      <c r="U631" s="42"/>
      <c r="V631" s="42"/>
      <c r="W631" s="42"/>
      <c r="X631" s="42"/>
      <c r="Y631" s="42"/>
      <c r="Z631" s="42"/>
    </row>
    <row r="632" ht="15.75" customHeight="1">
      <c r="A632" s="42"/>
      <c r="B632" s="42"/>
      <c r="C632" s="42"/>
      <c r="D632" s="42"/>
      <c r="E632" s="42"/>
      <c r="F632" s="42"/>
      <c r="G632" s="42"/>
      <c r="H632" s="63"/>
      <c r="I632" s="42"/>
      <c r="J632" s="42"/>
      <c r="K632" s="42"/>
      <c r="L632" s="42"/>
      <c r="M632" s="42"/>
      <c r="N632" s="42"/>
      <c r="O632" s="42"/>
      <c r="P632" s="42"/>
      <c r="Q632" s="42"/>
      <c r="R632" s="42"/>
      <c r="S632" s="42"/>
      <c r="T632" s="42"/>
      <c r="U632" s="42"/>
      <c r="V632" s="42"/>
      <c r="W632" s="42"/>
      <c r="X632" s="42"/>
      <c r="Y632" s="42"/>
      <c r="Z632" s="42"/>
    </row>
    <row r="633" ht="15.75" customHeight="1">
      <c r="A633" s="42"/>
      <c r="B633" s="42"/>
      <c r="C633" s="42"/>
      <c r="D633" s="42"/>
      <c r="E633" s="42"/>
      <c r="F633" s="42"/>
      <c r="G633" s="42"/>
      <c r="H633" s="63"/>
      <c r="I633" s="42"/>
      <c r="J633" s="42"/>
      <c r="K633" s="42"/>
      <c r="L633" s="42"/>
      <c r="M633" s="42"/>
      <c r="N633" s="42"/>
      <c r="O633" s="42"/>
      <c r="P633" s="42"/>
      <c r="Q633" s="42"/>
      <c r="R633" s="42"/>
      <c r="S633" s="42"/>
      <c r="T633" s="42"/>
      <c r="U633" s="42"/>
      <c r="V633" s="42"/>
      <c r="W633" s="42"/>
      <c r="X633" s="42"/>
      <c r="Y633" s="42"/>
      <c r="Z633" s="42"/>
    </row>
    <row r="634" ht="15.75" customHeight="1">
      <c r="A634" s="42"/>
      <c r="B634" s="42"/>
      <c r="C634" s="42"/>
      <c r="D634" s="42"/>
      <c r="E634" s="42"/>
      <c r="F634" s="42"/>
      <c r="G634" s="42"/>
      <c r="H634" s="63"/>
      <c r="I634" s="42"/>
      <c r="J634" s="42"/>
      <c r="K634" s="42"/>
      <c r="L634" s="42"/>
      <c r="M634" s="42"/>
      <c r="N634" s="42"/>
      <c r="O634" s="42"/>
      <c r="P634" s="42"/>
      <c r="Q634" s="42"/>
      <c r="R634" s="42"/>
      <c r="S634" s="42"/>
      <c r="T634" s="42"/>
      <c r="U634" s="42"/>
      <c r="V634" s="42"/>
      <c r="W634" s="42"/>
      <c r="X634" s="42"/>
      <c r="Y634" s="42"/>
      <c r="Z634" s="42"/>
    </row>
    <row r="635" ht="15.75" customHeight="1">
      <c r="A635" s="42"/>
      <c r="B635" s="42"/>
      <c r="C635" s="42"/>
      <c r="D635" s="42"/>
      <c r="E635" s="42"/>
      <c r="F635" s="42"/>
      <c r="G635" s="42"/>
      <c r="H635" s="63"/>
      <c r="I635" s="42"/>
      <c r="J635" s="42"/>
      <c r="K635" s="42"/>
      <c r="L635" s="42"/>
      <c r="M635" s="42"/>
      <c r="N635" s="42"/>
      <c r="O635" s="42"/>
      <c r="P635" s="42"/>
      <c r="Q635" s="42"/>
      <c r="R635" s="42"/>
      <c r="S635" s="42"/>
      <c r="T635" s="42"/>
      <c r="U635" s="42"/>
      <c r="V635" s="42"/>
      <c r="W635" s="42"/>
      <c r="X635" s="42"/>
      <c r="Y635" s="42"/>
      <c r="Z635" s="42"/>
    </row>
    <row r="636" ht="15.75" customHeight="1">
      <c r="A636" s="42"/>
      <c r="B636" s="42"/>
      <c r="C636" s="42"/>
      <c r="D636" s="42"/>
      <c r="E636" s="42"/>
      <c r="F636" s="42"/>
      <c r="G636" s="42"/>
      <c r="H636" s="63"/>
      <c r="I636" s="42"/>
      <c r="J636" s="42"/>
      <c r="K636" s="42"/>
      <c r="L636" s="42"/>
      <c r="M636" s="42"/>
      <c r="N636" s="42"/>
      <c r="O636" s="42"/>
      <c r="P636" s="42"/>
      <c r="Q636" s="42"/>
      <c r="R636" s="42"/>
      <c r="S636" s="42"/>
      <c r="T636" s="42"/>
      <c r="U636" s="42"/>
      <c r="V636" s="42"/>
      <c r="W636" s="42"/>
      <c r="X636" s="42"/>
      <c r="Y636" s="42"/>
      <c r="Z636" s="42"/>
    </row>
    <row r="637" ht="15.75" customHeight="1">
      <c r="A637" s="42"/>
      <c r="B637" s="42"/>
      <c r="C637" s="42"/>
      <c r="D637" s="42"/>
      <c r="E637" s="42"/>
      <c r="F637" s="42"/>
      <c r="G637" s="42"/>
      <c r="H637" s="63"/>
      <c r="I637" s="42"/>
      <c r="J637" s="42"/>
      <c r="K637" s="42"/>
      <c r="L637" s="42"/>
      <c r="M637" s="42"/>
      <c r="N637" s="42"/>
      <c r="O637" s="42"/>
      <c r="P637" s="42"/>
      <c r="Q637" s="42"/>
      <c r="R637" s="42"/>
      <c r="S637" s="42"/>
      <c r="T637" s="42"/>
      <c r="U637" s="42"/>
      <c r="V637" s="42"/>
      <c r="W637" s="42"/>
      <c r="X637" s="42"/>
      <c r="Y637" s="42"/>
      <c r="Z637" s="42"/>
    </row>
    <row r="638" ht="15.75" customHeight="1">
      <c r="A638" s="42"/>
      <c r="B638" s="42"/>
      <c r="C638" s="42"/>
      <c r="D638" s="42"/>
      <c r="E638" s="42"/>
      <c r="F638" s="42"/>
      <c r="G638" s="42"/>
      <c r="H638" s="63"/>
      <c r="I638" s="42"/>
      <c r="J638" s="42"/>
      <c r="K638" s="42"/>
      <c r="L638" s="42"/>
      <c r="M638" s="42"/>
      <c r="N638" s="42"/>
      <c r="O638" s="42"/>
      <c r="P638" s="42"/>
      <c r="Q638" s="42"/>
      <c r="R638" s="42"/>
      <c r="S638" s="42"/>
      <c r="T638" s="42"/>
      <c r="U638" s="42"/>
      <c r="V638" s="42"/>
      <c r="W638" s="42"/>
      <c r="X638" s="42"/>
      <c r="Y638" s="42"/>
      <c r="Z638" s="42"/>
    </row>
    <row r="639" ht="15.75" customHeight="1">
      <c r="A639" s="42"/>
      <c r="B639" s="42"/>
      <c r="C639" s="42"/>
      <c r="D639" s="42"/>
      <c r="E639" s="42"/>
      <c r="F639" s="42"/>
      <c r="G639" s="42"/>
      <c r="H639" s="63"/>
      <c r="I639" s="42"/>
      <c r="J639" s="42"/>
      <c r="K639" s="42"/>
      <c r="L639" s="42"/>
      <c r="M639" s="42"/>
      <c r="N639" s="42"/>
      <c r="O639" s="42"/>
      <c r="P639" s="42"/>
      <c r="Q639" s="42"/>
      <c r="R639" s="42"/>
      <c r="S639" s="42"/>
      <c r="T639" s="42"/>
      <c r="U639" s="42"/>
      <c r="V639" s="42"/>
      <c r="W639" s="42"/>
      <c r="X639" s="42"/>
      <c r="Y639" s="42"/>
      <c r="Z639" s="42"/>
    </row>
    <row r="640" ht="15.75" customHeight="1">
      <c r="A640" s="42"/>
      <c r="B640" s="42"/>
      <c r="C640" s="42"/>
      <c r="D640" s="42"/>
      <c r="E640" s="42"/>
      <c r="F640" s="42"/>
      <c r="G640" s="42"/>
      <c r="H640" s="63"/>
      <c r="I640" s="42"/>
      <c r="J640" s="42"/>
      <c r="K640" s="42"/>
      <c r="L640" s="42"/>
      <c r="M640" s="42"/>
      <c r="N640" s="42"/>
      <c r="O640" s="42"/>
      <c r="P640" s="42"/>
      <c r="Q640" s="42"/>
      <c r="R640" s="42"/>
      <c r="S640" s="42"/>
      <c r="T640" s="42"/>
      <c r="U640" s="42"/>
      <c r="V640" s="42"/>
      <c r="W640" s="42"/>
      <c r="X640" s="42"/>
      <c r="Y640" s="42"/>
      <c r="Z640" s="42"/>
    </row>
    <row r="641" ht="15.75" customHeight="1">
      <c r="A641" s="42"/>
      <c r="B641" s="42"/>
      <c r="C641" s="42"/>
      <c r="D641" s="42"/>
      <c r="E641" s="42"/>
      <c r="F641" s="42"/>
      <c r="G641" s="42"/>
      <c r="H641" s="63"/>
      <c r="I641" s="42"/>
      <c r="J641" s="42"/>
      <c r="K641" s="42"/>
      <c r="L641" s="42"/>
      <c r="M641" s="42"/>
      <c r="N641" s="42"/>
      <c r="O641" s="42"/>
      <c r="P641" s="42"/>
      <c r="Q641" s="42"/>
      <c r="R641" s="42"/>
      <c r="S641" s="42"/>
      <c r="T641" s="42"/>
      <c r="U641" s="42"/>
      <c r="V641" s="42"/>
      <c r="W641" s="42"/>
      <c r="X641" s="42"/>
      <c r="Y641" s="42"/>
      <c r="Z641" s="42"/>
    </row>
    <row r="642" ht="15.75" customHeight="1">
      <c r="A642" s="42"/>
      <c r="B642" s="42"/>
      <c r="C642" s="42"/>
      <c r="D642" s="42"/>
      <c r="E642" s="42"/>
      <c r="F642" s="42"/>
      <c r="G642" s="42"/>
      <c r="H642" s="63"/>
      <c r="I642" s="42"/>
      <c r="J642" s="42"/>
      <c r="K642" s="42"/>
      <c r="L642" s="42"/>
      <c r="M642" s="42"/>
      <c r="N642" s="42"/>
      <c r="O642" s="42"/>
      <c r="P642" s="42"/>
      <c r="Q642" s="42"/>
      <c r="R642" s="42"/>
      <c r="S642" s="42"/>
      <c r="T642" s="42"/>
      <c r="U642" s="42"/>
      <c r="V642" s="42"/>
      <c r="W642" s="42"/>
      <c r="X642" s="42"/>
      <c r="Y642" s="42"/>
      <c r="Z642" s="42"/>
    </row>
    <row r="643" ht="15.75" customHeight="1">
      <c r="A643" s="42"/>
      <c r="B643" s="42"/>
      <c r="C643" s="42"/>
      <c r="D643" s="42"/>
      <c r="E643" s="42"/>
      <c r="F643" s="42"/>
      <c r="G643" s="42"/>
      <c r="H643" s="63"/>
      <c r="I643" s="42"/>
      <c r="J643" s="42"/>
      <c r="K643" s="42"/>
      <c r="L643" s="42"/>
      <c r="M643" s="42"/>
      <c r="N643" s="42"/>
      <c r="O643" s="42"/>
      <c r="P643" s="42"/>
      <c r="Q643" s="42"/>
      <c r="R643" s="42"/>
      <c r="S643" s="42"/>
      <c r="T643" s="42"/>
      <c r="U643" s="42"/>
      <c r="V643" s="42"/>
      <c r="W643" s="42"/>
      <c r="X643" s="42"/>
      <c r="Y643" s="42"/>
      <c r="Z643" s="42"/>
    </row>
    <row r="644" ht="15.75" customHeight="1">
      <c r="A644" s="42"/>
      <c r="B644" s="42"/>
      <c r="C644" s="42"/>
      <c r="D644" s="42"/>
      <c r="E644" s="42"/>
      <c r="F644" s="42"/>
      <c r="G644" s="42"/>
      <c r="H644" s="63"/>
      <c r="I644" s="42"/>
      <c r="J644" s="42"/>
      <c r="K644" s="42"/>
      <c r="L644" s="42"/>
      <c r="M644" s="42"/>
      <c r="N644" s="42"/>
      <c r="O644" s="42"/>
      <c r="P644" s="42"/>
      <c r="Q644" s="42"/>
      <c r="R644" s="42"/>
      <c r="S644" s="42"/>
      <c r="T644" s="42"/>
      <c r="U644" s="42"/>
      <c r="V644" s="42"/>
      <c r="W644" s="42"/>
      <c r="X644" s="42"/>
      <c r="Y644" s="42"/>
      <c r="Z644" s="42"/>
    </row>
    <row r="645" ht="15.75" customHeight="1">
      <c r="A645" s="42"/>
      <c r="B645" s="42"/>
      <c r="C645" s="42"/>
      <c r="D645" s="42"/>
      <c r="E645" s="42"/>
      <c r="F645" s="42"/>
      <c r="G645" s="42"/>
      <c r="H645" s="63"/>
      <c r="I645" s="42"/>
      <c r="J645" s="42"/>
      <c r="K645" s="42"/>
      <c r="L645" s="42"/>
      <c r="M645" s="42"/>
      <c r="N645" s="42"/>
      <c r="O645" s="42"/>
      <c r="P645" s="42"/>
      <c r="Q645" s="42"/>
      <c r="R645" s="42"/>
      <c r="S645" s="42"/>
      <c r="T645" s="42"/>
      <c r="U645" s="42"/>
      <c r="V645" s="42"/>
      <c r="W645" s="42"/>
      <c r="X645" s="42"/>
      <c r="Y645" s="42"/>
      <c r="Z645" s="42"/>
    </row>
    <row r="646" ht="15.75" customHeight="1">
      <c r="A646" s="42"/>
      <c r="B646" s="42"/>
      <c r="C646" s="42"/>
      <c r="D646" s="42"/>
      <c r="E646" s="42"/>
      <c r="F646" s="42"/>
      <c r="G646" s="42"/>
      <c r="H646" s="63"/>
      <c r="I646" s="42"/>
      <c r="J646" s="42"/>
      <c r="K646" s="42"/>
      <c r="L646" s="42"/>
      <c r="M646" s="42"/>
      <c r="N646" s="42"/>
      <c r="O646" s="42"/>
      <c r="P646" s="42"/>
      <c r="Q646" s="42"/>
      <c r="R646" s="42"/>
      <c r="S646" s="42"/>
      <c r="T646" s="42"/>
      <c r="U646" s="42"/>
      <c r="V646" s="42"/>
      <c r="W646" s="42"/>
      <c r="X646" s="42"/>
      <c r="Y646" s="42"/>
      <c r="Z646" s="42"/>
    </row>
    <row r="647" ht="15.75" customHeight="1">
      <c r="A647" s="42"/>
      <c r="B647" s="42"/>
      <c r="C647" s="42"/>
      <c r="D647" s="42"/>
      <c r="E647" s="42"/>
      <c r="F647" s="42"/>
      <c r="G647" s="42"/>
      <c r="H647" s="63"/>
      <c r="I647" s="42"/>
      <c r="J647" s="42"/>
      <c r="K647" s="42"/>
      <c r="L647" s="42"/>
      <c r="M647" s="42"/>
      <c r="N647" s="42"/>
      <c r="O647" s="42"/>
      <c r="P647" s="42"/>
      <c r="Q647" s="42"/>
      <c r="R647" s="42"/>
      <c r="S647" s="42"/>
      <c r="T647" s="42"/>
      <c r="U647" s="42"/>
      <c r="V647" s="42"/>
      <c r="W647" s="42"/>
      <c r="X647" s="42"/>
      <c r="Y647" s="42"/>
      <c r="Z647" s="42"/>
    </row>
    <row r="648" ht="15.75" customHeight="1">
      <c r="A648" s="42"/>
      <c r="B648" s="42"/>
      <c r="C648" s="42"/>
      <c r="D648" s="42"/>
      <c r="E648" s="42"/>
      <c r="F648" s="42"/>
      <c r="G648" s="42"/>
      <c r="H648" s="63"/>
      <c r="I648" s="42"/>
      <c r="J648" s="42"/>
      <c r="K648" s="42"/>
      <c r="L648" s="42"/>
      <c r="M648" s="42"/>
      <c r="N648" s="42"/>
      <c r="O648" s="42"/>
      <c r="P648" s="42"/>
      <c r="Q648" s="42"/>
      <c r="R648" s="42"/>
      <c r="S648" s="42"/>
      <c r="T648" s="42"/>
      <c r="U648" s="42"/>
      <c r="V648" s="42"/>
      <c r="W648" s="42"/>
      <c r="X648" s="42"/>
      <c r="Y648" s="42"/>
      <c r="Z648" s="42"/>
    </row>
    <row r="649" ht="15.75" customHeight="1">
      <c r="A649" s="42"/>
      <c r="B649" s="42"/>
      <c r="C649" s="42"/>
      <c r="D649" s="42"/>
      <c r="E649" s="42"/>
      <c r="F649" s="42"/>
      <c r="G649" s="42"/>
      <c r="H649" s="63"/>
      <c r="I649" s="42"/>
      <c r="J649" s="42"/>
      <c r="K649" s="42"/>
      <c r="L649" s="42"/>
      <c r="M649" s="42"/>
      <c r="N649" s="42"/>
      <c r="O649" s="42"/>
      <c r="P649" s="42"/>
      <c r="Q649" s="42"/>
      <c r="R649" s="42"/>
      <c r="S649" s="42"/>
      <c r="T649" s="42"/>
      <c r="U649" s="42"/>
      <c r="V649" s="42"/>
      <c r="W649" s="42"/>
      <c r="X649" s="42"/>
      <c r="Y649" s="42"/>
      <c r="Z649" s="42"/>
    </row>
    <row r="650" ht="15.75" customHeight="1">
      <c r="A650" s="42"/>
      <c r="B650" s="42"/>
      <c r="C650" s="42"/>
      <c r="D650" s="42"/>
      <c r="E650" s="42"/>
      <c r="F650" s="42"/>
      <c r="G650" s="42"/>
      <c r="H650" s="63"/>
      <c r="I650" s="42"/>
      <c r="J650" s="42"/>
      <c r="K650" s="42"/>
      <c r="L650" s="42"/>
      <c r="M650" s="42"/>
      <c r="N650" s="42"/>
      <c r="O650" s="42"/>
      <c r="P650" s="42"/>
      <c r="Q650" s="42"/>
      <c r="R650" s="42"/>
      <c r="S650" s="42"/>
      <c r="T650" s="42"/>
      <c r="U650" s="42"/>
      <c r="V650" s="42"/>
      <c r="W650" s="42"/>
      <c r="X650" s="42"/>
      <c r="Y650" s="42"/>
      <c r="Z650" s="42"/>
    </row>
    <row r="651" ht="15.75" customHeight="1">
      <c r="A651" s="42"/>
      <c r="B651" s="42"/>
      <c r="C651" s="42"/>
      <c r="D651" s="42"/>
      <c r="E651" s="42"/>
      <c r="F651" s="42"/>
      <c r="G651" s="42"/>
      <c r="H651" s="63"/>
      <c r="I651" s="42"/>
      <c r="J651" s="42"/>
      <c r="K651" s="42"/>
      <c r="L651" s="42"/>
      <c r="M651" s="42"/>
      <c r="N651" s="42"/>
      <c r="O651" s="42"/>
      <c r="P651" s="42"/>
      <c r="Q651" s="42"/>
      <c r="R651" s="42"/>
      <c r="S651" s="42"/>
      <c r="T651" s="42"/>
      <c r="U651" s="42"/>
      <c r="V651" s="42"/>
      <c r="W651" s="42"/>
      <c r="X651" s="42"/>
      <c r="Y651" s="42"/>
      <c r="Z651" s="42"/>
    </row>
    <row r="652" ht="15.75" customHeight="1">
      <c r="A652" s="42"/>
      <c r="B652" s="42"/>
      <c r="C652" s="42"/>
      <c r="D652" s="42"/>
      <c r="E652" s="42"/>
      <c r="F652" s="42"/>
      <c r="G652" s="42"/>
      <c r="H652" s="63"/>
      <c r="I652" s="42"/>
      <c r="J652" s="42"/>
      <c r="K652" s="42"/>
      <c r="L652" s="42"/>
      <c r="M652" s="42"/>
      <c r="N652" s="42"/>
      <c r="O652" s="42"/>
      <c r="P652" s="42"/>
      <c r="Q652" s="42"/>
      <c r="R652" s="42"/>
      <c r="S652" s="42"/>
      <c r="T652" s="42"/>
      <c r="U652" s="42"/>
      <c r="V652" s="42"/>
      <c r="W652" s="42"/>
      <c r="X652" s="42"/>
      <c r="Y652" s="42"/>
      <c r="Z652" s="42"/>
    </row>
    <row r="653" ht="15.75" customHeight="1">
      <c r="A653" s="42"/>
      <c r="B653" s="42"/>
      <c r="C653" s="42"/>
      <c r="D653" s="42"/>
      <c r="E653" s="42"/>
      <c r="F653" s="42"/>
      <c r="G653" s="42"/>
      <c r="H653" s="63"/>
      <c r="I653" s="42"/>
      <c r="J653" s="42"/>
      <c r="K653" s="42"/>
      <c r="L653" s="42"/>
      <c r="M653" s="42"/>
      <c r="N653" s="42"/>
      <c r="O653" s="42"/>
      <c r="P653" s="42"/>
      <c r="Q653" s="42"/>
      <c r="R653" s="42"/>
      <c r="S653" s="42"/>
      <c r="T653" s="42"/>
      <c r="U653" s="42"/>
      <c r="V653" s="42"/>
      <c r="W653" s="42"/>
      <c r="X653" s="42"/>
      <c r="Y653" s="42"/>
      <c r="Z653" s="42"/>
    </row>
    <row r="654" ht="15.75" customHeight="1">
      <c r="A654" s="42"/>
      <c r="B654" s="42"/>
      <c r="C654" s="42"/>
      <c r="D654" s="42"/>
      <c r="E654" s="42"/>
      <c r="F654" s="42"/>
      <c r="G654" s="42"/>
      <c r="H654" s="63"/>
      <c r="I654" s="42"/>
      <c r="J654" s="42"/>
      <c r="K654" s="42"/>
      <c r="L654" s="42"/>
      <c r="M654" s="42"/>
      <c r="N654" s="42"/>
      <c r="O654" s="42"/>
      <c r="P654" s="42"/>
      <c r="Q654" s="42"/>
      <c r="R654" s="42"/>
      <c r="S654" s="42"/>
      <c r="T654" s="42"/>
      <c r="U654" s="42"/>
      <c r="V654" s="42"/>
      <c r="W654" s="42"/>
      <c r="X654" s="42"/>
      <c r="Y654" s="42"/>
      <c r="Z654" s="42"/>
    </row>
    <row r="655" ht="15.75" customHeight="1">
      <c r="A655" s="42"/>
      <c r="B655" s="42"/>
      <c r="C655" s="42"/>
      <c r="D655" s="42"/>
      <c r="E655" s="42"/>
      <c r="F655" s="42"/>
      <c r="G655" s="42"/>
      <c r="H655" s="63"/>
      <c r="I655" s="42"/>
      <c r="J655" s="42"/>
      <c r="K655" s="42"/>
      <c r="L655" s="42"/>
      <c r="M655" s="42"/>
      <c r="N655" s="42"/>
      <c r="O655" s="42"/>
      <c r="P655" s="42"/>
      <c r="Q655" s="42"/>
      <c r="R655" s="42"/>
      <c r="S655" s="42"/>
      <c r="T655" s="42"/>
      <c r="U655" s="42"/>
      <c r="V655" s="42"/>
      <c r="W655" s="42"/>
      <c r="X655" s="42"/>
      <c r="Y655" s="42"/>
      <c r="Z655" s="42"/>
    </row>
    <row r="656" ht="15.75" customHeight="1">
      <c r="A656" s="42"/>
      <c r="B656" s="42"/>
      <c r="C656" s="42"/>
      <c r="D656" s="42"/>
      <c r="E656" s="42"/>
      <c r="F656" s="42"/>
      <c r="G656" s="42"/>
      <c r="H656" s="63"/>
      <c r="I656" s="42"/>
      <c r="J656" s="42"/>
      <c r="K656" s="42"/>
      <c r="L656" s="42"/>
      <c r="M656" s="42"/>
      <c r="N656" s="42"/>
      <c r="O656" s="42"/>
      <c r="P656" s="42"/>
      <c r="Q656" s="42"/>
      <c r="R656" s="42"/>
      <c r="S656" s="42"/>
      <c r="T656" s="42"/>
      <c r="U656" s="42"/>
      <c r="V656" s="42"/>
      <c r="W656" s="42"/>
      <c r="X656" s="42"/>
      <c r="Y656" s="42"/>
      <c r="Z656" s="42"/>
    </row>
    <row r="657" ht="15.75" customHeight="1">
      <c r="A657" s="42"/>
      <c r="B657" s="42"/>
      <c r="C657" s="42"/>
      <c r="D657" s="42"/>
      <c r="E657" s="42"/>
      <c r="F657" s="42"/>
      <c r="G657" s="42"/>
      <c r="H657" s="63"/>
      <c r="I657" s="42"/>
      <c r="J657" s="42"/>
      <c r="K657" s="42"/>
      <c r="L657" s="42"/>
      <c r="M657" s="42"/>
      <c r="N657" s="42"/>
      <c r="O657" s="42"/>
      <c r="P657" s="42"/>
      <c r="Q657" s="42"/>
      <c r="R657" s="42"/>
      <c r="S657" s="42"/>
      <c r="T657" s="42"/>
      <c r="U657" s="42"/>
      <c r="V657" s="42"/>
      <c r="W657" s="42"/>
      <c r="X657" s="42"/>
      <c r="Y657" s="42"/>
      <c r="Z657" s="42"/>
    </row>
    <row r="658" ht="15.75" customHeight="1">
      <c r="A658" s="42"/>
      <c r="B658" s="42"/>
      <c r="C658" s="42"/>
      <c r="D658" s="42"/>
      <c r="E658" s="42"/>
      <c r="F658" s="42"/>
      <c r="G658" s="42"/>
      <c r="H658" s="63"/>
      <c r="I658" s="42"/>
      <c r="J658" s="42"/>
      <c r="K658" s="42"/>
      <c r="L658" s="42"/>
      <c r="M658" s="42"/>
      <c r="N658" s="42"/>
      <c r="O658" s="42"/>
      <c r="P658" s="42"/>
      <c r="Q658" s="42"/>
      <c r="R658" s="42"/>
      <c r="S658" s="42"/>
      <c r="T658" s="42"/>
      <c r="U658" s="42"/>
      <c r="V658" s="42"/>
      <c r="W658" s="42"/>
      <c r="X658" s="42"/>
      <c r="Y658" s="42"/>
      <c r="Z658" s="42"/>
    </row>
    <row r="659" ht="15.75" customHeight="1">
      <c r="A659" s="42"/>
      <c r="B659" s="42"/>
      <c r="C659" s="42"/>
      <c r="D659" s="42"/>
      <c r="E659" s="42"/>
      <c r="F659" s="42"/>
      <c r="G659" s="42"/>
      <c r="H659" s="63"/>
      <c r="I659" s="42"/>
      <c r="J659" s="42"/>
      <c r="K659" s="42"/>
      <c r="L659" s="42"/>
      <c r="M659" s="42"/>
      <c r="N659" s="42"/>
      <c r="O659" s="42"/>
      <c r="P659" s="42"/>
      <c r="Q659" s="42"/>
      <c r="R659" s="42"/>
      <c r="S659" s="42"/>
      <c r="T659" s="42"/>
      <c r="U659" s="42"/>
      <c r="V659" s="42"/>
      <c r="W659" s="42"/>
      <c r="X659" s="42"/>
      <c r="Y659" s="42"/>
      <c r="Z659" s="42"/>
    </row>
    <row r="660" ht="15.75" customHeight="1">
      <c r="A660" s="42"/>
      <c r="B660" s="42"/>
      <c r="C660" s="42"/>
      <c r="D660" s="42"/>
      <c r="E660" s="42"/>
      <c r="F660" s="42"/>
      <c r="G660" s="42"/>
      <c r="H660" s="63"/>
      <c r="I660" s="42"/>
      <c r="J660" s="42"/>
      <c r="K660" s="42"/>
      <c r="L660" s="42"/>
      <c r="M660" s="42"/>
      <c r="N660" s="42"/>
      <c r="O660" s="42"/>
      <c r="P660" s="42"/>
      <c r="Q660" s="42"/>
      <c r="R660" s="42"/>
      <c r="S660" s="42"/>
      <c r="T660" s="42"/>
      <c r="U660" s="42"/>
      <c r="V660" s="42"/>
      <c r="W660" s="42"/>
      <c r="X660" s="42"/>
      <c r="Y660" s="42"/>
      <c r="Z660" s="42"/>
    </row>
    <row r="661" ht="15.75" customHeight="1">
      <c r="A661" s="42"/>
      <c r="B661" s="42"/>
      <c r="C661" s="42"/>
      <c r="D661" s="42"/>
      <c r="E661" s="42"/>
      <c r="F661" s="42"/>
      <c r="G661" s="42"/>
      <c r="H661" s="63"/>
      <c r="I661" s="42"/>
      <c r="J661" s="42"/>
      <c r="K661" s="42"/>
      <c r="L661" s="42"/>
      <c r="M661" s="42"/>
      <c r="N661" s="42"/>
      <c r="O661" s="42"/>
      <c r="P661" s="42"/>
      <c r="Q661" s="42"/>
      <c r="R661" s="42"/>
      <c r="S661" s="42"/>
      <c r="T661" s="42"/>
      <c r="U661" s="42"/>
      <c r="V661" s="42"/>
      <c r="W661" s="42"/>
      <c r="X661" s="42"/>
      <c r="Y661" s="42"/>
      <c r="Z661" s="42"/>
    </row>
    <row r="662" ht="15.75" customHeight="1">
      <c r="A662" s="42"/>
      <c r="B662" s="42"/>
      <c r="C662" s="42"/>
      <c r="D662" s="42"/>
      <c r="E662" s="42"/>
      <c r="F662" s="42"/>
      <c r="G662" s="42"/>
      <c r="H662" s="63"/>
      <c r="I662" s="42"/>
      <c r="J662" s="42"/>
      <c r="K662" s="42"/>
      <c r="L662" s="42"/>
      <c r="M662" s="42"/>
      <c r="N662" s="42"/>
      <c r="O662" s="42"/>
      <c r="P662" s="42"/>
      <c r="Q662" s="42"/>
      <c r="R662" s="42"/>
      <c r="S662" s="42"/>
      <c r="T662" s="42"/>
      <c r="U662" s="42"/>
      <c r="V662" s="42"/>
      <c r="W662" s="42"/>
      <c r="X662" s="42"/>
      <c r="Y662" s="42"/>
      <c r="Z662" s="42"/>
    </row>
    <row r="663" ht="15.75" customHeight="1">
      <c r="A663" s="42"/>
      <c r="B663" s="42"/>
      <c r="C663" s="42"/>
      <c r="D663" s="42"/>
      <c r="E663" s="42"/>
      <c r="F663" s="42"/>
      <c r="G663" s="42"/>
      <c r="H663" s="63"/>
      <c r="I663" s="42"/>
      <c r="J663" s="42"/>
      <c r="K663" s="42"/>
      <c r="L663" s="42"/>
      <c r="M663" s="42"/>
      <c r="N663" s="42"/>
      <c r="O663" s="42"/>
      <c r="P663" s="42"/>
      <c r="Q663" s="42"/>
      <c r="R663" s="42"/>
      <c r="S663" s="42"/>
      <c r="T663" s="42"/>
      <c r="U663" s="42"/>
      <c r="V663" s="42"/>
      <c r="W663" s="42"/>
      <c r="X663" s="42"/>
      <c r="Y663" s="42"/>
      <c r="Z663" s="42"/>
    </row>
    <row r="664" ht="15.75" customHeight="1">
      <c r="A664" s="42"/>
      <c r="B664" s="42"/>
      <c r="C664" s="42"/>
      <c r="D664" s="42"/>
      <c r="E664" s="42"/>
      <c r="F664" s="42"/>
      <c r="G664" s="42"/>
      <c r="H664" s="63"/>
      <c r="I664" s="42"/>
      <c r="J664" s="42"/>
      <c r="K664" s="42"/>
      <c r="L664" s="42"/>
      <c r="M664" s="42"/>
      <c r="N664" s="42"/>
      <c r="O664" s="42"/>
      <c r="P664" s="42"/>
      <c r="Q664" s="42"/>
      <c r="R664" s="42"/>
      <c r="S664" s="42"/>
      <c r="T664" s="42"/>
      <c r="U664" s="42"/>
      <c r="V664" s="42"/>
      <c r="W664" s="42"/>
      <c r="X664" s="42"/>
      <c r="Y664" s="42"/>
      <c r="Z664" s="42"/>
    </row>
    <row r="665" ht="15.75" customHeight="1">
      <c r="A665" s="42"/>
      <c r="B665" s="42"/>
      <c r="C665" s="42"/>
      <c r="D665" s="42"/>
      <c r="E665" s="42"/>
      <c r="F665" s="42"/>
      <c r="G665" s="42"/>
      <c r="H665" s="63"/>
      <c r="I665" s="42"/>
      <c r="J665" s="42"/>
      <c r="K665" s="42"/>
      <c r="L665" s="42"/>
      <c r="M665" s="42"/>
      <c r="N665" s="42"/>
      <c r="O665" s="42"/>
      <c r="P665" s="42"/>
      <c r="Q665" s="42"/>
      <c r="R665" s="42"/>
      <c r="S665" s="42"/>
      <c r="T665" s="42"/>
      <c r="U665" s="42"/>
      <c r="V665" s="42"/>
      <c r="W665" s="42"/>
      <c r="X665" s="42"/>
      <c r="Y665" s="42"/>
      <c r="Z665" s="42"/>
    </row>
    <row r="666" ht="15.75" customHeight="1">
      <c r="A666" s="42"/>
      <c r="B666" s="42"/>
      <c r="C666" s="42"/>
      <c r="D666" s="42"/>
      <c r="E666" s="42"/>
      <c r="F666" s="42"/>
      <c r="G666" s="42"/>
      <c r="H666" s="63"/>
      <c r="I666" s="42"/>
      <c r="J666" s="42"/>
      <c r="K666" s="42"/>
      <c r="L666" s="42"/>
      <c r="M666" s="42"/>
      <c r="N666" s="42"/>
      <c r="O666" s="42"/>
      <c r="P666" s="42"/>
      <c r="Q666" s="42"/>
      <c r="R666" s="42"/>
      <c r="S666" s="42"/>
      <c r="T666" s="42"/>
      <c r="U666" s="42"/>
      <c r="V666" s="42"/>
      <c r="W666" s="42"/>
      <c r="X666" s="42"/>
      <c r="Y666" s="42"/>
      <c r="Z666" s="42"/>
    </row>
    <row r="667" ht="15.75" customHeight="1">
      <c r="A667" s="42"/>
      <c r="B667" s="42"/>
      <c r="C667" s="42"/>
      <c r="D667" s="42"/>
      <c r="E667" s="42"/>
      <c r="F667" s="42"/>
      <c r="G667" s="42"/>
      <c r="H667" s="63"/>
      <c r="I667" s="42"/>
      <c r="J667" s="42"/>
      <c r="K667" s="42"/>
      <c r="L667" s="42"/>
      <c r="M667" s="42"/>
      <c r="N667" s="42"/>
      <c r="O667" s="42"/>
      <c r="P667" s="42"/>
      <c r="Q667" s="42"/>
      <c r="R667" s="42"/>
      <c r="S667" s="42"/>
      <c r="T667" s="42"/>
      <c r="U667" s="42"/>
      <c r="V667" s="42"/>
      <c r="W667" s="42"/>
      <c r="X667" s="42"/>
      <c r="Y667" s="42"/>
      <c r="Z667" s="42"/>
    </row>
    <row r="668" ht="15.75" customHeight="1">
      <c r="A668" s="42"/>
      <c r="B668" s="42"/>
      <c r="C668" s="42"/>
      <c r="D668" s="42"/>
      <c r="E668" s="42"/>
      <c r="F668" s="42"/>
      <c r="G668" s="42"/>
      <c r="H668" s="63"/>
      <c r="I668" s="42"/>
      <c r="J668" s="42"/>
      <c r="K668" s="42"/>
      <c r="L668" s="42"/>
      <c r="M668" s="42"/>
      <c r="N668" s="42"/>
      <c r="O668" s="42"/>
      <c r="P668" s="42"/>
      <c r="Q668" s="42"/>
      <c r="R668" s="42"/>
      <c r="S668" s="42"/>
      <c r="T668" s="42"/>
      <c r="U668" s="42"/>
      <c r="V668" s="42"/>
      <c r="W668" s="42"/>
      <c r="X668" s="42"/>
      <c r="Y668" s="42"/>
      <c r="Z668" s="42"/>
    </row>
    <row r="669" ht="15.75" customHeight="1">
      <c r="A669" s="42"/>
      <c r="B669" s="42"/>
      <c r="C669" s="42"/>
      <c r="D669" s="42"/>
      <c r="E669" s="42"/>
      <c r="F669" s="42"/>
      <c r="G669" s="42"/>
      <c r="H669" s="63"/>
      <c r="I669" s="42"/>
      <c r="J669" s="42"/>
      <c r="K669" s="42"/>
      <c r="L669" s="42"/>
      <c r="M669" s="42"/>
      <c r="N669" s="42"/>
      <c r="O669" s="42"/>
      <c r="P669" s="42"/>
      <c r="Q669" s="42"/>
      <c r="R669" s="42"/>
      <c r="S669" s="42"/>
      <c r="T669" s="42"/>
      <c r="U669" s="42"/>
      <c r="V669" s="42"/>
      <c r="W669" s="42"/>
      <c r="X669" s="42"/>
      <c r="Y669" s="42"/>
      <c r="Z669" s="42"/>
    </row>
    <row r="670" ht="15.75" customHeight="1">
      <c r="A670" s="42"/>
      <c r="B670" s="42"/>
      <c r="C670" s="42"/>
      <c r="D670" s="42"/>
      <c r="E670" s="42"/>
      <c r="F670" s="42"/>
      <c r="G670" s="42"/>
      <c r="H670" s="63"/>
      <c r="I670" s="42"/>
      <c r="J670" s="42"/>
      <c r="K670" s="42"/>
      <c r="L670" s="42"/>
      <c r="M670" s="42"/>
      <c r="N670" s="42"/>
      <c r="O670" s="42"/>
      <c r="P670" s="42"/>
      <c r="Q670" s="42"/>
      <c r="R670" s="42"/>
      <c r="S670" s="42"/>
      <c r="T670" s="42"/>
      <c r="U670" s="42"/>
      <c r="V670" s="42"/>
      <c r="W670" s="42"/>
      <c r="X670" s="42"/>
      <c r="Y670" s="42"/>
      <c r="Z670" s="42"/>
    </row>
    <row r="671" ht="15.75" customHeight="1">
      <c r="A671" s="42"/>
      <c r="B671" s="42"/>
      <c r="C671" s="42"/>
      <c r="D671" s="42"/>
      <c r="E671" s="42"/>
      <c r="F671" s="42"/>
      <c r="G671" s="42"/>
      <c r="H671" s="63"/>
      <c r="I671" s="42"/>
      <c r="J671" s="42"/>
      <c r="K671" s="42"/>
      <c r="L671" s="42"/>
      <c r="M671" s="42"/>
      <c r="N671" s="42"/>
      <c r="O671" s="42"/>
      <c r="P671" s="42"/>
      <c r="Q671" s="42"/>
      <c r="R671" s="42"/>
      <c r="S671" s="42"/>
      <c r="T671" s="42"/>
      <c r="U671" s="42"/>
      <c r="V671" s="42"/>
      <c r="W671" s="42"/>
      <c r="X671" s="42"/>
      <c r="Y671" s="42"/>
      <c r="Z671" s="42"/>
    </row>
    <row r="672" ht="15.75" customHeight="1">
      <c r="A672" s="42"/>
      <c r="B672" s="42"/>
      <c r="C672" s="42"/>
      <c r="D672" s="42"/>
      <c r="E672" s="42"/>
      <c r="F672" s="42"/>
      <c r="G672" s="42"/>
      <c r="H672" s="63"/>
      <c r="I672" s="42"/>
      <c r="J672" s="42"/>
      <c r="K672" s="42"/>
      <c r="L672" s="42"/>
      <c r="M672" s="42"/>
      <c r="N672" s="42"/>
      <c r="O672" s="42"/>
      <c r="P672" s="42"/>
      <c r="Q672" s="42"/>
      <c r="R672" s="42"/>
      <c r="S672" s="42"/>
      <c r="T672" s="42"/>
      <c r="U672" s="42"/>
      <c r="V672" s="42"/>
      <c r="W672" s="42"/>
      <c r="X672" s="42"/>
      <c r="Y672" s="42"/>
      <c r="Z672" s="42"/>
    </row>
    <row r="673" ht="15.75" customHeight="1">
      <c r="A673" s="42"/>
      <c r="B673" s="42"/>
      <c r="C673" s="42"/>
      <c r="D673" s="42"/>
      <c r="E673" s="42"/>
      <c r="F673" s="42"/>
      <c r="G673" s="42"/>
      <c r="H673" s="63"/>
      <c r="I673" s="42"/>
      <c r="J673" s="42"/>
      <c r="K673" s="42"/>
      <c r="L673" s="42"/>
      <c r="M673" s="42"/>
      <c r="N673" s="42"/>
      <c r="O673" s="42"/>
      <c r="P673" s="42"/>
      <c r="Q673" s="42"/>
      <c r="R673" s="42"/>
      <c r="S673" s="42"/>
      <c r="T673" s="42"/>
      <c r="U673" s="42"/>
      <c r="V673" s="42"/>
      <c r="W673" s="42"/>
      <c r="X673" s="42"/>
      <c r="Y673" s="42"/>
      <c r="Z673" s="42"/>
    </row>
    <row r="674" ht="15.75" customHeight="1">
      <c r="A674" s="42"/>
      <c r="B674" s="42"/>
      <c r="C674" s="42"/>
      <c r="D674" s="42"/>
      <c r="E674" s="42"/>
      <c r="F674" s="42"/>
      <c r="G674" s="42"/>
      <c r="H674" s="63"/>
      <c r="I674" s="42"/>
      <c r="J674" s="42"/>
      <c r="K674" s="42"/>
      <c r="L674" s="42"/>
      <c r="M674" s="42"/>
      <c r="N674" s="42"/>
      <c r="O674" s="42"/>
      <c r="P674" s="42"/>
      <c r="Q674" s="42"/>
      <c r="R674" s="42"/>
      <c r="S674" s="42"/>
      <c r="T674" s="42"/>
      <c r="U674" s="42"/>
      <c r="V674" s="42"/>
      <c r="W674" s="42"/>
      <c r="X674" s="42"/>
      <c r="Y674" s="42"/>
      <c r="Z674" s="42"/>
    </row>
    <row r="675" ht="15.75" customHeight="1">
      <c r="A675" s="42"/>
      <c r="B675" s="42"/>
      <c r="C675" s="42"/>
      <c r="D675" s="42"/>
      <c r="E675" s="42"/>
      <c r="F675" s="42"/>
      <c r="G675" s="42"/>
      <c r="H675" s="63"/>
      <c r="I675" s="42"/>
      <c r="J675" s="42"/>
      <c r="K675" s="42"/>
      <c r="L675" s="42"/>
      <c r="M675" s="42"/>
      <c r="N675" s="42"/>
      <c r="O675" s="42"/>
      <c r="P675" s="42"/>
      <c r="Q675" s="42"/>
      <c r="R675" s="42"/>
      <c r="S675" s="42"/>
      <c r="T675" s="42"/>
      <c r="U675" s="42"/>
      <c r="V675" s="42"/>
      <c r="W675" s="42"/>
      <c r="X675" s="42"/>
      <c r="Y675" s="42"/>
      <c r="Z675" s="42"/>
    </row>
    <row r="676" ht="15.75" customHeight="1">
      <c r="A676" s="42"/>
      <c r="B676" s="42"/>
      <c r="C676" s="42"/>
      <c r="D676" s="42"/>
      <c r="E676" s="42"/>
      <c r="F676" s="42"/>
      <c r="G676" s="42"/>
      <c r="H676" s="63"/>
      <c r="I676" s="42"/>
      <c r="J676" s="42"/>
      <c r="K676" s="42"/>
      <c r="L676" s="42"/>
      <c r="M676" s="42"/>
      <c r="N676" s="42"/>
      <c r="O676" s="42"/>
      <c r="P676" s="42"/>
      <c r="Q676" s="42"/>
      <c r="R676" s="42"/>
      <c r="S676" s="42"/>
      <c r="T676" s="42"/>
      <c r="U676" s="42"/>
      <c r="V676" s="42"/>
      <c r="W676" s="42"/>
      <c r="X676" s="42"/>
      <c r="Y676" s="42"/>
      <c r="Z676" s="42"/>
    </row>
    <row r="677" ht="15.75" customHeight="1">
      <c r="A677" s="42"/>
      <c r="B677" s="42"/>
      <c r="C677" s="42"/>
      <c r="D677" s="42"/>
      <c r="E677" s="42"/>
      <c r="F677" s="42"/>
      <c r="G677" s="42"/>
      <c r="H677" s="63"/>
      <c r="I677" s="42"/>
      <c r="J677" s="42"/>
      <c r="K677" s="42"/>
      <c r="L677" s="42"/>
      <c r="M677" s="42"/>
      <c r="N677" s="42"/>
      <c r="O677" s="42"/>
      <c r="P677" s="42"/>
      <c r="Q677" s="42"/>
      <c r="R677" s="42"/>
      <c r="S677" s="42"/>
      <c r="T677" s="42"/>
      <c r="U677" s="42"/>
      <c r="V677" s="42"/>
      <c r="W677" s="42"/>
      <c r="X677" s="42"/>
      <c r="Y677" s="42"/>
      <c r="Z677" s="42"/>
    </row>
    <row r="678" ht="15.75" customHeight="1">
      <c r="A678" s="42"/>
      <c r="B678" s="42"/>
      <c r="C678" s="42"/>
      <c r="D678" s="42"/>
      <c r="E678" s="42"/>
      <c r="F678" s="42"/>
      <c r="G678" s="42"/>
      <c r="H678" s="63"/>
      <c r="I678" s="42"/>
      <c r="J678" s="42"/>
      <c r="K678" s="42"/>
      <c r="L678" s="42"/>
      <c r="M678" s="42"/>
      <c r="N678" s="42"/>
      <c r="O678" s="42"/>
      <c r="P678" s="42"/>
      <c r="Q678" s="42"/>
      <c r="R678" s="42"/>
      <c r="S678" s="42"/>
      <c r="T678" s="42"/>
      <c r="U678" s="42"/>
      <c r="V678" s="42"/>
      <c r="W678" s="42"/>
      <c r="X678" s="42"/>
      <c r="Y678" s="42"/>
      <c r="Z678" s="42"/>
    </row>
    <row r="679" ht="15.75" customHeight="1">
      <c r="A679" s="42"/>
      <c r="B679" s="42"/>
      <c r="C679" s="42"/>
      <c r="D679" s="42"/>
      <c r="E679" s="42"/>
      <c r="F679" s="42"/>
      <c r="G679" s="42"/>
      <c r="H679" s="63"/>
      <c r="I679" s="42"/>
      <c r="J679" s="42"/>
      <c r="K679" s="42"/>
      <c r="L679" s="42"/>
      <c r="M679" s="42"/>
      <c r="N679" s="42"/>
      <c r="O679" s="42"/>
      <c r="P679" s="42"/>
      <c r="Q679" s="42"/>
      <c r="R679" s="42"/>
      <c r="S679" s="42"/>
      <c r="T679" s="42"/>
      <c r="U679" s="42"/>
      <c r="V679" s="42"/>
      <c r="W679" s="42"/>
      <c r="X679" s="42"/>
      <c r="Y679" s="42"/>
      <c r="Z679" s="42"/>
    </row>
    <row r="680" ht="15.75" customHeight="1">
      <c r="A680" s="42"/>
      <c r="B680" s="42"/>
      <c r="C680" s="42"/>
      <c r="D680" s="42"/>
      <c r="E680" s="42"/>
      <c r="F680" s="42"/>
      <c r="G680" s="42"/>
      <c r="H680" s="63"/>
      <c r="I680" s="42"/>
      <c r="J680" s="42"/>
      <c r="K680" s="42"/>
      <c r="L680" s="42"/>
      <c r="M680" s="42"/>
      <c r="N680" s="42"/>
      <c r="O680" s="42"/>
      <c r="P680" s="42"/>
      <c r="Q680" s="42"/>
      <c r="R680" s="42"/>
      <c r="S680" s="42"/>
      <c r="T680" s="42"/>
      <c r="U680" s="42"/>
      <c r="V680" s="42"/>
      <c r="W680" s="42"/>
      <c r="X680" s="42"/>
      <c r="Y680" s="42"/>
      <c r="Z680" s="42"/>
    </row>
    <row r="681" ht="15.75" customHeight="1">
      <c r="A681" s="42"/>
      <c r="B681" s="42"/>
      <c r="C681" s="42"/>
      <c r="D681" s="42"/>
      <c r="E681" s="42"/>
      <c r="F681" s="42"/>
      <c r="G681" s="42"/>
      <c r="H681" s="63"/>
      <c r="I681" s="42"/>
      <c r="J681" s="42"/>
      <c r="K681" s="42"/>
      <c r="L681" s="42"/>
      <c r="M681" s="42"/>
      <c r="N681" s="42"/>
      <c r="O681" s="42"/>
      <c r="P681" s="42"/>
      <c r="Q681" s="42"/>
      <c r="R681" s="42"/>
      <c r="S681" s="42"/>
      <c r="T681" s="42"/>
      <c r="U681" s="42"/>
      <c r="V681" s="42"/>
      <c r="W681" s="42"/>
      <c r="X681" s="42"/>
      <c r="Y681" s="42"/>
      <c r="Z681" s="42"/>
    </row>
    <row r="682" ht="15.75" customHeight="1">
      <c r="A682" s="42"/>
      <c r="B682" s="42"/>
      <c r="C682" s="42"/>
      <c r="D682" s="42"/>
      <c r="E682" s="42"/>
      <c r="F682" s="42"/>
      <c r="G682" s="42"/>
      <c r="H682" s="63"/>
      <c r="I682" s="42"/>
      <c r="J682" s="42"/>
      <c r="K682" s="42"/>
      <c r="L682" s="42"/>
      <c r="M682" s="42"/>
      <c r="N682" s="42"/>
      <c r="O682" s="42"/>
      <c r="P682" s="42"/>
      <c r="Q682" s="42"/>
      <c r="R682" s="42"/>
      <c r="S682" s="42"/>
      <c r="T682" s="42"/>
      <c r="U682" s="42"/>
      <c r="V682" s="42"/>
      <c r="W682" s="42"/>
      <c r="X682" s="42"/>
      <c r="Y682" s="42"/>
      <c r="Z682" s="42"/>
    </row>
    <row r="683" ht="15.75" customHeight="1">
      <c r="A683" s="42"/>
      <c r="B683" s="42"/>
      <c r="C683" s="42"/>
      <c r="D683" s="42"/>
      <c r="E683" s="42"/>
      <c r="F683" s="42"/>
      <c r="G683" s="42"/>
      <c r="H683" s="63"/>
      <c r="I683" s="42"/>
      <c r="J683" s="42"/>
      <c r="K683" s="42"/>
      <c r="L683" s="42"/>
      <c r="M683" s="42"/>
      <c r="N683" s="42"/>
      <c r="O683" s="42"/>
      <c r="P683" s="42"/>
      <c r="Q683" s="42"/>
      <c r="R683" s="42"/>
      <c r="S683" s="42"/>
      <c r="T683" s="42"/>
      <c r="U683" s="42"/>
      <c r="V683" s="42"/>
      <c r="W683" s="42"/>
      <c r="X683" s="42"/>
      <c r="Y683" s="42"/>
      <c r="Z683" s="42"/>
    </row>
    <row r="684" ht="15.75" customHeight="1">
      <c r="A684" s="42"/>
      <c r="B684" s="42"/>
      <c r="C684" s="42"/>
      <c r="D684" s="42"/>
      <c r="E684" s="42"/>
      <c r="F684" s="42"/>
      <c r="G684" s="42"/>
      <c r="H684" s="63"/>
      <c r="I684" s="42"/>
      <c r="J684" s="42"/>
      <c r="K684" s="42"/>
      <c r="L684" s="42"/>
      <c r="M684" s="42"/>
      <c r="N684" s="42"/>
      <c r="O684" s="42"/>
      <c r="P684" s="42"/>
      <c r="Q684" s="42"/>
      <c r="R684" s="42"/>
      <c r="S684" s="42"/>
      <c r="T684" s="42"/>
      <c r="U684" s="42"/>
      <c r="V684" s="42"/>
      <c r="W684" s="42"/>
      <c r="X684" s="42"/>
      <c r="Y684" s="42"/>
      <c r="Z684" s="42"/>
    </row>
    <row r="685" ht="15.75" customHeight="1">
      <c r="A685" s="42"/>
      <c r="B685" s="42"/>
      <c r="C685" s="42"/>
      <c r="D685" s="42"/>
      <c r="E685" s="42"/>
      <c r="F685" s="42"/>
      <c r="G685" s="42"/>
      <c r="H685" s="63"/>
      <c r="I685" s="42"/>
      <c r="J685" s="42"/>
      <c r="K685" s="42"/>
      <c r="L685" s="42"/>
      <c r="M685" s="42"/>
      <c r="N685" s="42"/>
      <c r="O685" s="42"/>
      <c r="P685" s="42"/>
      <c r="Q685" s="42"/>
      <c r="R685" s="42"/>
      <c r="S685" s="42"/>
      <c r="T685" s="42"/>
      <c r="U685" s="42"/>
      <c r="V685" s="42"/>
      <c r="W685" s="42"/>
      <c r="X685" s="42"/>
      <c r="Y685" s="42"/>
      <c r="Z685" s="42"/>
    </row>
    <row r="686" ht="15.75" customHeight="1">
      <c r="A686" s="42"/>
      <c r="B686" s="42"/>
      <c r="C686" s="42"/>
      <c r="D686" s="42"/>
      <c r="E686" s="42"/>
      <c r="F686" s="42"/>
      <c r="G686" s="42"/>
      <c r="H686" s="63"/>
      <c r="I686" s="42"/>
      <c r="J686" s="42"/>
      <c r="K686" s="42"/>
      <c r="L686" s="42"/>
      <c r="M686" s="42"/>
      <c r="N686" s="42"/>
      <c r="O686" s="42"/>
      <c r="P686" s="42"/>
      <c r="Q686" s="42"/>
      <c r="R686" s="42"/>
      <c r="S686" s="42"/>
      <c r="T686" s="42"/>
      <c r="U686" s="42"/>
      <c r="V686" s="42"/>
      <c r="W686" s="42"/>
      <c r="X686" s="42"/>
      <c r="Y686" s="42"/>
      <c r="Z686" s="42"/>
    </row>
    <row r="687" ht="15.75" customHeight="1">
      <c r="A687" s="42"/>
      <c r="B687" s="42"/>
      <c r="C687" s="42"/>
      <c r="D687" s="42"/>
      <c r="E687" s="42"/>
      <c r="F687" s="42"/>
      <c r="G687" s="42"/>
      <c r="H687" s="63"/>
      <c r="I687" s="42"/>
      <c r="J687" s="42"/>
      <c r="K687" s="42"/>
      <c r="L687" s="42"/>
      <c r="M687" s="42"/>
      <c r="N687" s="42"/>
      <c r="O687" s="42"/>
      <c r="P687" s="42"/>
      <c r="Q687" s="42"/>
      <c r="R687" s="42"/>
      <c r="S687" s="42"/>
      <c r="T687" s="42"/>
      <c r="U687" s="42"/>
      <c r="V687" s="42"/>
      <c r="W687" s="42"/>
      <c r="X687" s="42"/>
      <c r="Y687" s="42"/>
      <c r="Z687" s="42"/>
    </row>
    <row r="688" ht="15.75" customHeight="1">
      <c r="A688" s="42"/>
      <c r="B688" s="42"/>
      <c r="C688" s="42"/>
      <c r="D688" s="42"/>
      <c r="E688" s="42"/>
      <c r="F688" s="42"/>
      <c r="G688" s="42"/>
      <c r="H688" s="63"/>
      <c r="I688" s="42"/>
      <c r="J688" s="42"/>
      <c r="K688" s="42"/>
      <c r="L688" s="42"/>
      <c r="M688" s="42"/>
      <c r="N688" s="42"/>
      <c r="O688" s="42"/>
      <c r="P688" s="42"/>
      <c r="Q688" s="42"/>
      <c r="R688" s="42"/>
      <c r="S688" s="42"/>
      <c r="T688" s="42"/>
      <c r="U688" s="42"/>
      <c r="V688" s="42"/>
      <c r="W688" s="42"/>
      <c r="X688" s="42"/>
      <c r="Y688" s="42"/>
      <c r="Z688" s="42"/>
    </row>
    <row r="689" ht="15.75" customHeight="1">
      <c r="A689" s="42"/>
      <c r="B689" s="42"/>
      <c r="C689" s="42"/>
      <c r="D689" s="42"/>
      <c r="E689" s="42"/>
      <c r="F689" s="42"/>
      <c r="G689" s="42"/>
      <c r="H689" s="63"/>
      <c r="I689" s="42"/>
      <c r="J689" s="42"/>
      <c r="K689" s="42"/>
      <c r="L689" s="42"/>
      <c r="M689" s="42"/>
      <c r="N689" s="42"/>
      <c r="O689" s="42"/>
      <c r="P689" s="42"/>
      <c r="Q689" s="42"/>
      <c r="R689" s="42"/>
      <c r="S689" s="42"/>
      <c r="T689" s="42"/>
      <c r="U689" s="42"/>
      <c r="V689" s="42"/>
      <c r="W689" s="42"/>
      <c r="X689" s="42"/>
      <c r="Y689" s="42"/>
      <c r="Z689" s="42"/>
    </row>
    <row r="690" ht="15.75" customHeight="1">
      <c r="A690" s="42"/>
      <c r="B690" s="42"/>
      <c r="C690" s="42"/>
      <c r="D690" s="42"/>
      <c r="E690" s="42"/>
      <c r="F690" s="42"/>
      <c r="G690" s="42"/>
      <c r="H690" s="63"/>
      <c r="I690" s="42"/>
      <c r="J690" s="42"/>
      <c r="K690" s="42"/>
      <c r="L690" s="42"/>
      <c r="M690" s="42"/>
      <c r="N690" s="42"/>
      <c r="O690" s="42"/>
      <c r="P690" s="42"/>
      <c r="Q690" s="42"/>
      <c r="R690" s="42"/>
      <c r="S690" s="42"/>
      <c r="T690" s="42"/>
      <c r="U690" s="42"/>
      <c r="V690" s="42"/>
      <c r="W690" s="42"/>
      <c r="X690" s="42"/>
      <c r="Y690" s="42"/>
      <c r="Z690" s="42"/>
    </row>
    <row r="691" ht="15.75" customHeight="1">
      <c r="A691" s="42"/>
      <c r="B691" s="42"/>
      <c r="C691" s="42"/>
      <c r="D691" s="42"/>
      <c r="E691" s="42"/>
      <c r="F691" s="42"/>
      <c r="G691" s="42"/>
      <c r="H691" s="63"/>
      <c r="I691" s="42"/>
      <c r="J691" s="42"/>
      <c r="K691" s="42"/>
      <c r="L691" s="42"/>
      <c r="M691" s="42"/>
      <c r="N691" s="42"/>
      <c r="O691" s="42"/>
      <c r="P691" s="42"/>
      <c r="Q691" s="42"/>
      <c r="R691" s="42"/>
      <c r="S691" s="42"/>
      <c r="T691" s="42"/>
      <c r="U691" s="42"/>
      <c r="V691" s="42"/>
      <c r="W691" s="42"/>
      <c r="X691" s="42"/>
      <c r="Y691" s="42"/>
      <c r="Z691" s="42"/>
    </row>
    <row r="692" ht="15.75" customHeight="1">
      <c r="A692" s="42"/>
      <c r="B692" s="42"/>
      <c r="C692" s="42"/>
      <c r="D692" s="42"/>
      <c r="E692" s="42"/>
      <c r="F692" s="42"/>
      <c r="G692" s="42"/>
      <c r="H692" s="63"/>
      <c r="I692" s="42"/>
      <c r="J692" s="42"/>
      <c r="K692" s="42"/>
      <c r="L692" s="42"/>
      <c r="M692" s="42"/>
      <c r="N692" s="42"/>
      <c r="O692" s="42"/>
      <c r="P692" s="42"/>
      <c r="Q692" s="42"/>
      <c r="R692" s="42"/>
      <c r="S692" s="42"/>
      <c r="T692" s="42"/>
      <c r="U692" s="42"/>
      <c r="V692" s="42"/>
      <c r="W692" s="42"/>
      <c r="X692" s="42"/>
      <c r="Y692" s="42"/>
      <c r="Z692" s="42"/>
    </row>
    <row r="693" ht="15.75" customHeight="1">
      <c r="A693" s="42"/>
      <c r="B693" s="42"/>
      <c r="C693" s="42"/>
      <c r="D693" s="42"/>
      <c r="E693" s="42"/>
      <c r="F693" s="42"/>
      <c r="G693" s="42"/>
      <c r="H693" s="63"/>
      <c r="I693" s="42"/>
      <c r="J693" s="42"/>
      <c r="K693" s="42"/>
      <c r="L693" s="42"/>
      <c r="M693" s="42"/>
      <c r="N693" s="42"/>
      <c r="O693" s="42"/>
      <c r="P693" s="42"/>
      <c r="Q693" s="42"/>
      <c r="R693" s="42"/>
      <c r="S693" s="42"/>
      <c r="T693" s="42"/>
      <c r="U693" s="42"/>
      <c r="V693" s="42"/>
      <c r="W693" s="42"/>
      <c r="X693" s="42"/>
      <c r="Y693" s="42"/>
      <c r="Z693" s="42"/>
    </row>
    <row r="694" ht="15.75" customHeight="1">
      <c r="A694" s="42"/>
      <c r="B694" s="42"/>
      <c r="C694" s="42"/>
      <c r="D694" s="42"/>
      <c r="E694" s="42"/>
      <c r="F694" s="42"/>
      <c r="G694" s="42"/>
      <c r="H694" s="63"/>
      <c r="I694" s="42"/>
      <c r="J694" s="42"/>
      <c r="K694" s="42"/>
      <c r="L694" s="42"/>
      <c r="M694" s="42"/>
      <c r="N694" s="42"/>
      <c r="O694" s="42"/>
      <c r="P694" s="42"/>
      <c r="Q694" s="42"/>
      <c r="R694" s="42"/>
      <c r="S694" s="42"/>
      <c r="T694" s="42"/>
      <c r="U694" s="42"/>
      <c r="V694" s="42"/>
      <c r="W694" s="42"/>
      <c r="X694" s="42"/>
      <c r="Y694" s="42"/>
      <c r="Z694" s="42"/>
    </row>
    <row r="695" ht="15.75" customHeight="1">
      <c r="A695" s="42"/>
      <c r="B695" s="42"/>
      <c r="C695" s="42"/>
      <c r="D695" s="42"/>
      <c r="E695" s="42"/>
      <c r="F695" s="42"/>
      <c r="G695" s="42"/>
      <c r="H695" s="63"/>
      <c r="I695" s="42"/>
      <c r="J695" s="42"/>
      <c r="K695" s="42"/>
      <c r="L695" s="42"/>
      <c r="M695" s="42"/>
      <c r="N695" s="42"/>
      <c r="O695" s="42"/>
      <c r="P695" s="42"/>
      <c r="Q695" s="42"/>
      <c r="R695" s="42"/>
      <c r="S695" s="42"/>
      <c r="T695" s="42"/>
      <c r="U695" s="42"/>
      <c r="V695" s="42"/>
      <c r="W695" s="42"/>
      <c r="X695" s="42"/>
      <c r="Y695" s="42"/>
      <c r="Z695" s="42"/>
    </row>
    <row r="696" ht="15.75" customHeight="1">
      <c r="A696" s="42"/>
      <c r="B696" s="42"/>
      <c r="C696" s="42"/>
      <c r="D696" s="42"/>
      <c r="E696" s="42"/>
      <c r="F696" s="42"/>
      <c r="G696" s="42"/>
      <c r="H696" s="63"/>
      <c r="I696" s="42"/>
      <c r="J696" s="42"/>
      <c r="K696" s="42"/>
      <c r="L696" s="42"/>
      <c r="M696" s="42"/>
      <c r="N696" s="42"/>
      <c r="O696" s="42"/>
      <c r="P696" s="42"/>
      <c r="Q696" s="42"/>
      <c r="R696" s="42"/>
      <c r="S696" s="42"/>
      <c r="T696" s="42"/>
      <c r="U696" s="42"/>
      <c r="V696" s="42"/>
      <c r="W696" s="42"/>
      <c r="X696" s="42"/>
      <c r="Y696" s="42"/>
      <c r="Z696" s="42"/>
    </row>
    <row r="697" ht="15.75" customHeight="1">
      <c r="A697" s="42"/>
      <c r="B697" s="42"/>
      <c r="C697" s="42"/>
      <c r="D697" s="42"/>
      <c r="E697" s="42"/>
      <c r="F697" s="42"/>
      <c r="G697" s="42"/>
      <c r="H697" s="63"/>
      <c r="I697" s="42"/>
      <c r="J697" s="42"/>
      <c r="K697" s="42"/>
      <c r="L697" s="42"/>
      <c r="M697" s="42"/>
      <c r="N697" s="42"/>
      <c r="O697" s="42"/>
      <c r="P697" s="42"/>
      <c r="Q697" s="42"/>
      <c r="R697" s="42"/>
      <c r="S697" s="42"/>
      <c r="T697" s="42"/>
      <c r="U697" s="42"/>
      <c r="V697" s="42"/>
      <c r="W697" s="42"/>
      <c r="X697" s="42"/>
      <c r="Y697" s="42"/>
      <c r="Z697" s="42"/>
    </row>
    <row r="698" ht="15.75" customHeight="1">
      <c r="A698" s="42"/>
      <c r="B698" s="42"/>
      <c r="C698" s="42"/>
      <c r="D698" s="42"/>
      <c r="E698" s="42"/>
      <c r="F698" s="42"/>
      <c r="G698" s="42"/>
      <c r="H698" s="63"/>
      <c r="I698" s="42"/>
      <c r="J698" s="42"/>
      <c r="K698" s="42"/>
      <c r="L698" s="42"/>
      <c r="M698" s="42"/>
      <c r="N698" s="42"/>
      <c r="O698" s="42"/>
      <c r="P698" s="42"/>
      <c r="Q698" s="42"/>
      <c r="R698" s="42"/>
      <c r="S698" s="42"/>
      <c r="T698" s="42"/>
      <c r="U698" s="42"/>
      <c r="V698" s="42"/>
      <c r="W698" s="42"/>
      <c r="X698" s="42"/>
      <c r="Y698" s="42"/>
      <c r="Z698" s="42"/>
    </row>
    <row r="699" ht="15.75" customHeight="1">
      <c r="A699" s="42"/>
      <c r="B699" s="42"/>
      <c r="C699" s="42"/>
      <c r="D699" s="42"/>
      <c r="E699" s="42"/>
      <c r="F699" s="42"/>
      <c r="G699" s="42"/>
      <c r="H699" s="63"/>
      <c r="I699" s="42"/>
      <c r="J699" s="42"/>
      <c r="K699" s="42"/>
      <c r="L699" s="42"/>
      <c r="M699" s="42"/>
      <c r="N699" s="42"/>
      <c r="O699" s="42"/>
      <c r="P699" s="42"/>
      <c r="Q699" s="42"/>
      <c r="R699" s="42"/>
      <c r="S699" s="42"/>
      <c r="T699" s="42"/>
      <c r="U699" s="42"/>
      <c r="V699" s="42"/>
      <c r="W699" s="42"/>
      <c r="X699" s="42"/>
      <c r="Y699" s="42"/>
      <c r="Z699" s="42"/>
    </row>
    <row r="700" ht="15.75" customHeight="1">
      <c r="A700" s="42"/>
      <c r="B700" s="42"/>
      <c r="C700" s="42"/>
      <c r="D700" s="42"/>
      <c r="E700" s="42"/>
      <c r="F700" s="42"/>
      <c r="G700" s="42"/>
      <c r="H700" s="63"/>
      <c r="I700" s="42"/>
      <c r="J700" s="42"/>
      <c r="K700" s="42"/>
      <c r="L700" s="42"/>
      <c r="M700" s="42"/>
      <c r="N700" s="42"/>
      <c r="O700" s="42"/>
      <c r="P700" s="42"/>
      <c r="Q700" s="42"/>
      <c r="R700" s="42"/>
      <c r="S700" s="42"/>
      <c r="T700" s="42"/>
      <c r="U700" s="42"/>
      <c r="V700" s="42"/>
      <c r="W700" s="42"/>
      <c r="X700" s="42"/>
      <c r="Y700" s="42"/>
      <c r="Z700" s="42"/>
    </row>
    <row r="701" ht="15.75" customHeight="1">
      <c r="A701" s="42"/>
      <c r="B701" s="42"/>
      <c r="C701" s="42"/>
      <c r="D701" s="42"/>
      <c r="E701" s="42"/>
      <c r="F701" s="42"/>
      <c r="G701" s="42"/>
      <c r="H701" s="63"/>
      <c r="I701" s="42"/>
      <c r="J701" s="42"/>
      <c r="K701" s="42"/>
      <c r="L701" s="42"/>
      <c r="M701" s="42"/>
      <c r="N701" s="42"/>
      <c r="O701" s="42"/>
      <c r="P701" s="42"/>
      <c r="Q701" s="42"/>
      <c r="R701" s="42"/>
      <c r="S701" s="42"/>
      <c r="T701" s="42"/>
      <c r="U701" s="42"/>
      <c r="V701" s="42"/>
      <c r="W701" s="42"/>
      <c r="X701" s="42"/>
      <c r="Y701" s="42"/>
      <c r="Z701" s="42"/>
    </row>
    <row r="702" ht="15.75" customHeight="1">
      <c r="A702" s="42"/>
      <c r="B702" s="42"/>
      <c r="C702" s="42"/>
      <c r="D702" s="42"/>
      <c r="E702" s="42"/>
      <c r="F702" s="42"/>
      <c r="G702" s="42"/>
      <c r="H702" s="63"/>
      <c r="I702" s="42"/>
      <c r="J702" s="42"/>
      <c r="K702" s="42"/>
      <c r="L702" s="42"/>
      <c r="M702" s="42"/>
      <c r="N702" s="42"/>
      <c r="O702" s="42"/>
      <c r="P702" s="42"/>
      <c r="Q702" s="42"/>
      <c r="R702" s="42"/>
      <c r="S702" s="42"/>
      <c r="T702" s="42"/>
      <c r="U702" s="42"/>
      <c r="V702" s="42"/>
      <c r="W702" s="42"/>
      <c r="X702" s="42"/>
      <c r="Y702" s="42"/>
      <c r="Z702" s="42"/>
    </row>
    <row r="703" ht="15.75" customHeight="1">
      <c r="A703" s="42"/>
      <c r="B703" s="42"/>
      <c r="C703" s="42"/>
      <c r="D703" s="42"/>
      <c r="E703" s="42"/>
      <c r="F703" s="42"/>
      <c r="G703" s="42"/>
      <c r="H703" s="63"/>
      <c r="I703" s="42"/>
      <c r="J703" s="42"/>
      <c r="K703" s="42"/>
      <c r="L703" s="42"/>
      <c r="M703" s="42"/>
      <c r="N703" s="42"/>
      <c r="O703" s="42"/>
      <c r="P703" s="42"/>
      <c r="Q703" s="42"/>
      <c r="R703" s="42"/>
      <c r="S703" s="42"/>
      <c r="T703" s="42"/>
      <c r="U703" s="42"/>
      <c r="V703" s="42"/>
      <c r="W703" s="42"/>
      <c r="X703" s="42"/>
      <c r="Y703" s="42"/>
      <c r="Z703" s="42"/>
    </row>
    <row r="704" ht="15.75" customHeight="1">
      <c r="A704" s="42"/>
      <c r="B704" s="42"/>
      <c r="C704" s="42"/>
      <c r="D704" s="42"/>
      <c r="E704" s="42"/>
      <c r="F704" s="42"/>
      <c r="G704" s="42"/>
      <c r="H704" s="63"/>
      <c r="I704" s="42"/>
      <c r="J704" s="42"/>
      <c r="K704" s="42"/>
      <c r="L704" s="42"/>
      <c r="M704" s="42"/>
      <c r="N704" s="42"/>
      <c r="O704" s="42"/>
      <c r="P704" s="42"/>
      <c r="Q704" s="42"/>
      <c r="R704" s="42"/>
      <c r="S704" s="42"/>
      <c r="T704" s="42"/>
      <c r="U704" s="42"/>
      <c r="V704" s="42"/>
      <c r="W704" s="42"/>
      <c r="X704" s="42"/>
      <c r="Y704" s="42"/>
      <c r="Z704" s="42"/>
    </row>
    <row r="705" ht="15.75" customHeight="1">
      <c r="A705" s="42"/>
      <c r="B705" s="42"/>
      <c r="C705" s="42"/>
      <c r="D705" s="42"/>
      <c r="E705" s="42"/>
      <c r="F705" s="42"/>
      <c r="G705" s="42"/>
      <c r="H705" s="63"/>
      <c r="I705" s="42"/>
      <c r="J705" s="42"/>
      <c r="K705" s="42"/>
      <c r="L705" s="42"/>
      <c r="M705" s="42"/>
      <c r="N705" s="42"/>
      <c r="O705" s="42"/>
      <c r="P705" s="42"/>
      <c r="Q705" s="42"/>
      <c r="R705" s="42"/>
      <c r="S705" s="42"/>
      <c r="T705" s="42"/>
      <c r="U705" s="42"/>
      <c r="V705" s="42"/>
      <c r="W705" s="42"/>
      <c r="X705" s="42"/>
      <c r="Y705" s="42"/>
      <c r="Z705" s="42"/>
    </row>
    <row r="706" ht="15.75" customHeight="1">
      <c r="A706" s="42"/>
      <c r="B706" s="42"/>
      <c r="C706" s="42"/>
      <c r="D706" s="42"/>
      <c r="E706" s="42"/>
      <c r="F706" s="42"/>
      <c r="G706" s="42"/>
      <c r="H706" s="63"/>
      <c r="I706" s="42"/>
      <c r="J706" s="42"/>
      <c r="K706" s="42"/>
      <c r="L706" s="42"/>
      <c r="M706" s="42"/>
      <c r="N706" s="42"/>
      <c r="O706" s="42"/>
      <c r="P706" s="42"/>
      <c r="Q706" s="42"/>
      <c r="R706" s="42"/>
      <c r="S706" s="42"/>
      <c r="T706" s="42"/>
      <c r="U706" s="42"/>
      <c r="V706" s="42"/>
      <c r="W706" s="42"/>
      <c r="X706" s="42"/>
      <c r="Y706" s="42"/>
      <c r="Z706" s="42"/>
    </row>
    <row r="707" ht="15.75" customHeight="1">
      <c r="A707" s="42"/>
      <c r="B707" s="42"/>
      <c r="C707" s="42"/>
      <c r="D707" s="42"/>
      <c r="E707" s="42"/>
      <c r="F707" s="42"/>
      <c r="G707" s="42"/>
      <c r="H707" s="63"/>
      <c r="I707" s="42"/>
      <c r="J707" s="42"/>
      <c r="K707" s="42"/>
      <c r="L707" s="42"/>
      <c r="M707" s="42"/>
      <c r="N707" s="42"/>
      <c r="O707" s="42"/>
      <c r="P707" s="42"/>
      <c r="Q707" s="42"/>
      <c r="R707" s="42"/>
      <c r="S707" s="42"/>
      <c r="T707" s="42"/>
      <c r="U707" s="42"/>
      <c r="V707" s="42"/>
      <c r="W707" s="42"/>
      <c r="X707" s="42"/>
      <c r="Y707" s="42"/>
      <c r="Z707" s="42"/>
    </row>
    <row r="708" ht="15.75" customHeight="1">
      <c r="A708" s="42"/>
      <c r="B708" s="42"/>
      <c r="C708" s="42"/>
      <c r="D708" s="42"/>
      <c r="E708" s="42"/>
      <c r="F708" s="42"/>
      <c r="G708" s="42"/>
      <c r="H708" s="63"/>
      <c r="I708" s="42"/>
      <c r="J708" s="42"/>
      <c r="K708" s="42"/>
      <c r="L708" s="42"/>
      <c r="M708" s="42"/>
      <c r="N708" s="42"/>
      <c r="O708" s="42"/>
      <c r="P708" s="42"/>
      <c r="Q708" s="42"/>
      <c r="R708" s="42"/>
      <c r="S708" s="42"/>
      <c r="T708" s="42"/>
      <c r="U708" s="42"/>
      <c r="V708" s="42"/>
      <c r="W708" s="42"/>
      <c r="X708" s="42"/>
      <c r="Y708" s="42"/>
      <c r="Z708" s="42"/>
    </row>
    <row r="709" ht="15.75" customHeight="1">
      <c r="A709" s="42"/>
      <c r="B709" s="42"/>
      <c r="C709" s="42"/>
      <c r="D709" s="42"/>
      <c r="E709" s="42"/>
      <c r="F709" s="42"/>
      <c r="G709" s="42"/>
      <c r="H709" s="63"/>
      <c r="I709" s="42"/>
      <c r="J709" s="42"/>
      <c r="K709" s="42"/>
      <c r="L709" s="42"/>
      <c r="M709" s="42"/>
      <c r="N709" s="42"/>
      <c r="O709" s="42"/>
      <c r="P709" s="42"/>
      <c r="Q709" s="42"/>
      <c r="R709" s="42"/>
      <c r="S709" s="42"/>
      <c r="T709" s="42"/>
      <c r="U709" s="42"/>
      <c r="V709" s="42"/>
      <c r="W709" s="42"/>
      <c r="X709" s="42"/>
      <c r="Y709" s="42"/>
      <c r="Z709" s="42"/>
    </row>
    <row r="710" ht="15.75" customHeight="1">
      <c r="A710" s="42"/>
      <c r="B710" s="42"/>
      <c r="C710" s="42"/>
      <c r="D710" s="42"/>
      <c r="E710" s="42"/>
      <c r="F710" s="42"/>
      <c r="G710" s="42"/>
      <c r="H710" s="63"/>
      <c r="I710" s="42"/>
      <c r="J710" s="42"/>
      <c r="K710" s="42"/>
      <c r="L710" s="42"/>
      <c r="M710" s="42"/>
      <c r="N710" s="42"/>
      <c r="O710" s="42"/>
      <c r="P710" s="42"/>
      <c r="Q710" s="42"/>
      <c r="R710" s="42"/>
      <c r="S710" s="42"/>
      <c r="T710" s="42"/>
      <c r="U710" s="42"/>
      <c r="V710" s="42"/>
      <c r="W710" s="42"/>
      <c r="X710" s="42"/>
      <c r="Y710" s="42"/>
      <c r="Z710" s="42"/>
    </row>
    <row r="711" ht="15.75" customHeight="1">
      <c r="A711" s="42"/>
      <c r="B711" s="42"/>
      <c r="C711" s="42"/>
      <c r="D711" s="42"/>
      <c r="E711" s="42"/>
      <c r="F711" s="42"/>
      <c r="G711" s="42"/>
      <c r="H711" s="63"/>
      <c r="I711" s="42"/>
      <c r="J711" s="42"/>
      <c r="K711" s="42"/>
      <c r="L711" s="42"/>
      <c r="M711" s="42"/>
      <c r="N711" s="42"/>
      <c r="O711" s="42"/>
      <c r="P711" s="42"/>
      <c r="Q711" s="42"/>
      <c r="R711" s="42"/>
      <c r="S711" s="42"/>
      <c r="T711" s="42"/>
      <c r="U711" s="42"/>
      <c r="V711" s="42"/>
      <c r="W711" s="42"/>
      <c r="X711" s="42"/>
      <c r="Y711" s="42"/>
      <c r="Z711" s="42"/>
    </row>
    <row r="712" ht="15.75" customHeight="1">
      <c r="A712" s="42"/>
      <c r="B712" s="42"/>
      <c r="C712" s="42"/>
      <c r="D712" s="42"/>
      <c r="E712" s="42"/>
      <c r="F712" s="42"/>
      <c r="G712" s="42"/>
      <c r="H712" s="63"/>
      <c r="I712" s="42"/>
      <c r="J712" s="42"/>
      <c r="K712" s="42"/>
      <c r="L712" s="42"/>
      <c r="M712" s="42"/>
      <c r="N712" s="42"/>
      <c r="O712" s="42"/>
      <c r="P712" s="42"/>
      <c r="Q712" s="42"/>
      <c r="R712" s="42"/>
      <c r="S712" s="42"/>
      <c r="T712" s="42"/>
      <c r="U712" s="42"/>
      <c r="V712" s="42"/>
      <c r="W712" s="42"/>
      <c r="X712" s="42"/>
      <c r="Y712" s="42"/>
      <c r="Z712" s="42"/>
    </row>
    <row r="713" ht="15.75" customHeight="1">
      <c r="A713" s="42"/>
      <c r="B713" s="42"/>
      <c r="C713" s="42"/>
      <c r="D713" s="42"/>
      <c r="E713" s="42"/>
      <c r="F713" s="42"/>
      <c r="G713" s="42"/>
      <c r="H713" s="63"/>
      <c r="I713" s="42"/>
      <c r="J713" s="42"/>
      <c r="K713" s="42"/>
      <c r="L713" s="42"/>
      <c r="M713" s="42"/>
      <c r="N713" s="42"/>
      <c r="O713" s="42"/>
      <c r="P713" s="42"/>
      <c r="Q713" s="42"/>
      <c r="R713" s="42"/>
      <c r="S713" s="42"/>
      <c r="T713" s="42"/>
      <c r="U713" s="42"/>
      <c r="V713" s="42"/>
      <c r="W713" s="42"/>
      <c r="X713" s="42"/>
      <c r="Y713" s="42"/>
      <c r="Z713" s="42"/>
    </row>
    <row r="714" ht="15.75" customHeight="1">
      <c r="A714" s="42"/>
      <c r="B714" s="42"/>
      <c r="C714" s="42"/>
      <c r="D714" s="42"/>
      <c r="E714" s="42"/>
      <c r="F714" s="42"/>
      <c r="G714" s="42"/>
      <c r="H714" s="63"/>
      <c r="I714" s="42"/>
      <c r="J714" s="42"/>
      <c r="K714" s="42"/>
      <c r="L714" s="42"/>
      <c r="M714" s="42"/>
      <c r="N714" s="42"/>
      <c r="O714" s="42"/>
      <c r="P714" s="42"/>
      <c r="Q714" s="42"/>
      <c r="R714" s="42"/>
      <c r="S714" s="42"/>
      <c r="T714" s="42"/>
      <c r="U714" s="42"/>
      <c r="V714" s="42"/>
      <c r="W714" s="42"/>
      <c r="X714" s="42"/>
      <c r="Y714" s="42"/>
      <c r="Z714" s="42"/>
    </row>
    <row r="715" ht="15.75" customHeight="1">
      <c r="A715" s="42"/>
      <c r="B715" s="42"/>
      <c r="C715" s="42"/>
      <c r="D715" s="42"/>
      <c r="E715" s="42"/>
      <c r="F715" s="42"/>
      <c r="G715" s="42"/>
      <c r="H715" s="63"/>
      <c r="I715" s="42"/>
      <c r="J715" s="42"/>
      <c r="K715" s="42"/>
      <c r="L715" s="42"/>
      <c r="M715" s="42"/>
      <c r="N715" s="42"/>
      <c r="O715" s="42"/>
      <c r="P715" s="42"/>
      <c r="Q715" s="42"/>
      <c r="R715" s="42"/>
      <c r="S715" s="42"/>
      <c r="T715" s="42"/>
      <c r="U715" s="42"/>
      <c r="V715" s="42"/>
      <c r="W715" s="42"/>
      <c r="X715" s="42"/>
      <c r="Y715" s="42"/>
      <c r="Z715" s="42"/>
    </row>
    <row r="716" ht="15.75" customHeight="1">
      <c r="A716" s="42"/>
      <c r="B716" s="42"/>
      <c r="C716" s="42"/>
      <c r="D716" s="42"/>
      <c r="E716" s="42"/>
      <c r="F716" s="42"/>
      <c r="G716" s="42"/>
      <c r="H716" s="63"/>
      <c r="I716" s="42"/>
      <c r="J716" s="42"/>
      <c r="K716" s="42"/>
      <c r="L716" s="42"/>
      <c r="M716" s="42"/>
      <c r="N716" s="42"/>
      <c r="O716" s="42"/>
      <c r="P716" s="42"/>
      <c r="Q716" s="42"/>
      <c r="R716" s="42"/>
      <c r="S716" s="42"/>
      <c r="T716" s="42"/>
      <c r="U716" s="42"/>
      <c r="V716" s="42"/>
      <c r="W716" s="42"/>
      <c r="X716" s="42"/>
      <c r="Y716" s="42"/>
      <c r="Z716" s="42"/>
    </row>
    <row r="717" ht="15.75" customHeight="1">
      <c r="A717" s="42"/>
      <c r="B717" s="42"/>
      <c r="C717" s="42"/>
      <c r="D717" s="42"/>
      <c r="E717" s="42"/>
      <c r="F717" s="42"/>
      <c r="G717" s="42"/>
      <c r="H717" s="63"/>
      <c r="I717" s="42"/>
      <c r="J717" s="42"/>
      <c r="K717" s="42"/>
      <c r="L717" s="42"/>
      <c r="M717" s="42"/>
      <c r="N717" s="42"/>
      <c r="O717" s="42"/>
      <c r="P717" s="42"/>
      <c r="Q717" s="42"/>
      <c r="R717" s="42"/>
      <c r="S717" s="42"/>
      <c r="T717" s="42"/>
      <c r="U717" s="42"/>
      <c r="V717" s="42"/>
      <c r="W717" s="42"/>
      <c r="X717" s="42"/>
      <c r="Y717" s="42"/>
      <c r="Z717" s="42"/>
    </row>
    <row r="718" ht="15.75" customHeight="1">
      <c r="A718" s="42"/>
      <c r="B718" s="42"/>
      <c r="C718" s="42"/>
      <c r="D718" s="42"/>
      <c r="E718" s="42"/>
      <c r="F718" s="42"/>
      <c r="G718" s="42"/>
      <c r="H718" s="63"/>
      <c r="I718" s="42"/>
      <c r="J718" s="42"/>
      <c r="K718" s="42"/>
      <c r="L718" s="42"/>
      <c r="M718" s="42"/>
      <c r="N718" s="42"/>
      <c r="O718" s="42"/>
      <c r="P718" s="42"/>
      <c r="Q718" s="42"/>
      <c r="R718" s="42"/>
      <c r="S718" s="42"/>
      <c r="T718" s="42"/>
      <c r="U718" s="42"/>
      <c r="V718" s="42"/>
      <c r="W718" s="42"/>
      <c r="X718" s="42"/>
      <c r="Y718" s="42"/>
      <c r="Z718" s="42"/>
    </row>
    <row r="719" ht="15.75" customHeight="1">
      <c r="A719" s="42"/>
      <c r="B719" s="42"/>
      <c r="C719" s="42"/>
      <c r="D719" s="42"/>
      <c r="E719" s="42"/>
      <c r="F719" s="42"/>
      <c r="G719" s="42"/>
      <c r="H719" s="63"/>
      <c r="I719" s="42"/>
      <c r="J719" s="42"/>
      <c r="K719" s="42"/>
      <c r="L719" s="42"/>
      <c r="M719" s="42"/>
      <c r="N719" s="42"/>
      <c r="O719" s="42"/>
      <c r="P719" s="42"/>
      <c r="Q719" s="42"/>
      <c r="R719" s="42"/>
      <c r="S719" s="42"/>
      <c r="T719" s="42"/>
      <c r="U719" s="42"/>
      <c r="V719" s="42"/>
      <c r="W719" s="42"/>
      <c r="X719" s="42"/>
      <c r="Y719" s="42"/>
      <c r="Z719" s="42"/>
    </row>
    <row r="720" ht="15.75" customHeight="1">
      <c r="A720" s="42"/>
      <c r="B720" s="42"/>
      <c r="C720" s="42"/>
      <c r="D720" s="42"/>
      <c r="E720" s="42"/>
      <c r="F720" s="42"/>
      <c r="G720" s="42"/>
      <c r="H720" s="63"/>
      <c r="I720" s="42"/>
      <c r="J720" s="42"/>
      <c r="K720" s="42"/>
      <c r="L720" s="42"/>
      <c r="M720" s="42"/>
      <c r="N720" s="42"/>
      <c r="O720" s="42"/>
      <c r="P720" s="42"/>
      <c r="Q720" s="42"/>
      <c r="R720" s="42"/>
      <c r="S720" s="42"/>
      <c r="T720" s="42"/>
      <c r="U720" s="42"/>
      <c r="V720" s="42"/>
      <c r="W720" s="42"/>
      <c r="X720" s="42"/>
      <c r="Y720" s="42"/>
      <c r="Z720" s="42"/>
    </row>
    <row r="721" ht="15.75" customHeight="1">
      <c r="A721" s="42"/>
      <c r="B721" s="42"/>
      <c r="C721" s="42"/>
      <c r="D721" s="42"/>
      <c r="E721" s="42"/>
      <c r="F721" s="42"/>
      <c r="G721" s="42"/>
      <c r="H721" s="63"/>
      <c r="I721" s="42"/>
      <c r="J721" s="42"/>
      <c r="K721" s="42"/>
      <c r="L721" s="42"/>
      <c r="M721" s="42"/>
      <c r="N721" s="42"/>
      <c r="O721" s="42"/>
      <c r="P721" s="42"/>
      <c r="Q721" s="42"/>
      <c r="R721" s="42"/>
      <c r="S721" s="42"/>
      <c r="T721" s="42"/>
      <c r="U721" s="42"/>
      <c r="V721" s="42"/>
      <c r="W721" s="42"/>
      <c r="X721" s="42"/>
      <c r="Y721" s="42"/>
      <c r="Z721" s="42"/>
    </row>
    <row r="722" ht="15.75" customHeight="1">
      <c r="A722" s="42"/>
      <c r="B722" s="42"/>
      <c r="C722" s="42"/>
      <c r="D722" s="42"/>
      <c r="E722" s="42"/>
      <c r="F722" s="42"/>
      <c r="G722" s="42"/>
      <c r="H722" s="63"/>
      <c r="I722" s="42"/>
      <c r="J722" s="42"/>
      <c r="K722" s="42"/>
      <c r="L722" s="42"/>
      <c r="M722" s="42"/>
      <c r="N722" s="42"/>
      <c r="O722" s="42"/>
      <c r="P722" s="42"/>
      <c r="Q722" s="42"/>
      <c r="R722" s="42"/>
      <c r="S722" s="42"/>
      <c r="T722" s="42"/>
      <c r="U722" s="42"/>
      <c r="V722" s="42"/>
      <c r="W722" s="42"/>
      <c r="X722" s="42"/>
      <c r="Y722" s="42"/>
      <c r="Z722" s="42"/>
    </row>
    <row r="723" ht="15.75" customHeight="1">
      <c r="A723" s="42"/>
      <c r="B723" s="42"/>
      <c r="C723" s="42"/>
      <c r="D723" s="42"/>
      <c r="E723" s="42"/>
      <c r="F723" s="42"/>
      <c r="G723" s="42"/>
      <c r="H723" s="63"/>
      <c r="I723" s="42"/>
      <c r="J723" s="42"/>
      <c r="K723" s="42"/>
      <c r="L723" s="42"/>
      <c r="M723" s="42"/>
      <c r="N723" s="42"/>
      <c r="O723" s="42"/>
      <c r="P723" s="42"/>
      <c r="Q723" s="42"/>
      <c r="R723" s="42"/>
      <c r="S723" s="42"/>
      <c r="T723" s="42"/>
      <c r="U723" s="42"/>
      <c r="V723" s="42"/>
      <c r="W723" s="42"/>
      <c r="X723" s="42"/>
      <c r="Y723" s="42"/>
      <c r="Z723" s="42"/>
    </row>
    <row r="724" ht="15.75" customHeight="1">
      <c r="A724" s="42"/>
      <c r="B724" s="42"/>
      <c r="C724" s="42"/>
      <c r="D724" s="42"/>
      <c r="E724" s="42"/>
      <c r="F724" s="42"/>
      <c r="G724" s="42"/>
      <c r="H724" s="63"/>
      <c r="I724" s="42"/>
      <c r="J724" s="42"/>
      <c r="K724" s="42"/>
      <c r="L724" s="42"/>
      <c r="M724" s="42"/>
      <c r="N724" s="42"/>
      <c r="O724" s="42"/>
      <c r="P724" s="42"/>
      <c r="Q724" s="42"/>
      <c r="R724" s="42"/>
      <c r="S724" s="42"/>
      <c r="T724" s="42"/>
      <c r="U724" s="42"/>
      <c r="V724" s="42"/>
      <c r="W724" s="42"/>
      <c r="X724" s="42"/>
      <c r="Y724" s="42"/>
      <c r="Z724" s="42"/>
    </row>
    <row r="725" ht="15.75" customHeight="1">
      <c r="A725" s="42"/>
      <c r="B725" s="42"/>
      <c r="C725" s="42"/>
      <c r="D725" s="42"/>
      <c r="E725" s="42"/>
      <c r="F725" s="42"/>
      <c r="G725" s="42"/>
      <c r="H725" s="63"/>
      <c r="I725" s="42"/>
      <c r="J725" s="42"/>
      <c r="K725" s="42"/>
      <c r="L725" s="42"/>
      <c r="M725" s="42"/>
      <c r="N725" s="42"/>
      <c r="O725" s="42"/>
      <c r="P725" s="42"/>
      <c r="Q725" s="42"/>
      <c r="R725" s="42"/>
      <c r="S725" s="42"/>
      <c r="T725" s="42"/>
      <c r="U725" s="42"/>
      <c r="V725" s="42"/>
      <c r="W725" s="42"/>
      <c r="X725" s="42"/>
      <c r="Y725" s="42"/>
      <c r="Z725" s="42"/>
    </row>
    <row r="726" ht="15.75" customHeight="1">
      <c r="A726" s="42"/>
      <c r="B726" s="42"/>
      <c r="C726" s="42"/>
      <c r="D726" s="42"/>
      <c r="E726" s="42"/>
      <c r="F726" s="42"/>
      <c r="G726" s="42"/>
      <c r="H726" s="63"/>
      <c r="I726" s="42"/>
      <c r="J726" s="42"/>
      <c r="K726" s="42"/>
      <c r="L726" s="42"/>
      <c r="M726" s="42"/>
      <c r="N726" s="42"/>
      <c r="O726" s="42"/>
      <c r="P726" s="42"/>
      <c r="Q726" s="42"/>
      <c r="R726" s="42"/>
      <c r="S726" s="42"/>
      <c r="T726" s="42"/>
      <c r="U726" s="42"/>
      <c r="V726" s="42"/>
      <c r="W726" s="42"/>
      <c r="X726" s="42"/>
      <c r="Y726" s="42"/>
      <c r="Z726" s="42"/>
    </row>
    <row r="727" ht="15.75" customHeight="1">
      <c r="A727" s="42"/>
      <c r="B727" s="42"/>
      <c r="C727" s="42"/>
      <c r="D727" s="42"/>
      <c r="E727" s="42"/>
      <c r="F727" s="42"/>
      <c r="G727" s="42"/>
      <c r="H727" s="63"/>
      <c r="I727" s="42"/>
      <c r="J727" s="42"/>
      <c r="K727" s="42"/>
      <c r="L727" s="42"/>
      <c r="M727" s="42"/>
      <c r="N727" s="42"/>
      <c r="O727" s="42"/>
      <c r="P727" s="42"/>
      <c r="Q727" s="42"/>
      <c r="R727" s="42"/>
      <c r="S727" s="42"/>
      <c r="T727" s="42"/>
      <c r="U727" s="42"/>
      <c r="V727" s="42"/>
      <c r="W727" s="42"/>
      <c r="X727" s="42"/>
      <c r="Y727" s="42"/>
      <c r="Z727" s="42"/>
    </row>
    <row r="728" ht="15.75" customHeight="1">
      <c r="A728" s="42"/>
      <c r="B728" s="42"/>
      <c r="C728" s="42"/>
      <c r="D728" s="42"/>
      <c r="E728" s="42"/>
      <c r="F728" s="42"/>
      <c r="G728" s="42"/>
      <c r="H728" s="63"/>
      <c r="I728" s="42"/>
      <c r="J728" s="42"/>
      <c r="K728" s="42"/>
      <c r="L728" s="42"/>
      <c r="M728" s="42"/>
      <c r="N728" s="42"/>
      <c r="O728" s="42"/>
      <c r="P728" s="42"/>
      <c r="Q728" s="42"/>
      <c r="R728" s="42"/>
      <c r="S728" s="42"/>
      <c r="T728" s="42"/>
      <c r="U728" s="42"/>
      <c r="V728" s="42"/>
      <c r="W728" s="42"/>
      <c r="X728" s="42"/>
      <c r="Y728" s="42"/>
      <c r="Z728" s="42"/>
    </row>
    <row r="729" ht="15.75" customHeight="1">
      <c r="A729" s="42"/>
      <c r="B729" s="42"/>
      <c r="C729" s="42"/>
      <c r="D729" s="42"/>
      <c r="E729" s="42"/>
      <c r="F729" s="42"/>
      <c r="G729" s="42"/>
      <c r="H729" s="63"/>
      <c r="I729" s="42"/>
      <c r="J729" s="42"/>
      <c r="K729" s="42"/>
      <c r="L729" s="42"/>
      <c r="M729" s="42"/>
      <c r="N729" s="42"/>
      <c r="O729" s="42"/>
      <c r="P729" s="42"/>
      <c r="Q729" s="42"/>
      <c r="R729" s="42"/>
      <c r="S729" s="42"/>
      <c r="T729" s="42"/>
      <c r="U729" s="42"/>
      <c r="V729" s="42"/>
      <c r="W729" s="42"/>
      <c r="X729" s="42"/>
      <c r="Y729" s="42"/>
      <c r="Z729" s="42"/>
    </row>
    <row r="730" ht="15.75" customHeight="1">
      <c r="A730" s="42"/>
      <c r="B730" s="42"/>
      <c r="C730" s="42"/>
      <c r="D730" s="42"/>
      <c r="E730" s="42"/>
      <c r="F730" s="42"/>
      <c r="G730" s="42"/>
      <c r="H730" s="63"/>
      <c r="I730" s="42"/>
      <c r="J730" s="42"/>
      <c r="K730" s="42"/>
      <c r="L730" s="42"/>
      <c r="M730" s="42"/>
      <c r="N730" s="42"/>
      <c r="O730" s="42"/>
      <c r="P730" s="42"/>
      <c r="Q730" s="42"/>
      <c r="R730" s="42"/>
      <c r="S730" s="42"/>
      <c r="T730" s="42"/>
      <c r="U730" s="42"/>
      <c r="V730" s="42"/>
      <c r="W730" s="42"/>
      <c r="X730" s="42"/>
      <c r="Y730" s="42"/>
      <c r="Z730" s="42"/>
    </row>
    <row r="731" ht="15.75" customHeight="1">
      <c r="A731" s="42"/>
      <c r="B731" s="42"/>
      <c r="C731" s="42"/>
      <c r="D731" s="42"/>
      <c r="E731" s="42"/>
      <c r="F731" s="42"/>
      <c r="G731" s="42"/>
      <c r="H731" s="63"/>
      <c r="I731" s="42"/>
      <c r="J731" s="42"/>
      <c r="K731" s="42"/>
      <c r="L731" s="42"/>
      <c r="M731" s="42"/>
      <c r="N731" s="42"/>
      <c r="O731" s="42"/>
      <c r="P731" s="42"/>
      <c r="Q731" s="42"/>
      <c r="R731" s="42"/>
      <c r="S731" s="42"/>
      <c r="T731" s="42"/>
      <c r="U731" s="42"/>
      <c r="V731" s="42"/>
      <c r="W731" s="42"/>
      <c r="X731" s="42"/>
      <c r="Y731" s="42"/>
      <c r="Z731" s="42"/>
    </row>
    <row r="732" ht="15.75" customHeight="1">
      <c r="A732" s="42"/>
      <c r="B732" s="42"/>
      <c r="C732" s="42"/>
      <c r="D732" s="42"/>
      <c r="E732" s="42"/>
      <c r="F732" s="42"/>
      <c r="G732" s="42"/>
      <c r="H732" s="63"/>
      <c r="I732" s="42"/>
      <c r="J732" s="42"/>
      <c r="K732" s="42"/>
      <c r="L732" s="42"/>
      <c r="M732" s="42"/>
      <c r="N732" s="42"/>
      <c r="O732" s="42"/>
      <c r="P732" s="42"/>
      <c r="Q732" s="42"/>
      <c r="R732" s="42"/>
      <c r="S732" s="42"/>
      <c r="T732" s="42"/>
      <c r="U732" s="42"/>
      <c r="V732" s="42"/>
      <c r="W732" s="42"/>
      <c r="X732" s="42"/>
      <c r="Y732" s="42"/>
      <c r="Z732" s="42"/>
    </row>
    <row r="733" ht="15.75" customHeight="1">
      <c r="A733" s="42"/>
      <c r="B733" s="42"/>
      <c r="C733" s="42"/>
      <c r="D733" s="42"/>
      <c r="E733" s="42"/>
      <c r="F733" s="42"/>
      <c r="G733" s="42"/>
      <c r="H733" s="63"/>
      <c r="I733" s="42"/>
      <c r="J733" s="42"/>
      <c r="K733" s="42"/>
      <c r="L733" s="42"/>
      <c r="M733" s="42"/>
      <c r="N733" s="42"/>
      <c r="O733" s="42"/>
      <c r="P733" s="42"/>
      <c r="Q733" s="42"/>
      <c r="R733" s="42"/>
      <c r="S733" s="42"/>
      <c r="T733" s="42"/>
      <c r="U733" s="42"/>
      <c r="V733" s="42"/>
      <c r="W733" s="42"/>
      <c r="X733" s="42"/>
      <c r="Y733" s="42"/>
      <c r="Z733" s="42"/>
    </row>
    <row r="734" ht="15.75" customHeight="1">
      <c r="A734" s="42"/>
      <c r="B734" s="42"/>
      <c r="C734" s="42"/>
      <c r="D734" s="42"/>
      <c r="E734" s="42"/>
      <c r="F734" s="42"/>
      <c r="G734" s="42"/>
      <c r="H734" s="63"/>
      <c r="I734" s="42"/>
      <c r="J734" s="42"/>
      <c r="K734" s="42"/>
      <c r="L734" s="42"/>
      <c r="M734" s="42"/>
      <c r="N734" s="42"/>
      <c r="O734" s="42"/>
      <c r="P734" s="42"/>
      <c r="Q734" s="42"/>
      <c r="R734" s="42"/>
      <c r="S734" s="42"/>
      <c r="T734" s="42"/>
      <c r="U734" s="42"/>
      <c r="V734" s="42"/>
      <c r="W734" s="42"/>
      <c r="X734" s="42"/>
      <c r="Y734" s="42"/>
      <c r="Z734" s="42"/>
    </row>
    <row r="735" ht="15.75" customHeight="1">
      <c r="A735" s="42"/>
      <c r="B735" s="42"/>
      <c r="C735" s="42"/>
      <c r="D735" s="42"/>
      <c r="E735" s="42"/>
      <c r="F735" s="42"/>
      <c r="G735" s="42"/>
      <c r="H735" s="63"/>
      <c r="I735" s="42"/>
      <c r="J735" s="42"/>
      <c r="K735" s="42"/>
      <c r="L735" s="42"/>
      <c r="M735" s="42"/>
      <c r="N735" s="42"/>
      <c r="O735" s="42"/>
      <c r="P735" s="42"/>
      <c r="Q735" s="42"/>
      <c r="R735" s="42"/>
      <c r="S735" s="42"/>
      <c r="T735" s="42"/>
      <c r="U735" s="42"/>
      <c r="V735" s="42"/>
      <c r="W735" s="42"/>
      <c r="X735" s="42"/>
      <c r="Y735" s="42"/>
      <c r="Z735" s="42"/>
    </row>
    <row r="736" ht="15.75" customHeight="1">
      <c r="A736" s="42"/>
      <c r="B736" s="42"/>
      <c r="C736" s="42"/>
      <c r="D736" s="42"/>
      <c r="E736" s="42"/>
      <c r="F736" s="42"/>
      <c r="G736" s="42"/>
      <c r="H736" s="63"/>
      <c r="I736" s="42"/>
      <c r="J736" s="42"/>
      <c r="K736" s="42"/>
      <c r="L736" s="42"/>
      <c r="M736" s="42"/>
      <c r="N736" s="42"/>
      <c r="O736" s="42"/>
      <c r="P736" s="42"/>
      <c r="Q736" s="42"/>
      <c r="R736" s="42"/>
      <c r="S736" s="42"/>
      <c r="T736" s="42"/>
      <c r="U736" s="42"/>
      <c r="V736" s="42"/>
      <c r="W736" s="42"/>
      <c r="X736" s="42"/>
      <c r="Y736" s="42"/>
      <c r="Z736" s="42"/>
    </row>
    <row r="737" ht="15.75" customHeight="1">
      <c r="A737" s="42"/>
      <c r="B737" s="42"/>
      <c r="C737" s="42"/>
      <c r="D737" s="42"/>
      <c r="E737" s="42"/>
      <c r="F737" s="42"/>
      <c r="G737" s="42"/>
      <c r="H737" s="63"/>
      <c r="I737" s="42"/>
      <c r="J737" s="42"/>
      <c r="K737" s="42"/>
      <c r="L737" s="42"/>
      <c r="M737" s="42"/>
      <c r="N737" s="42"/>
      <c r="O737" s="42"/>
      <c r="P737" s="42"/>
      <c r="Q737" s="42"/>
      <c r="R737" s="42"/>
      <c r="S737" s="42"/>
      <c r="T737" s="42"/>
      <c r="U737" s="42"/>
      <c r="V737" s="42"/>
      <c r="W737" s="42"/>
      <c r="X737" s="42"/>
      <c r="Y737" s="42"/>
      <c r="Z737" s="42"/>
    </row>
    <row r="738" ht="15.75" customHeight="1">
      <c r="A738" s="42"/>
      <c r="B738" s="42"/>
      <c r="C738" s="42"/>
      <c r="D738" s="42"/>
      <c r="E738" s="42"/>
      <c r="F738" s="42"/>
      <c r="G738" s="42"/>
      <c r="H738" s="63"/>
      <c r="I738" s="42"/>
      <c r="J738" s="42"/>
      <c r="K738" s="42"/>
      <c r="L738" s="42"/>
      <c r="M738" s="42"/>
      <c r="N738" s="42"/>
      <c r="O738" s="42"/>
      <c r="P738" s="42"/>
      <c r="Q738" s="42"/>
      <c r="R738" s="42"/>
      <c r="S738" s="42"/>
      <c r="T738" s="42"/>
      <c r="U738" s="42"/>
      <c r="V738" s="42"/>
      <c r="W738" s="42"/>
      <c r="X738" s="42"/>
      <c r="Y738" s="42"/>
      <c r="Z738" s="42"/>
    </row>
    <row r="739" ht="15.75" customHeight="1">
      <c r="A739" s="42"/>
      <c r="B739" s="42"/>
      <c r="C739" s="42"/>
      <c r="D739" s="42"/>
      <c r="E739" s="42"/>
      <c r="F739" s="42"/>
      <c r="G739" s="42"/>
      <c r="H739" s="63"/>
      <c r="I739" s="42"/>
      <c r="J739" s="42"/>
      <c r="K739" s="42"/>
      <c r="L739" s="42"/>
      <c r="M739" s="42"/>
      <c r="N739" s="42"/>
      <c r="O739" s="42"/>
      <c r="P739" s="42"/>
      <c r="Q739" s="42"/>
      <c r="R739" s="42"/>
      <c r="S739" s="42"/>
      <c r="T739" s="42"/>
      <c r="U739" s="42"/>
      <c r="V739" s="42"/>
      <c r="W739" s="42"/>
      <c r="X739" s="42"/>
      <c r="Y739" s="42"/>
      <c r="Z739" s="42"/>
    </row>
    <row r="740" ht="15.75" customHeight="1">
      <c r="A740" s="42"/>
      <c r="B740" s="42"/>
      <c r="C740" s="42"/>
      <c r="D740" s="42"/>
      <c r="E740" s="42"/>
      <c r="F740" s="42"/>
      <c r="G740" s="42"/>
      <c r="H740" s="63"/>
      <c r="I740" s="42"/>
      <c r="J740" s="42"/>
      <c r="K740" s="42"/>
      <c r="L740" s="42"/>
      <c r="M740" s="42"/>
      <c r="N740" s="42"/>
      <c r="O740" s="42"/>
      <c r="P740" s="42"/>
      <c r="Q740" s="42"/>
      <c r="R740" s="42"/>
      <c r="S740" s="42"/>
      <c r="T740" s="42"/>
      <c r="U740" s="42"/>
      <c r="V740" s="42"/>
      <c r="W740" s="42"/>
      <c r="X740" s="42"/>
      <c r="Y740" s="42"/>
      <c r="Z740" s="42"/>
    </row>
    <row r="741" ht="15.75" customHeight="1">
      <c r="A741" s="42"/>
      <c r="B741" s="42"/>
      <c r="C741" s="42"/>
      <c r="D741" s="42"/>
      <c r="E741" s="42"/>
      <c r="F741" s="42"/>
      <c r="G741" s="42"/>
      <c r="H741" s="63"/>
      <c r="I741" s="42"/>
      <c r="J741" s="42"/>
      <c r="K741" s="42"/>
      <c r="L741" s="42"/>
      <c r="M741" s="42"/>
      <c r="N741" s="42"/>
      <c r="O741" s="42"/>
      <c r="P741" s="42"/>
      <c r="Q741" s="42"/>
      <c r="R741" s="42"/>
      <c r="S741" s="42"/>
      <c r="T741" s="42"/>
      <c r="U741" s="42"/>
      <c r="V741" s="42"/>
      <c r="W741" s="42"/>
      <c r="X741" s="42"/>
      <c r="Y741" s="42"/>
      <c r="Z741" s="42"/>
    </row>
    <row r="742" ht="15.75" customHeight="1">
      <c r="A742" s="42"/>
      <c r="B742" s="42"/>
      <c r="C742" s="42"/>
      <c r="D742" s="42"/>
      <c r="E742" s="42"/>
      <c r="F742" s="42"/>
      <c r="G742" s="42"/>
      <c r="H742" s="63"/>
      <c r="I742" s="42"/>
      <c r="J742" s="42"/>
      <c r="K742" s="42"/>
      <c r="L742" s="42"/>
      <c r="M742" s="42"/>
      <c r="N742" s="42"/>
      <c r="O742" s="42"/>
      <c r="P742" s="42"/>
      <c r="Q742" s="42"/>
      <c r="R742" s="42"/>
      <c r="S742" s="42"/>
      <c r="T742" s="42"/>
      <c r="U742" s="42"/>
      <c r="V742" s="42"/>
      <c r="W742" s="42"/>
      <c r="X742" s="42"/>
      <c r="Y742" s="42"/>
      <c r="Z742" s="42"/>
    </row>
    <row r="743" ht="15.75" customHeight="1">
      <c r="A743" s="42"/>
      <c r="B743" s="42"/>
      <c r="C743" s="42"/>
      <c r="D743" s="42"/>
      <c r="E743" s="42"/>
      <c r="F743" s="42"/>
      <c r="G743" s="42"/>
      <c r="H743" s="63"/>
      <c r="I743" s="42"/>
      <c r="J743" s="42"/>
      <c r="K743" s="42"/>
      <c r="L743" s="42"/>
      <c r="M743" s="42"/>
      <c r="N743" s="42"/>
      <c r="O743" s="42"/>
      <c r="P743" s="42"/>
      <c r="Q743" s="42"/>
      <c r="R743" s="42"/>
      <c r="S743" s="42"/>
      <c r="T743" s="42"/>
      <c r="U743" s="42"/>
      <c r="V743" s="42"/>
      <c r="W743" s="42"/>
      <c r="X743" s="42"/>
      <c r="Y743" s="42"/>
      <c r="Z743" s="42"/>
    </row>
    <row r="744" ht="15.75" customHeight="1">
      <c r="A744" s="42"/>
      <c r="B744" s="42"/>
      <c r="C744" s="42"/>
      <c r="D744" s="42"/>
      <c r="E744" s="42"/>
      <c r="F744" s="42"/>
      <c r="G744" s="42"/>
      <c r="H744" s="63"/>
      <c r="I744" s="42"/>
      <c r="J744" s="42"/>
      <c r="K744" s="42"/>
      <c r="L744" s="42"/>
      <c r="M744" s="42"/>
      <c r="N744" s="42"/>
      <c r="O744" s="42"/>
      <c r="P744" s="42"/>
      <c r="Q744" s="42"/>
      <c r="R744" s="42"/>
      <c r="S744" s="42"/>
      <c r="T744" s="42"/>
      <c r="U744" s="42"/>
      <c r="V744" s="42"/>
      <c r="W744" s="42"/>
      <c r="X744" s="42"/>
      <c r="Y744" s="42"/>
      <c r="Z744" s="42"/>
    </row>
    <row r="745" ht="15.75" customHeight="1">
      <c r="A745" s="42"/>
      <c r="B745" s="42"/>
      <c r="C745" s="42"/>
      <c r="D745" s="42"/>
      <c r="E745" s="42"/>
      <c r="F745" s="42"/>
      <c r="G745" s="42"/>
      <c r="H745" s="63"/>
      <c r="I745" s="42"/>
      <c r="J745" s="42"/>
      <c r="K745" s="42"/>
      <c r="L745" s="42"/>
      <c r="M745" s="42"/>
      <c r="N745" s="42"/>
      <c r="O745" s="42"/>
      <c r="P745" s="42"/>
      <c r="Q745" s="42"/>
      <c r="R745" s="42"/>
      <c r="S745" s="42"/>
      <c r="T745" s="42"/>
      <c r="U745" s="42"/>
      <c r="V745" s="42"/>
      <c r="W745" s="42"/>
      <c r="X745" s="42"/>
      <c r="Y745" s="42"/>
      <c r="Z745" s="42"/>
    </row>
    <row r="746" ht="15.75" customHeight="1">
      <c r="A746" s="42"/>
      <c r="B746" s="42"/>
      <c r="C746" s="42"/>
      <c r="D746" s="42"/>
      <c r="E746" s="42"/>
      <c r="F746" s="42"/>
      <c r="G746" s="42"/>
      <c r="H746" s="63"/>
      <c r="I746" s="42"/>
      <c r="J746" s="42"/>
      <c r="K746" s="42"/>
      <c r="L746" s="42"/>
      <c r="M746" s="42"/>
      <c r="N746" s="42"/>
      <c r="O746" s="42"/>
      <c r="P746" s="42"/>
      <c r="Q746" s="42"/>
      <c r="R746" s="42"/>
      <c r="S746" s="42"/>
      <c r="T746" s="42"/>
      <c r="U746" s="42"/>
      <c r="V746" s="42"/>
      <c r="W746" s="42"/>
      <c r="X746" s="42"/>
      <c r="Y746" s="42"/>
      <c r="Z746" s="42"/>
    </row>
    <row r="747" ht="15.75" customHeight="1">
      <c r="A747" s="42"/>
      <c r="B747" s="42"/>
      <c r="C747" s="42"/>
      <c r="D747" s="42"/>
      <c r="E747" s="42"/>
      <c r="F747" s="42"/>
      <c r="G747" s="42"/>
      <c r="H747" s="63"/>
      <c r="I747" s="42"/>
      <c r="J747" s="42"/>
      <c r="K747" s="42"/>
      <c r="L747" s="42"/>
      <c r="M747" s="42"/>
      <c r="N747" s="42"/>
      <c r="O747" s="42"/>
      <c r="P747" s="42"/>
      <c r="Q747" s="42"/>
      <c r="R747" s="42"/>
      <c r="S747" s="42"/>
      <c r="T747" s="42"/>
      <c r="U747" s="42"/>
      <c r="V747" s="42"/>
      <c r="W747" s="42"/>
      <c r="X747" s="42"/>
      <c r="Y747" s="42"/>
      <c r="Z747" s="42"/>
    </row>
    <row r="748" ht="15.75" customHeight="1">
      <c r="A748" s="42"/>
      <c r="B748" s="42"/>
      <c r="C748" s="42"/>
      <c r="D748" s="42"/>
      <c r="E748" s="42"/>
      <c r="F748" s="42"/>
      <c r="G748" s="42"/>
      <c r="H748" s="63"/>
      <c r="I748" s="42"/>
      <c r="J748" s="42"/>
      <c r="K748" s="42"/>
      <c r="L748" s="42"/>
      <c r="M748" s="42"/>
      <c r="N748" s="42"/>
      <c r="O748" s="42"/>
      <c r="P748" s="42"/>
      <c r="Q748" s="42"/>
      <c r="R748" s="42"/>
      <c r="S748" s="42"/>
      <c r="T748" s="42"/>
      <c r="U748" s="42"/>
      <c r="V748" s="42"/>
      <c r="W748" s="42"/>
      <c r="X748" s="42"/>
      <c r="Y748" s="42"/>
      <c r="Z748" s="42"/>
    </row>
    <row r="749" ht="15.75" customHeight="1">
      <c r="A749" s="42"/>
      <c r="B749" s="42"/>
      <c r="C749" s="42"/>
      <c r="D749" s="42"/>
      <c r="E749" s="42"/>
      <c r="F749" s="42"/>
      <c r="G749" s="42"/>
      <c r="H749" s="63"/>
      <c r="I749" s="42"/>
      <c r="J749" s="42"/>
      <c r="K749" s="42"/>
      <c r="L749" s="42"/>
      <c r="M749" s="42"/>
      <c r="N749" s="42"/>
      <c r="O749" s="42"/>
      <c r="P749" s="42"/>
      <c r="Q749" s="42"/>
      <c r="R749" s="42"/>
      <c r="S749" s="42"/>
      <c r="T749" s="42"/>
      <c r="U749" s="42"/>
      <c r="V749" s="42"/>
      <c r="W749" s="42"/>
      <c r="X749" s="42"/>
      <c r="Y749" s="42"/>
      <c r="Z749" s="42"/>
    </row>
    <row r="750" ht="15.75" customHeight="1">
      <c r="A750" s="42"/>
      <c r="B750" s="42"/>
      <c r="C750" s="42"/>
      <c r="D750" s="42"/>
      <c r="E750" s="42"/>
      <c r="F750" s="42"/>
      <c r="G750" s="42"/>
      <c r="H750" s="63"/>
      <c r="I750" s="42"/>
      <c r="J750" s="42"/>
      <c r="K750" s="42"/>
      <c r="L750" s="42"/>
      <c r="M750" s="42"/>
      <c r="N750" s="42"/>
      <c r="O750" s="42"/>
      <c r="P750" s="42"/>
      <c r="Q750" s="42"/>
      <c r="R750" s="42"/>
      <c r="S750" s="42"/>
      <c r="T750" s="42"/>
      <c r="U750" s="42"/>
      <c r="V750" s="42"/>
      <c r="W750" s="42"/>
      <c r="X750" s="42"/>
      <c r="Y750" s="42"/>
      <c r="Z750" s="42"/>
    </row>
    <row r="751" ht="15.75" customHeight="1">
      <c r="A751" s="42"/>
      <c r="B751" s="42"/>
      <c r="C751" s="42"/>
      <c r="D751" s="42"/>
      <c r="E751" s="42"/>
      <c r="F751" s="42"/>
      <c r="G751" s="42"/>
      <c r="H751" s="63"/>
      <c r="I751" s="42"/>
      <c r="J751" s="42"/>
      <c r="K751" s="42"/>
      <c r="L751" s="42"/>
      <c r="M751" s="42"/>
      <c r="N751" s="42"/>
      <c r="O751" s="42"/>
      <c r="P751" s="42"/>
      <c r="Q751" s="42"/>
      <c r="R751" s="42"/>
      <c r="S751" s="42"/>
      <c r="T751" s="42"/>
      <c r="U751" s="42"/>
      <c r="V751" s="42"/>
      <c r="W751" s="42"/>
      <c r="X751" s="42"/>
      <c r="Y751" s="42"/>
      <c r="Z751" s="42"/>
    </row>
    <row r="752" ht="15.75" customHeight="1">
      <c r="A752" s="42"/>
      <c r="B752" s="42"/>
      <c r="C752" s="42"/>
      <c r="D752" s="42"/>
      <c r="E752" s="42"/>
      <c r="F752" s="42"/>
      <c r="G752" s="42"/>
      <c r="H752" s="63"/>
      <c r="I752" s="42"/>
      <c r="J752" s="42"/>
      <c r="K752" s="42"/>
      <c r="L752" s="42"/>
      <c r="M752" s="42"/>
      <c r="N752" s="42"/>
      <c r="O752" s="42"/>
      <c r="P752" s="42"/>
      <c r="Q752" s="42"/>
      <c r="R752" s="42"/>
      <c r="S752" s="42"/>
      <c r="T752" s="42"/>
      <c r="U752" s="42"/>
      <c r="V752" s="42"/>
      <c r="W752" s="42"/>
      <c r="X752" s="42"/>
      <c r="Y752" s="42"/>
      <c r="Z752" s="42"/>
    </row>
    <row r="753" ht="15.75" customHeight="1">
      <c r="A753" s="42"/>
      <c r="B753" s="42"/>
      <c r="C753" s="42"/>
      <c r="D753" s="42"/>
      <c r="E753" s="42"/>
      <c r="F753" s="42"/>
      <c r="G753" s="42"/>
      <c r="H753" s="63"/>
      <c r="I753" s="42"/>
      <c r="J753" s="42"/>
      <c r="K753" s="42"/>
      <c r="L753" s="42"/>
      <c r="M753" s="42"/>
      <c r="N753" s="42"/>
      <c r="O753" s="42"/>
      <c r="P753" s="42"/>
      <c r="Q753" s="42"/>
      <c r="R753" s="42"/>
      <c r="S753" s="42"/>
      <c r="T753" s="42"/>
      <c r="U753" s="42"/>
      <c r="V753" s="42"/>
      <c r="W753" s="42"/>
      <c r="X753" s="42"/>
      <c r="Y753" s="42"/>
      <c r="Z753" s="42"/>
    </row>
    <row r="754" ht="15.75" customHeight="1">
      <c r="A754" s="42"/>
      <c r="B754" s="42"/>
      <c r="C754" s="42"/>
      <c r="D754" s="42"/>
      <c r="E754" s="42"/>
      <c r="F754" s="42"/>
      <c r="G754" s="42"/>
      <c r="H754" s="63"/>
      <c r="I754" s="42"/>
      <c r="J754" s="42"/>
      <c r="K754" s="42"/>
      <c r="L754" s="42"/>
      <c r="M754" s="42"/>
      <c r="N754" s="42"/>
      <c r="O754" s="42"/>
      <c r="P754" s="42"/>
      <c r="Q754" s="42"/>
      <c r="R754" s="42"/>
      <c r="S754" s="42"/>
      <c r="T754" s="42"/>
      <c r="U754" s="42"/>
      <c r="V754" s="42"/>
      <c r="W754" s="42"/>
      <c r="X754" s="42"/>
      <c r="Y754" s="42"/>
      <c r="Z754" s="42"/>
    </row>
    <row r="755" ht="15.75" customHeight="1">
      <c r="A755" s="42"/>
      <c r="B755" s="42"/>
      <c r="C755" s="42"/>
      <c r="D755" s="42"/>
      <c r="E755" s="42"/>
      <c r="F755" s="42"/>
      <c r="G755" s="42"/>
      <c r="H755" s="63"/>
      <c r="I755" s="42"/>
      <c r="J755" s="42"/>
      <c r="K755" s="42"/>
      <c r="L755" s="42"/>
      <c r="M755" s="42"/>
      <c r="N755" s="42"/>
      <c r="O755" s="42"/>
      <c r="P755" s="42"/>
      <c r="Q755" s="42"/>
      <c r="R755" s="42"/>
      <c r="S755" s="42"/>
      <c r="T755" s="42"/>
      <c r="U755" s="42"/>
      <c r="V755" s="42"/>
      <c r="W755" s="42"/>
      <c r="X755" s="42"/>
      <c r="Y755" s="42"/>
      <c r="Z755" s="42"/>
    </row>
    <row r="756" ht="15.75" customHeight="1">
      <c r="A756" s="42"/>
      <c r="B756" s="42"/>
      <c r="C756" s="42"/>
      <c r="D756" s="42"/>
      <c r="E756" s="42"/>
      <c r="F756" s="42"/>
      <c r="G756" s="42"/>
      <c r="H756" s="63"/>
      <c r="I756" s="42"/>
      <c r="J756" s="42"/>
      <c r="K756" s="42"/>
      <c r="L756" s="42"/>
      <c r="M756" s="42"/>
      <c r="N756" s="42"/>
      <c r="O756" s="42"/>
      <c r="P756" s="42"/>
      <c r="Q756" s="42"/>
      <c r="R756" s="42"/>
      <c r="S756" s="42"/>
      <c r="T756" s="42"/>
      <c r="U756" s="42"/>
      <c r="V756" s="42"/>
      <c r="W756" s="42"/>
      <c r="X756" s="42"/>
      <c r="Y756" s="42"/>
      <c r="Z756" s="42"/>
    </row>
    <row r="757" ht="15.75" customHeight="1">
      <c r="A757" s="42"/>
      <c r="B757" s="42"/>
      <c r="C757" s="42"/>
      <c r="D757" s="42"/>
      <c r="E757" s="42"/>
      <c r="F757" s="42"/>
      <c r="G757" s="42"/>
      <c r="H757" s="63"/>
      <c r="I757" s="42"/>
      <c r="J757" s="42"/>
      <c r="K757" s="42"/>
      <c r="L757" s="42"/>
      <c r="M757" s="42"/>
      <c r="N757" s="42"/>
      <c r="O757" s="42"/>
      <c r="P757" s="42"/>
      <c r="Q757" s="42"/>
      <c r="R757" s="42"/>
      <c r="S757" s="42"/>
      <c r="T757" s="42"/>
      <c r="U757" s="42"/>
      <c r="V757" s="42"/>
      <c r="W757" s="42"/>
      <c r="X757" s="42"/>
      <c r="Y757" s="42"/>
      <c r="Z757" s="42"/>
    </row>
    <row r="758" ht="15.75" customHeight="1">
      <c r="A758" s="42"/>
      <c r="B758" s="42"/>
      <c r="C758" s="42"/>
      <c r="D758" s="42"/>
      <c r="E758" s="42"/>
      <c r="F758" s="42"/>
      <c r="G758" s="42"/>
      <c r="H758" s="63"/>
      <c r="I758" s="42"/>
      <c r="J758" s="42"/>
      <c r="K758" s="42"/>
      <c r="L758" s="42"/>
      <c r="M758" s="42"/>
      <c r="N758" s="42"/>
      <c r="O758" s="42"/>
      <c r="P758" s="42"/>
      <c r="Q758" s="42"/>
      <c r="R758" s="42"/>
      <c r="S758" s="42"/>
      <c r="T758" s="42"/>
      <c r="U758" s="42"/>
      <c r="V758" s="42"/>
      <c r="W758" s="42"/>
      <c r="X758" s="42"/>
      <c r="Y758" s="42"/>
      <c r="Z758" s="42"/>
    </row>
    <row r="759" ht="15.75" customHeight="1">
      <c r="A759" s="42"/>
      <c r="B759" s="42"/>
      <c r="C759" s="42"/>
      <c r="D759" s="42"/>
      <c r="E759" s="42"/>
      <c r="F759" s="42"/>
      <c r="G759" s="42"/>
      <c r="H759" s="63"/>
      <c r="I759" s="42"/>
      <c r="J759" s="42"/>
      <c r="K759" s="42"/>
      <c r="L759" s="42"/>
      <c r="M759" s="42"/>
      <c r="N759" s="42"/>
      <c r="O759" s="42"/>
      <c r="P759" s="42"/>
      <c r="Q759" s="42"/>
      <c r="R759" s="42"/>
      <c r="S759" s="42"/>
      <c r="T759" s="42"/>
      <c r="U759" s="42"/>
      <c r="V759" s="42"/>
      <c r="W759" s="42"/>
      <c r="X759" s="42"/>
      <c r="Y759" s="42"/>
      <c r="Z759" s="42"/>
    </row>
    <row r="760" ht="15.75" customHeight="1">
      <c r="A760" s="42"/>
      <c r="B760" s="42"/>
      <c r="C760" s="42"/>
      <c r="D760" s="42"/>
      <c r="E760" s="42"/>
      <c r="F760" s="42"/>
      <c r="G760" s="42"/>
      <c r="H760" s="63"/>
      <c r="I760" s="42"/>
      <c r="J760" s="42"/>
      <c r="K760" s="42"/>
      <c r="L760" s="42"/>
      <c r="M760" s="42"/>
      <c r="N760" s="42"/>
      <c r="O760" s="42"/>
      <c r="P760" s="42"/>
      <c r="Q760" s="42"/>
      <c r="R760" s="42"/>
      <c r="S760" s="42"/>
      <c r="T760" s="42"/>
      <c r="U760" s="42"/>
      <c r="V760" s="42"/>
      <c r="W760" s="42"/>
      <c r="X760" s="42"/>
      <c r="Y760" s="42"/>
      <c r="Z760" s="42"/>
    </row>
    <row r="761" ht="15.75" customHeight="1">
      <c r="A761" s="42"/>
      <c r="B761" s="42"/>
      <c r="C761" s="42"/>
      <c r="D761" s="42"/>
      <c r="E761" s="42"/>
      <c r="F761" s="42"/>
      <c r="G761" s="42"/>
      <c r="H761" s="63"/>
      <c r="I761" s="42"/>
      <c r="J761" s="42"/>
      <c r="K761" s="42"/>
      <c r="L761" s="42"/>
      <c r="M761" s="42"/>
      <c r="N761" s="42"/>
      <c r="O761" s="42"/>
      <c r="P761" s="42"/>
      <c r="Q761" s="42"/>
      <c r="R761" s="42"/>
      <c r="S761" s="42"/>
      <c r="T761" s="42"/>
      <c r="U761" s="42"/>
      <c r="V761" s="42"/>
      <c r="W761" s="42"/>
      <c r="X761" s="42"/>
      <c r="Y761" s="42"/>
      <c r="Z761" s="42"/>
    </row>
    <row r="762" ht="15.75" customHeight="1">
      <c r="A762" s="42"/>
      <c r="B762" s="42"/>
      <c r="C762" s="42"/>
      <c r="D762" s="42"/>
      <c r="E762" s="42"/>
      <c r="F762" s="42"/>
      <c r="G762" s="42"/>
      <c r="H762" s="63"/>
      <c r="I762" s="42"/>
      <c r="J762" s="42"/>
      <c r="K762" s="42"/>
      <c r="L762" s="42"/>
      <c r="M762" s="42"/>
      <c r="N762" s="42"/>
      <c r="O762" s="42"/>
      <c r="P762" s="42"/>
      <c r="Q762" s="42"/>
      <c r="R762" s="42"/>
      <c r="S762" s="42"/>
      <c r="T762" s="42"/>
      <c r="U762" s="42"/>
      <c r="V762" s="42"/>
      <c r="W762" s="42"/>
      <c r="X762" s="42"/>
      <c r="Y762" s="42"/>
      <c r="Z762" s="42"/>
    </row>
    <row r="763" ht="15.75" customHeight="1">
      <c r="A763" s="42"/>
      <c r="B763" s="42"/>
      <c r="C763" s="42"/>
      <c r="D763" s="42"/>
      <c r="E763" s="42"/>
      <c r="F763" s="42"/>
      <c r="G763" s="42"/>
      <c r="H763" s="63"/>
      <c r="I763" s="42"/>
      <c r="J763" s="42"/>
      <c r="K763" s="42"/>
      <c r="L763" s="42"/>
      <c r="M763" s="42"/>
      <c r="N763" s="42"/>
      <c r="O763" s="42"/>
      <c r="P763" s="42"/>
      <c r="Q763" s="42"/>
      <c r="R763" s="42"/>
      <c r="S763" s="42"/>
      <c r="T763" s="42"/>
      <c r="U763" s="42"/>
      <c r="V763" s="42"/>
      <c r="W763" s="42"/>
      <c r="X763" s="42"/>
      <c r="Y763" s="42"/>
      <c r="Z763" s="42"/>
    </row>
    <row r="764" ht="15.75" customHeight="1">
      <c r="A764" s="42"/>
      <c r="B764" s="42"/>
      <c r="C764" s="42"/>
      <c r="D764" s="42"/>
      <c r="E764" s="42"/>
      <c r="F764" s="42"/>
      <c r="G764" s="42"/>
      <c r="H764" s="63"/>
      <c r="I764" s="42"/>
      <c r="J764" s="42"/>
      <c r="K764" s="42"/>
      <c r="L764" s="42"/>
      <c r="M764" s="42"/>
      <c r="N764" s="42"/>
      <c r="O764" s="42"/>
      <c r="P764" s="42"/>
      <c r="Q764" s="42"/>
      <c r="R764" s="42"/>
      <c r="S764" s="42"/>
      <c r="T764" s="42"/>
      <c r="U764" s="42"/>
      <c r="V764" s="42"/>
      <c r="W764" s="42"/>
      <c r="X764" s="42"/>
      <c r="Y764" s="42"/>
      <c r="Z764" s="42"/>
    </row>
    <row r="765" ht="15.75" customHeight="1">
      <c r="A765" s="42"/>
      <c r="B765" s="42"/>
      <c r="C765" s="42"/>
      <c r="D765" s="42"/>
      <c r="E765" s="42"/>
      <c r="F765" s="42"/>
      <c r="G765" s="42"/>
      <c r="H765" s="63"/>
      <c r="I765" s="42"/>
      <c r="J765" s="42"/>
      <c r="K765" s="42"/>
      <c r="L765" s="42"/>
      <c r="M765" s="42"/>
      <c r="N765" s="42"/>
      <c r="O765" s="42"/>
      <c r="P765" s="42"/>
      <c r="Q765" s="42"/>
      <c r="R765" s="42"/>
      <c r="S765" s="42"/>
      <c r="T765" s="42"/>
      <c r="U765" s="42"/>
      <c r="V765" s="42"/>
      <c r="W765" s="42"/>
      <c r="X765" s="42"/>
      <c r="Y765" s="42"/>
      <c r="Z765" s="42"/>
    </row>
    <row r="766" ht="15.75" customHeight="1">
      <c r="A766" s="42"/>
      <c r="B766" s="42"/>
      <c r="C766" s="42"/>
      <c r="D766" s="42"/>
      <c r="E766" s="42"/>
      <c r="F766" s="42"/>
      <c r="G766" s="42"/>
      <c r="H766" s="63"/>
      <c r="I766" s="42"/>
      <c r="J766" s="42"/>
      <c r="K766" s="42"/>
      <c r="L766" s="42"/>
      <c r="M766" s="42"/>
      <c r="N766" s="42"/>
      <c r="O766" s="42"/>
      <c r="P766" s="42"/>
      <c r="Q766" s="42"/>
      <c r="R766" s="42"/>
      <c r="S766" s="42"/>
      <c r="T766" s="42"/>
      <c r="U766" s="42"/>
      <c r="V766" s="42"/>
      <c r="W766" s="42"/>
      <c r="X766" s="42"/>
      <c r="Y766" s="42"/>
      <c r="Z766" s="42"/>
    </row>
    <row r="767" ht="15.75" customHeight="1">
      <c r="A767" s="42"/>
      <c r="B767" s="42"/>
      <c r="C767" s="42"/>
      <c r="D767" s="42"/>
      <c r="E767" s="42"/>
      <c r="F767" s="42"/>
      <c r="G767" s="42"/>
      <c r="H767" s="63"/>
      <c r="I767" s="42"/>
      <c r="J767" s="42"/>
      <c r="K767" s="42"/>
      <c r="L767" s="42"/>
      <c r="M767" s="42"/>
      <c r="N767" s="42"/>
      <c r="O767" s="42"/>
      <c r="P767" s="42"/>
      <c r="Q767" s="42"/>
      <c r="R767" s="42"/>
      <c r="S767" s="42"/>
      <c r="T767" s="42"/>
      <c r="U767" s="42"/>
      <c r="V767" s="42"/>
      <c r="W767" s="42"/>
      <c r="X767" s="42"/>
      <c r="Y767" s="42"/>
      <c r="Z767" s="42"/>
    </row>
    <row r="768" ht="15.75" customHeight="1">
      <c r="A768" s="42"/>
      <c r="B768" s="42"/>
      <c r="C768" s="42"/>
      <c r="D768" s="42"/>
      <c r="E768" s="42"/>
      <c r="F768" s="42"/>
      <c r="G768" s="42"/>
      <c r="H768" s="63"/>
      <c r="I768" s="42"/>
      <c r="J768" s="42"/>
      <c r="K768" s="42"/>
      <c r="L768" s="42"/>
      <c r="M768" s="42"/>
      <c r="N768" s="42"/>
      <c r="O768" s="42"/>
      <c r="P768" s="42"/>
      <c r="Q768" s="42"/>
      <c r="R768" s="42"/>
      <c r="S768" s="42"/>
      <c r="T768" s="42"/>
      <c r="U768" s="42"/>
      <c r="V768" s="42"/>
      <c r="W768" s="42"/>
      <c r="X768" s="42"/>
      <c r="Y768" s="42"/>
      <c r="Z768" s="42"/>
    </row>
    <row r="769" ht="15.75" customHeight="1">
      <c r="A769" s="42"/>
      <c r="B769" s="42"/>
      <c r="C769" s="42"/>
      <c r="D769" s="42"/>
      <c r="E769" s="42"/>
      <c r="F769" s="42"/>
      <c r="G769" s="42"/>
      <c r="H769" s="63"/>
      <c r="I769" s="42"/>
      <c r="J769" s="42"/>
      <c r="K769" s="42"/>
      <c r="L769" s="42"/>
      <c r="M769" s="42"/>
      <c r="N769" s="42"/>
      <c r="O769" s="42"/>
      <c r="P769" s="42"/>
      <c r="Q769" s="42"/>
      <c r="R769" s="42"/>
      <c r="S769" s="42"/>
      <c r="T769" s="42"/>
      <c r="U769" s="42"/>
      <c r="V769" s="42"/>
      <c r="W769" s="42"/>
      <c r="X769" s="42"/>
      <c r="Y769" s="42"/>
      <c r="Z769" s="42"/>
    </row>
    <row r="770" ht="15.75" customHeight="1">
      <c r="A770" s="42"/>
      <c r="B770" s="42"/>
      <c r="C770" s="42"/>
      <c r="D770" s="42"/>
      <c r="E770" s="42"/>
      <c r="F770" s="42"/>
      <c r="G770" s="42"/>
      <c r="H770" s="63"/>
      <c r="I770" s="42"/>
      <c r="J770" s="42"/>
      <c r="K770" s="42"/>
      <c r="L770" s="42"/>
      <c r="M770" s="42"/>
      <c r="N770" s="42"/>
      <c r="O770" s="42"/>
      <c r="P770" s="42"/>
      <c r="Q770" s="42"/>
      <c r="R770" s="42"/>
      <c r="S770" s="42"/>
      <c r="T770" s="42"/>
      <c r="U770" s="42"/>
      <c r="V770" s="42"/>
      <c r="W770" s="42"/>
      <c r="X770" s="42"/>
      <c r="Y770" s="42"/>
      <c r="Z770" s="42"/>
    </row>
    <row r="771" ht="15.75" customHeight="1">
      <c r="A771" s="42"/>
      <c r="B771" s="42"/>
      <c r="C771" s="42"/>
      <c r="D771" s="42"/>
      <c r="E771" s="42"/>
      <c r="F771" s="42"/>
      <c r="G771" s="42"/>
      <c r="H771" s="63"/>
      <c r="I771" s="42"/>
      <c r="J771" s="42"/>
      <c r="K771" s="42"/>
      <c r="L771" s="42"/>
      <c r="M771" s="42"/>
      <c r="N771" s="42"/>
      <c r="O771" s="42"/>
      <c r="P771" s="42"/>
      <c r="Q771" s="42"/>
      <c r="R771" s="42"/>
      <c r="S771" s="42"/>
      <c r="T771" s="42"/>
      <c r="U771" s="42"/>
      <c r="V771" s="42"/>
      <c r="W771" s="42"/>
      <c r="X771" s="42"/>
      <c r="Y771" s="42"/>
      <c r="Z771" s="42"/>
    </row>
    <row r="772" ht="15.75" customHeight="1">
      <c r="A772" s="42"/>
      <c r="B772" s="42"/>
      <c r="C772" s="42"/>
      <c r="D772" s="42"/>
      <c r="E772" s="42"/>
      <c r="F772" s="42"/>
      <c r="G772" s="42"/>
      <c r="H772" s="63"/>
      <c r="I772" s="42"/>
      <c r="J772" s="42"/>
      <c r="K772" s="42"/>
      <c r="L772" s="42"/>
      <c r="M772" s="42"/>
      <c r="N772" s="42"/>
      <c r="O772" s="42"/>
      <c r="P772" s="42"/>
      <c r="Q772" s="42"/>
      <c r="R772" s="42"/>
      <c r="S772" s="42"/>
      <c r="T772" s="42"/>
      <c r="U772" s="42"/>
      <c r="V772" s="42"/>
      <c r="W772" s="42"/>
      <c r="X772" s="42"/>
      <c r="Y772" s="42"/>
      <c r="Z772" s="42"/>
    </row>
    <row r="773" ht="15.75" customHeight="1">
      <c r="A773" s="42"/>
      <c r="B773" s="42"/>
      <c r="C773" s="42"/>
      <c r="D773" s="42"/>
      <c r="E773" s="42"/>
      <c r="F773" s="42"/>
      <c r="G773" s="42"/>
      <c r="H773" s="63"/>
      <c r="I773" s="42"/>
      <c r="J773" s="42"/>
      <c r="K773" s="42"/>
      <c r="L773" s="42"/>
      <c r="M773" s="42"/>
      <c r="N773" s="42"/>
      <c r="O773" s="42"/>
      <c r="P773" s="42"/>
      <c r="Q773" s="42"/>
      <c r="R773" s="42"/>
      <c r="S773" s="42"/>
      <c r="T773" s="42"/>
      <c r="U773" s="42"/>
      <c r="V773" s="42"/>
      <c r="W773" s="42"/>
      <c r="X773" s="42"/>
      <c r="Y773" s="42"/>
      <c r="Z773" s="42"/>
    </row>
    <row r="774" ht="15.75" customHeight="1">
      <c r="A774" s="42"/>
      <c r="B774" s="42"/>
      <c r="C774" s="42"/>
      <c r="D774" s="42"/>
      <c r="E774" s="42"/>
      <c r="F774" s="42"/>
      <c r="G774" s="42"/>
      <c r="H774" s="63"/>
      <c r="I774" s="42"/>
      <c r="J774" s="42"/>
      <c r="K774" s="42"/>
      <c r="L774" s="42"/>
      <c r="M774" s="42"/>
      <c r="N774" s="42"/>
      <c r="O774" s="42"/>
      <c r="P774" s="42"/>
      <c r="Q774" s="42"/>
      <c r="R774" s="42"/>
      <c r="S774" s="42"/>
      <c r="T774" s="42"/>
      <c r="U774" s="42"/>
      <c r="V774" s="42"/>
      <c r="W774" s="42"/>
      <c r="X774" s="42"/>
      <c r="Y774" s="42"/>
      <c r="Z774" s="42"/>
    </row>
    <row r="775" ht="15.75" customHeight="1">
      <c r="A775" s="42"/>
      <c r="B775" s="42"/>
      <c r="C775" s="42"/>
      <c r="D775" s="42"/>
      <c r="E775" s="42"/>
      <c r="F775" s="42"/>
      <c r="G775" s="42"/>
      <c r="H775" s="63"/>
      <c r="I775" s="42"/>
      <c r="J775" s="42"/>
      <c r="K775" s="42"/>
      <c r="L775" s="42"/>
      <c r="M775" s="42"/>
      <c r="N775" s="42"/>
      <c r="O775" s="42"/>
      <c r="P775" s="42"/>
      <c r="Q775" s="42"/>
      <c r="R775" s="42"/>
      <c r="S775" s="42"/>
      <c r="T775" s="42"/>
      <c r="U775" s="42"/>
      <c r="V775" s="42"/>
      <c r="W775" s="42"/>
      <c r="X775" s="42"/>
      <c r="Y775" s="42"/>
      <c r="Z775" s="42"/>
    </row>
    <row r="776" ht="15.75" customHeight="1">
      <c r="A776" s="42"/>
      <c r="B776" s="42"/>
      <c r="C776" s="42"/>
      <c r="D776" s="42"/>
      <c r="E776" s="42"/>
      <c r="F776" s="42"/>
      <c r="G776" s="42"/>
      <c r="H776" s="63"/>
      <c r="I776" s="42"/>
      <c r="J776" s="42"/>
      <c r="K776" s="42"/>
      <c r="L776" s="42"/>
      <c r="M776" s="42"/>
      <c r="N776" s="42"/>
      <c r="O776" s="42"/>
      <c r="P776" s="42"/>
      <c r="Q776" s="42"/>
      <c r="R776" s="42"/>
      <c r="S776" s="42"/>
      <c r="T776" s="42"/>
      <c r="U776" s="42"/>
      <c r="V776" s="42"/>
      <c r="W776" s="42"/>
      <c r="X776" s="42"/>
      <c r="Y776" s="42"/>
      <c r="Z776" s="42"/>
    </row>
    <row r="777" ht="15.75" customHeight="1">
      <c r="A777" s="42"/>
      <c r="B777" s="42"/>
      <c r="C777" s="42"/>
      <c r="D777" s="42"/>
      <c r="E777" s="42"/>
      <c r="F777" s="42"/>
      <c r="G777" s="42"/>
      <c r="H777" s="63"/>
      <c r="I777" s="42"/>
      <c r="J777" s="42"/>
      <c r="K777" s="42"/>
      <c r="L777" s="42"/>
      <c r="M777" s="42"/>
      <c r="N777" s="42"/>
      <c r="O777" s="42"/>
      <c r="P777" s="42"/>
      <c r="Q777" s="42"/>
      <c r="R777" s="42"/>
      <c r="S777" s="42"/>
      <c r="T777" s="42"/>
      <c r="U777" s="42"/>
      <c r="V777" s="42"/>
      <c r="W777" s="42"/>
      <c r="X777" s="42"/>
      <c r="Y777" s="42"/>
      <c r="Z777" s="42"/>
    </row>
    <row r="778" ht="15.75" customHeight="1">
      <c r="A778" s="42"/>
      <c r="B778" s="42"/>
      <c r="C778" s="42"/>
      <c r="D778" s="42"/>
      <c r="E778" s="42"/>
      <c r="F778" s="42"/>
      <c r="G778" s="42"/>
      <c r="H778" s="63"/>
      <c r="I778" s="42"/>
      <c r="J778" s="42"/>
      <c r="K778" s="42"/>
      <c r="L778" s="42"/>
      <c r="M778" s="42"/>
      <c r="N778" s="42"/>
      <c r="O778" s="42"/>
      <c r="P778" s="42"/>
      <c r="Q778" s="42"/>
      <c r="R778" s="42"/>
      <c r="S778" s="42"/>
      <c r="T778" s="42"/>
      <c r="U778" s="42"/>
      <c r="V778" s="42"/>
      <c r="W778" s="42"/>
      <c r="X778" s="42"/>
      <c r="Y778" s="42"/>
      <c r="Z778" s="42"/>
    </row>
    <row r="779" ht="15.75" customHeight="1">
      <c r="A779" s="42"/>
      <c r="B779" s="42"/>
      <c r="C779" s="42"/>
      <c r="D779" s="42"/>
      <c r="E779" s="42"/>
      <c r="F779" s="42"/>
      <c r="G779" s="42"/>
      <c r="H779" s="63"/>
      <c r="I779" s="42"/>
      <c r="J779" s="42"/>
      <c r="K779" s="42"/>
      <c r="L779" s="42"/>
      <c r="M779" s="42"/>
      <c r="N779" s="42"/>
      <c r="O779" s="42"/>
      <c r="P779" s="42"/>
      <c r="Q779" s="42"/>
      <c r="R779" s="42"/>
      <c r="S779" s="42"/>
      <c r="T779" s="42"/>
      <c r="U779" s="42"/>
      <c r="V779" s="42"/>
      <c r="W779" s="42"/>
      <c r="X779" s="42"/>
      <c r="Y779" s="42"/>
      <c r="Z779" s="42"/>
    </row>
    <row r="780" ht="15.75" customHeight="1">
      <c r="A780" s="42"/>
      <c r="B780" s="42"/>
      <c r="C780" s="42"/>
      <c r="D780" s="42"/>
      <c r="E780" s="42"/>
      <c r="F780" s="42"/>
      <c r="G780" s="42"/>
      <c r="H780" s="63"/>
      <c r="I780" s="42"/>
      <c r="J780" s="42"/>
      <c r="K780" s="42"/>
      <c r="L780" s="42"/>
      <c r="M780" s="42"/>
      <c r="N780" s="42"/>
      <c r="O780" s="42"/>
      <c r="P780" s="42"/>
      <c r="Q780" s="42"/>
      <c r="R780" s="42"/>
      <c r="S780" s="42"/>
      <c r="T780" s="42"/>
      <c r="U780" s="42"/>
      <c r="V780" s="42"/>
      <c r="W780" s="42"/>
      <c r="X780" s="42"/>
      <c r="Y780" s="42"/>
      <c r="Z780" s="42"/>
    </row>
    <row r="781" ht="15.75" customHeight="1">
      <c r="A781" s="42"/>
      <c r="B781" s="42"/>
      <c r="C781" s="42"/>
      <c r="D781" s="42"/>
      <c r="E781" s="42"/>
      <c r="F781" s="42"/>
      <c r="G781" s="42"/>
      <c r="H781" s="63"/>
      <c r="I781" s="42"/>
      <c r="J781" s="42"/>
      <c r="K781" s="42"/>
      <c r="L781" s="42"/>
      <c r="M781" s="42"/>
      <c r="N781" s="42"/>
      <c r="O781" s="42"/>
      <c r="P781" s="42"/>
      <c r="Q781" s="42"/>
      <c r="R781" s="42"/>
      <c r="S781" s="42"/>
      <c r="T781" s="42"/>
      <c r="U781" s="42"/>
      <c r="V781" s="42"/>
      <c r="W781" s="42"/>
      <c r="X781" s="42"/>
      <c r="Y781" s="42"/>
      <c r="Z781" s="42"/>
    </row>
    <row r="782" ht="15.75" customHeight="1">
      <c r="A782" s="42"/>
      <c r="B782" s="42"/>
      <c r="C782" s="42"/>
      <c r="D782" s="42"/>
      <c r="E782" s="42"/>
      <c r="F782" s="42"/>
      <c r="G782" s="42"/>
      <c r="H782" s="63"/>
      <c r="I782" s="42"/>
      <c r="J782" s="42"/>
      <c r="K782" s="42"/>
      <c r="L782" s="42"/>
      <c r="M782" s="42"/>
      <c r="N782" s="42"/>
      <c r="O782" s="42"/>
      <c r="P782" s="42"/>
      <c r="Q782" s="42"/>
      <c r="R782" s="42"/>
      <c r="S782" s="42"/>
      <c r="T782" s="42"/>
      <c r="U782" s="42"/>
      <c r="V782" s="42"/>
      <c r="W782" s="42"/>
      <c r="X782" s="42"/>
      <c r="Y782" s="42"/>
      <c r="Z782" s="42"/>
    </row>
    <row r="783" ht="15.75" customHeight="1">
      <c r="A783" s="42"/>
      <c r="B783" s="42"/>
      <c r="C783" s="42"/>
      <c r="D783" s="42"/>
      <c r="E783" s="42"/>
      <c r="F783" s="42"/>
      <c r="G783" s="42"/>
      <c r="H783" s="63"/>
      <c r="I783" s="42"/>
      <c r="J783" s="42"/>
      <c r="K783" s="42"/>
      <c r="L783" s="42"/>
      <c r="M783" s="42"/>
      <c r="N783" s="42"/>
      <c r="O783" s="42"/>
      <c r="P783" s="42"/>
      <c r="Q783" s="42"/>
      <c r="R783" s="42"/>
      <c r="S783" s="42"/>
      <c r="T783" s="42"/>
      <c r="U783" s="42"/>
      <c r="V783" s="42"/>
      <c r="W783" s="42"/>
      <c r="X783" s="42"/>
      <c r="Y783" s="42"/>
      <c r="Z783" s="42"/>
    </row>
    <row r="784" ht="15.75" customHeight="1">
      <c r="A784" s="42"/>
      <c r="B784" s="42"/>
      <c r="C784" s="42"/>
      <c r="D784" s="42"/>
      <c r="E784" s="42"/>
      <c r="F784" s="42"/>
      <c r="G784" s="42"/>
      <c r="H784" s="63"/>
      <c r="I784" s="42"/>
      <c r="J784" s="42"/>
      <c r="K784" s="42"/>
      <c r="L784" s="42"/>
      <c r="M784" s="42"/>
      <c r="N784" s="42"/>
      <c r="O784" s="42"/>
      <c r="P784" s="42"/>
      <c r="Q784" s="42"/>
      <c r="R784" s="42"/>
      <c r="S784" s="42"/>
      <c r="T784" s="42"/>
      <c r="U784" s="42"/>
      <c r="V784" s="42"/>
      <c r="W784" s="42"/>
      <c r="X784" s="42"/>
      <c r="Y784" s="42"/>
      <c r="Z784" s="42"/>
    </row>
    <row r="785" ht="15.75" customHeight="1">
      <c r="A785" s="42"/>
      <c r="B785" s="42"/>
      <c r="C785" s="42"/>
      <c r="D785" s="42"/>
      <c r="E785" s="42"/>
      <c r="F785" s="42"/>
      <c r="G785" s="42"/>
      <c r="H785" s="63"/>
      <c r="I785" s="42"/>
      <c r="J785" s="42"/>
      <c r="K785" s="42"/>
      <c r="L785" s="42"/>
      <c r="M785" s="42"/>
      <c r="N785" s="42"/>
      <c r="O785" s="42"/>
      <c r="P785" s="42"/>
      <c r="Q785" s="42"/>
      <c r="R785" s="42"/>
      <c r="S785" s="42"/>
      <c r="T785" s="42"/>
      <c r="U785" s="42"/>
      <c r="V785" s="42"/>
      <c r="W785" s="42"/>
      <c r="X785" s="42"/>
      <c r="Y785" s="42"/>
      <c r="Z785" s="42"/>
    </row>
    <row r="786" ht="15.75" customHeight="1">
      <c r="A786" s="42"/>
      <c r="B786" s="42"/>
      <c r="C786" s="42"/>
      <c r="D786" s="42"/>
      <c r="E786" s="42"/>
      <c r="F786" s="42"/>
      <c r="G786" s="42"/>
      <c r="H786" s="63"/>
      <c r="I786" s="42"/>
      <c r="J786" s="42"/>
      <c r="K786" s="42"/>
      <c r="L786" s="42"/>
      <c r="M786" s="42"/>
      <c r="N786" s="42"/>
      <c r="O786" s="42"/>
      <c r="P786" s="42"/>
      <c r="Q786" s="42"/>
      <c r="R786" s="42"/>
      <c r="S786" s="42"/>
      <c r="T786" s="42"/>
      <c r="U786" s="42"/>
      <c r="V786" s="42"/>
      <c r="W786" s="42"/>
      <c r="X786" s="42"/>
      <c r="Y786" s="42"/>
      <c r="Z786" s="42"/>
    </row>
    <row r="787" ht="15.75" customHeight="1">
      <c r="A787" s="42"/>
      <c r="B787" s="42"/>
      <c r="C787" s="42"/>
      <c r="D787" s="42"/>
      <c r="E787" s="42"/>
      <c r="F787" s="42"/>
      <c r="G787" s="42"/>
      <c r="H787" s="63"/>
      <c r="I787" s="42"/>
      <c r="J787" s="42"/>
      <c r="K787" s="42"/>
      <c r="L787" s="42"/>
      <c r="M787" s="42"/>
      <c r="N787" s="42"/>
      <c r="O787" s="42"/>
      <c r="P787" s="42"/>
      <c r="Q787" s="42"/>
      <c r="R787" s="42"/>
      <c r="S787" s="42"/>
      <c r="T787" s="42"/>
      <c r="U787" s="42"/>
      <c r="V787" s="42"/>
      <c r="W787" s="42"/>
      <c r="X787" s="42"/>
      <c r="Y787" s="42"/>
      <c r="Z787" s="42"/>
    </row>
    <row r="788" ht="15.75" customHeight="1">
      <c r="A788" s="42"/>
      <c r="B788" s="42"/>
      <c r="C788" s="42"/>
      <c r="D788" s="42"/>
      <c r="E788" s="42"/>
      <c r="F788" s="42"/>
      <c r="G788" s="42"/>
      <c r="H788" s="63"/>
      <c r="I788" s="42"/>
      <c r="J788" s="42"/>
      <c r="K788" s="42"/>
      <c r="L788" s="42"/>
      <c r="M788" s="42"/>
      <c r="N788" s="42"/>
      <c r="O788" s="42"/>
      <c r="P788" s="42"/>
      <c r="Q788" s="42"/>
      <c r="R788" s="42"/>
      <c r="S788" s="42"/>
      <c r="T788" s="42"/>
      <c r="U788" s="42"/>
      <c r="V788" s="42"/>
      <c r="W788" s="42"/>
      <c r="X788" s="42"/>
      <c r="Y788" s="42"/>
      <c r="Z788" s="42"/>
    </row>
    <row r="789" ht="15.75" customHeight="1">
      <c r="A789" s="42"/>
      <c r="B789" s="42"/>
      <c r="C789" s="42"/>
      <c r="D789" s="42"/>
      <c r="E789" s="42"/>
      <c r="F789" s="42"/>
      <c r="G789" s="42"/>
      <c r="H789" s="63"/>
      <c r="I789" s="42"/>
      <c r="J789" s="42"/>
      <c r="K789" s="42"/>
      <c r="L789" s="42"/>
      <c r="M789" s="42"/>
      <c r="N789" s="42"/>
      <c r="O789" s="42"/>
      <c r="P789" s="42"/>
      <c r="Q789" s="42"/>
      <c r="R789" s="42"/>
      <c r="S789" s="42"/>
      <c r="T789" s="42"/>
      <c r="U789" s="42"/>
      <c r="V789" s="42"/>
      <c r="W789" s="42"/>
      <c r="X789" s="42"/>
      <c r="Y789" s="42"/>
      <c r="Z789" s="42"/>
    </row>
    <row r="790" ht="15.75" customHeight="1">
      <c r="A790" s="42"/>
      <c r="B790" s="42"/>
      <c r="C790" s="42"/>
      <c r="D790" s="42"/>
      <c r="E790" s="42"/>
      <c r="F790" s="42"/>
      <c r="G790" s="42"/>
      <c r="H790" s="63"/>
      <c r="I790" s="42"/>
      <c r="J790" s="42"/>
      <c r="K790" s="42"/>
      <c r="L790" s="42"/>
      <c r="M790" s="42"/>
      <c r="N790" s="42"/>
      <c r="O790" s="42"/>
      <c r="P790" s="42"/>
      <c r="Q790" s="42"/>
      <c r="R790" s="42"/>
      <c r="S790" s="42"/>
      <c r="T790" s="42"/>
      <c r="U790" s="42"/>
      <c r="V790" s="42"/>
      <c r="W790" s="42"/>
      <c r="X790" s="42"/>
      <c r="Y790" s="42"/>
      <c r="Z790" s="42"/>
    </row>
    <row r="791" ht="15.75" customHeight="1">
      <c r="A791" s="42"/>
      <c r="B791" s="42"/>
      <c r="C791" s="42"/>
      <c r="D791" s="42"/>
      <c r="E791" s="42"/>
      <c r="F791" s="42"/>
      <c r="G791" s="42"/>
      <c r="H791" s="63"/>
      <c r="I791" s="42"/>
      <c r="J791" s="42"/>
      <c r="K791" s="42"/>
      <c r="L791" s="42"/>
      <c r="M791" s="42"/>
      <c r="N791" s="42"/>
      <c r="O791" s="42"/>
      <c r="P791" s="42"/>
      <c r="Q791" s="42"/>
      <c r="R791" s="42"/>
      <c r="S791" s="42"/>
      <c r="T791" s="42"/>
      <c r="U791" s="42"/>
      <c r="V791" s="42"/>
      <c r="W791" s="42"/>
      <c r="X791" s="42"/>
      <c r="Y791" s="42"/>
      <c r="Z791" s="42"/>
    </row>
    <row r="792" ht="15.75" customHeight="1">
      <c r="A792" s="42"/>
      <c r="B792" s="42"/>
      <c r="C792" s="42"/>
      <c r="D792" s="42"/>
      <c r="E792" s="42"/>
      <c r="F792" s="42"/>
      <c r="G792" s="42"/>
      <c r="H792" s="63"/>
      <c r="I792" s="42"/>
      <c r="J792" s="42"/>
      <c r="K792" s="42"/>
      <c r="L792" s="42"/>
      <c r="M792" s="42"/>
      <c r="N792" s="42"/>
      <c r="O792" s="42"/>
      <c r="P792" s="42"/>
      <c r="Q792" s="42"/>
      <c r="R792" s="42"/>
      <c r="S792" s="42"/>
      <c r="T792" s="42"/>
      <c r="U792" s="42"/>
      <c r="V792" s="42"/>
      <c r="W792" s="42"/>
      <c r="X792" s="42"/>
      <c r="Y792" s="42"/>
      <c r="Z792" s="42"/>
    </row>
    <row r="793" ht="15.75" customHeight="1">
      <c r="A793" s="42"/>
      <c r="B793" s="42"/>
      <c r="C793" s="42"/>
      <c r="D793" s="42"/>
      <c r="E793" s="42"/>
      <c r="F793" s="42"/>
      <c r="G793" s="42"/>
      <c r="H793" s="63"/>
      <c r="I793" s="42"/>
      <c r="J793" s="42"/>
      <c r="K793" s="42"/>
      <c r="L793" s="42"/>
      <c r="M793" s="42"/>
      <c r="N793" s="42"/>
      <c r="O793" s="42"/>
      <c r="P793" s="42"/>
      <c r="Q793" s="42"/>
      <c r="R793" s="42"/>
      <c r="S793" s="42"/>
      <c r="T793" s="42"/>
      <c r="U793" s="42"/>
      <c r="V793" s="42"/>
      <c r="W793" s="42"/>
      <c r="X793" s="42"/>
      <c r="Y793" s="42"/>
      <c r="Z793" s="42"/>
    </row>
    <row r="794" ht="15.75" customHeight="1">
      <c r="A794" s="42"/>
      <c r="B794" s="42"/>
      <c r="C794" s="42"/>
      <c r="D794" s="42"/>
      <c r="E794" s="42"/>
      <c r="F794" s="42"/>
      <c r="G794" s="42"/>
      <c r="H794" s="63"/>
      <c r="I794" s="42"/>
      <c r="J794" s="42"/>
      <c r="K794" s="42"/>
      <c r="L794" s="42"/>
      <c r="M794" s="42"/>
      <c r="N794" s="42"/>
      <c r="O794" s="42"/>
      <c r="P794" s="42"/>
      <c r="Q794" s="42"/>
      <c r="R794" s="42"/>
      <c r="S794" s="42"/>
      <c r="T794" s="42"/>
      <c r="U794" s="42"/>
      <c r="V794" s="42"/>
      <c r="W794" s="42"/>
      <c r="X794" s="42"/>
      <c r="Y794" s="42"/>
      <c r="Z794" s="42"/>
    </row>
    <row r="795" ht="15.75" customHeight="1">
      <c r="A795" s="42"/>
      <c r="B795" s="42"/>
      <c r="C795" s="42"/>
      <c r="D795" s="42"/>
      <c r="E795" s="42"/>
      <c r="F795" s="42"/>
      <c r="G795" s="42"/>
      <c r="H795" s="63"/>
      <c r="I795" s="42"/>
      <c r="J795" s="42"/>
      <c r="K795" s="42"/>
      <c r="L795" s="42"/>
      <c r="M795" s="42"/>
      <c r="N795" s="42"/>
      <c r="O795" s="42"/>
      <c r="P795" s="42"/>
      <c r="Q795" s="42"/>
      <c r="R795" s="42"/>
      <c r="S795" s="42"/>
      <c r="T795" s="42"/>
      <c r="U795" s="42"/>
      <c r="V795" s="42"/>
      <c r="W795" s="42"/>
      <c r="X795" s="42"/>
      <c r="Y795" s="42"/>
      <c r="Z795" s="42"/>
    </row>
    <row r="796" ht="15.75" customHeight="1">
      <c r="A796" s="42"/>
      <c r="B796" s="42"/>
      <c r="C796" s="42"/>
      <c r="D796" s="42"/>
      <c r="E796" s="42"/>
      <c r="F796" s="42"/>
      <c r="G796" s="42"/>
      <c r="H796" s="63"/>
      <c r="I796" s="42"/>
      <c r="J796" s="42"/>
      <c r="K796" s="42"/>
      <c r="L796" s="42"/>
      <c r="M796" s="42"/>
      <c r="N796" s="42"/>
      <c r="O796" s="42"/>
      <c r="P796" s="42"/>
      <c r="Q796" s="42"/>
      <c r="R796" s="42"/>
      <c r="S796" s="42"/>
      <c r="T796" s="42"/>
      <c r="U796" s="42"/>
      <c r="V796" s="42"/>
      <c r="W796" s="42"/>
      <c r="X796" s="42"/>
      <c r="Y796" s="42"/>
      <c r="Z796" s="42"/>
    </row>
    <row r="797" ht="15.75" customHeight="1">
      <c r="A797" s="42"/>
      <c r="B797" s="42"/>
      <c r="C797" s="42"/>
      <c r="D797" s="42"/>
      <c r="E797" s="42"/>
      <c r="F797" s="42"/>
      <c r="G797" s="42"/>
      <c r="H797" s="63"/>
      <c r="I797" s="42"/>
      <c r="J797" s="42"/>
      <c r="K797" s="42"/>
      <c r="L797" s="42"/>
      <c r="M797" s="42"/>
      <c r="N797" s="42"/>
      <c r="O797" s="42"/>
      <c r="P797" s="42"/>
      <c r="Q797" s="42"/>
      <c r="R797" s="42"/>
      <c r="S797" s="42"/>
      <c r="T797" s="42"/>
      <c r="U797" s="42"/>
      <c r="V797" s="42"/>
      <c r="W797" s="42"/>
      <c r="X797" s="42"/>
      <c r="Y797" s="42"/>
      <c r="Z797" s="42"/>
    </row>
    <row r="798" ht="15.75" customHeight="1">
      <c r="A798" s="42"/>
      <c r="B798" s="42"/>
      <c r="C798" s="42"/>
      <c r="D798" s="42"/>
      <c r="E798" s="42"/>
      <c r="F798" s="42"/>
      <c r="G798" s="42"/>
      <c r="H798" s="63"/>
      <c r="I798" s="42"/>
      <c r="J798" s="42"/>
      <c r="K798" s="42"/>
      <c r="L798" s="42"/>
      <c r="M798" s="42"/>
      <c r="N798" s="42"/>
      <c r="O798" s="42"/>
      <c r="P798" s="42"/>
      <c r="Q798" s="42"/>
      <c r="R798" s="42"/>
      <c r="S798" s="42"/>
      <c r="T798" s="42"/>
      <c r="U798" s="42"/>
      <c r="V798" s="42"/>
      <c r="W798" s="42"/>
      <c r="X798" s="42"/>
      <c r="Y798" s="42"/>
      <c r="Z798" s="42"/>
    </row>
    <row r="799" ht="15.75" customHeight="1">
      <c r="A799" s="42"/>
      <c r="B799" s="42"/>
      <c r="C799" s="42"/>
      <c r="D799" s="42"/>
      <c r="E799" s="42"/>
      <c r="F799" s="42"/>
      <c r="G799" s="42"/>
      <c r="H799" s="63"/>
      <c r="I799" s="42"/>
      <c r="J799" s="42"/>
      <c r="K799" s="42"/>
      <c r="L799" s="42"/>
      <c r="M799" s="42"/>
      <c r="N799" s="42"/>
      <c r="O799" s="42"/>
      <c r="P799" s="42"/>
      <c r="Q799" s="42"/>
      <c r="R799" s="42"/>
      <c r="S799" s="42"/>
      <c r="T799" s="42"/>
      <c r="U799" s="42"/>
      <c r="V799" s="42"/>
      <c r="W799" s="42"/>
      <c r="X799" s="42"/>
      <c r="Y799" s="42"/>
      <c r="Z799" s="42"/>
    </row>
    <row r="800" ht="15.75" customHeight="1">
      <c r="A800" s="42"/>
      <c r="B800" s="42"/>
      <c r="C800" s="42"/>
      <c r="D800" s="42"/>
      <c r="E800" s="42"/>
      <c r="F800" s="42"/>
      <c r="G800" s="42"/>
      <c r="H800" s="63"/>
      <c r="I800" s="42"/>
      <c r="J800" s="42"/>
      <c r="K800" s="42"/>
      <c r="L800" s="42"/>
      <c r="M800" s="42"/>
      <c r="N800" s="42"/>
      <c r="O800" s="42"/>
      <c r="P800" s="42"/>
      <c r="Q800" s="42"/>
      <c r="R800" s="42"/>
      <c r="S800" s="42"/>
      <c r="T800" s="42"/>
      <c r="U800" s="42"/>
      <c r="V800" s="42"/>
      <c r="W800" s="42"/>
      <c r="X800" s="42"/>
      <c r="Y800" s="42"/>
      <c r="Z800" s="42"/>
    </row>
    <row r="801" ht="15.75" customHeight="1">
      <c r="A801" s="42"/>
      <c r="B801" s="42"/>
      <c r="C801" s="42"/>
      <c r="D801" s="42"/>
      <c r="E801" s="42"/>
      <c r="F801" s="42"/>
      <c r="G801" s="42"/>
      <c r="H801" s="63"/>
      <c r="I801" s="42"/>
      <c r="J801" s="42"/>
      <c r="K801" s="42"/>
      <c r="L801" s="42"/>
      <c r="M801" s="42"/>
      <c r="N801" s="42"/>
      <c r="O801" s="42"/>
      <c r="P801" s="42"/>
      <c r="Q801" s="42"/>
      <c r="R801" s="42"/>
      <c r="S801" s="42"/>
      <c r="T801" s="42"/>
      <c r="U801" s="42"/>
      <c r="V801" s="42"/>
      <c r="W801" s="42"/>
      <c r="X801" s="42"/>
      <c r="Y801" s="42"/>
      <c r="Z801" s="42"/>
    </row>
    <row r="802" ht="15.75" customHeight="1">
      <c r="A802" s="42"/>
      <c r="B802" s="42"/>
      <c r="C802" s="42"/>
      <c r="D802" s="42"/>
      <c r="E802" s="42"/>
      <c r="F802" s="42"/>
      <c r="G802" s="42"/>
      <c r="H802" s="63"/>
      <c r="I802" s="42"/>
      <c r="J802" s="42"/>
      <c r="K802" s="42"/>
      <c r="L802" s="42"/>
      <c r="M802" s="42"/>
      <c r="N802" s="42"/>
      <c r="O802" s="42"/>
      <c r="P802" s="42"/>
      <c r="Q802" s="42"/>
      <c r="R802" s="42"/>
      <c r="S802" s="42"/>
      <c r="T802" s="42"/>
      <c r="U802" s="42"/>
      <c r="V802" s="42"/>
      <c r="W802" s="42"/>
      <c r="X802" s="42"/>
      <c r="Y802" s="42"/>
      <c r="Z802" s="42"/>
    </row>
    <row r="803" ht="15.75" customHeight="1">
      <c r="A803" s="42"/>
      <c r="B803" s="42"/>
      <c r="C803" s="42"/>
      <c r="D803" s="42"/>
      <c r="E803" s="42"/>
      <c r="F803" s="42"/>
      <c r="G803" s="42"/>
      <c r="H803" s="63"/>
      <c r="I803" s="42"/>
      <c r="J803" s="42"/>
      <c r="K803" s="42"/>
      <c r="L803" s="42"/>
      <c r="M803" s="42"/>
      <c r="N803" s="42"/>
      <c r="O803" s="42"/>
      <c r="P803" s="42"/>
      <c r="Q803" s="42"/>
      <c r="R803" s="42"/>
      <c r="S803" s="42"/>
      <c r="T803" s="42"/>
      <c r="U803" s="42"/>
      <c r="V803" s="42"/>
      <c r="W803" s="42"/>
      <c r="X803" s="42"/>
      <c r="Y803" s="42"/>
      <c r="Z803" s="42"/>
    </row>
    <row r="804" ht="15.75" customHeight="1">
      <c r="A804" s="42"/>
      <c r="B804" s="42"/>
      <c r="C804" s="42"/>
      <c r="D804" s="42"/>
      <c r="E804" s="42"/>
      <c r="F804" s="42"/>
      <c r="G804" s="42"/>
      <c r="H804" s="63"/>
      <c r="I804" s="42"/>
      <c r="J804" s="42"/>
      <c r="K804" s="42"/>
      <c r="L804" s="42"/>
      <c r="M804" s="42"/>
      <c r="N804" s="42"/>
      <c r="O804" s="42"/>
      <c r="P804" s="42"/>
      <c r="Q804" s="42"/>
      <c r="R804" s="42"/>
      <c r="S804" s="42"/>
      <c r="T804" s="42"/>
      <c r="U804" s="42"/>
      <c r="V804" s="42"/>
      <c r="W804" s="42"/>
      <c r="X804" s="42"/>
      <c r="Y804" s="42"/>
      <c r="Z804" s="42"/>
    </row>
    <row r="805" ht="15.75" customHeight="1">
      <c r="A805" s="42"/>
      <c r="B805" s="42"/>
      <c r="C805" s="42"/>
      <c r="D805" s="42"/>
      <c r="E805" s="42"/>
      <c r="F805" s="42"/>
      <c r="G805" s="42"/>
      <c r="H805" s="63"/>
      <c r="I805" s="42"/>
      <c r="J805" s="42"/>
      <c r="K805" s="42"/>
      <c r="L805" s="42"/>
      <c r="M805" s="42"/>
      <c r="N805" s="42"/>
      <c r="O805" s="42"/>
      <c r="P805" s="42"/>
      <c r="Q805" s="42"/>
      <c r="R805" s="42"/>
      <c r="S805" s="42"/>
      <c r="T805" s="42"/>
      <c r="U805" s="42"/>
      <c r="V805" s="42"/>
      <c r="W805" s="42"/>
      <c r="X805" s="42"/>
      <c r="Y805" s="42"/>
      <c r="Z805" s="42"/>
    </row>
    <row r="806" ht="15.75" customHeight="1">
      <c r="A806" s="42"/>
      <c r="B806" s="42"/>
      <c r="C806" s="42"/>
      <c r="D806" s="42"/>
      <c r="E806" s="42"/>
      <c r="F806" s="42"/>
      <c r="G806" s="42"/>
      <c r="H806" s="63"/>
      <c r="I806" s="42"/>
      <c r="J806" s="42"/>
      <c r="K806" s="42"/>
      <c r="L806" s="42"/>
      <c r="M806" s="42"/>
      <c r="N806" s="42"/>
      <c r="O806" s="42"/>
      <c r="P806" s="42"/>
      <c r="Q806" s="42"/>
      <c r="R806" s="42"/>
      <c r="S806" s="42"/>
      <c r="T806" s="42"/>
      <c r="U806" s="42"/>
      <c r="V806" s="42"/>
      <c r="W806" s="42"/>
      <c r="X806" s="42"/>
      <c r="Y806" s="42"/>
      <c r="Z806" s="42"/>
    </row>
    <row r="807" ht="15.75" customHeight="1">
      <c r="A807" s="42"/>
      <c r="B807" s="42"/>
      <c r="C807" s="42"/>
      <c r="D807" s="42"/>
      <c r="E807" s="42"/>
      <c r="F807" s="42"/>
      <c r="G807" s="42"/>
      <c r="H807" s="63"/>
      <c r="I807" s="42"/>
      <c r="J807" s="42"/>
      <c r="K807" s="42"/>
      <c r="L807" s="42"/>
      <c r="M807" s="42"/>
      <c r="N807" s="42"/>
      <c r="O807" s="42"/>
      <c r="P807" s="42"/>
      <c r="Q807" s="42"/>
      <c r="R807" s="42"/>
      <c r="S807" s="42"/>
      <c r="T807" s="42"/>
      <c r="U807" s="42"/>
      <c r="V807" s="42"/>
      <c r="W807" s="42"/>
      <c r="X807" s="42"/>
      <c r="Y807" s="42"/>
      <c r="Z807" s="42"/>
    </row>
    <row r="808" ht="15.75" customHeight="1">
      <c r="A808" s="42"/>
      <c r="B808" s="42"/>
      <c r="C808" s="42"/>
      <c r="D808" s="42"/>
      <c r="E808" s="42"/>
      <c r="F808" s="42"/>
      <c r="G808" s="42"/>
      <c r="H808" s="63"/>
      <c r="I808" s="42"/>
      <c r="J808" s="42"/>
      <c r="K808" s="42"/>
      <c r="L808" s="42"/>
      <c r="M808" s="42"/>
      <c r="N808" s="42"/>
      <c r="O808" s="42"/>
      <c r="P808" s="42"/>
      <c r="Q808" s="42"/>
      <c r="R808" s="42"/>
      <c r="S808" s="42"/>
      <c r="T808" s="42"/>
      <c r="U808" s="42"/>
      <c r="V808" s="42"/>
      <c r="W808" s="42"/>
      <c r="X808" s="42"/>
      <c r="Y808" s="42"/>
      <c r="Z808" s="42"/>
    </row>
    <row r="809" ht="15.75" customHeight="1">
      <c r="A809" s="42"/>
      <c r="B809" s="42"/>
      <c r="C809" s="42"/>
      <c r="D809" s="42"/>
      <c r="E809" s="42"/>
      <c r="F809" s="42"/>
      <c r="G809" s="42"/>
      <c r="H809" s="63"/>
      <c r="I809" s="42"/>
      <c r="J809" s="42"/>
      <c r="K809" s="42"/>
      <c r="L809" s="42"/>
      <c r="M809" s="42"/>
      <c r="N809" s="42"/>
      <c r="O809" s="42"/>
      <c r="P809" s="42"/>
      <c r="Q809" s="42"/>
      <c r="R809" s="42"/>
      <c r="S809" s="42"/>
      <c r="T809" s="42"/>
      <c r="U809" s="42"/>
      <c r="V809" s="42"/>
      <c r="W809" s="42"/>
      <c r="X809" s="42"/>
      <c r="Y809" s="42"/>
      <c r="Z809" s="42"/>
    </row>
    <row r="810" ht="15.75" customHeight="1">
      <c r="A810" s="42"/>
      <c r="B810" s="42"/>
      <c r="C810" s="42"/>
      <c r="D810" s="42"/>
      <c r="E810" s="42"/>
      <c r="F810" s="42"/>
      <c r="G810" s="42"/>
      <c r="H810" s="63"/>
      <c r="I810" s="42"/>
      <c r="J810" s="42"/>
      <c r="K810" s="42"/>
      <c r="L810" s="42"/>
      <c r="M810" s="42"/>
      <c r="N810" s="42"/>
      <c r="O810" s="42"/>
      <c r="P810" s="42"/>
      <c r="Q810" s="42"/>
      <c r="R810" s="42"/>
      <c r="S810" s="42"/>
      <c r="T810" s="42"/>
      <c r="U810" s="42"/>
      <c r="V810" s="42"/>
      <c r="W810" s="42"/>
      <c r="X810" s="42"/>
      <c r="Y810" s="42"/>
      <c r="Z810" s="42"/>
    </row>
    <row r="811" ht="15.75" customHeight="1">
      <c r="A811" s="42"/>
      <c r="B811" s="42"/>
      <c r="C811" s="42"/>
      <c r="D811" s="42"/>
      <c r="E811" s="42"/>
      <c r="F811" s="42"/>
      <c r="G811" s="42"/>
      <c r="H811" s="63"/>
      <c r="I811" s="42"/>
      <c r="J811" s="42"/>
      <c r="K811" s="42"/>
      <c r="L811" s="42"/>
      <c r="M811" s="42"/>
      <c r="N811" s="42"/>
      <c r="O811" s="42"/>
      <c r="P811" s="42"/>
      <c r="Q811" s="42"/>
      <c r="R811" s="42"/>
      <c r="S811" s="42"/>
      <c r="T811" s="42"/>
      <c r="U811" s="42"/>
      <c r="V811" s="42"/>
      <c r="W811" s="42"/>
      <c r="X811" s="42"/>
      <c r="Y811" s="42"/>
      <c r="Z811" s="42"/>
    </row>
    <row r="812" ht="15.75" customHeight="1">
      <c r="A812" s="42"/>
      <c r="B812" s="42"/>
      <c r="C812" s="42"/>
      <c r="D812" s="42"/>
      <c r="E812" s="42"/>
      <c r="F812" s="42"/>
      <c r="G812" s="42"/>
      <c r="H812" s="63"/>
      <c r="I812" s="42"/>
      <c r="J812" s="42"/>
      <c r="K812" s="42"/>
      <c r="L812" s="42"/>
      <c r="M812" s="42"/>
      <c r="N812" s="42"/>
      <c r="O812" s="42"/>
      <c r="P812" s="42"/>
      <c r="Q812" s="42"/>
      <c r="R812" s="42"/>
      <c r="S812" s="42"/>
      <c r="T812" s="42"/>
      <c r="U812" s="42"/>
      <c r="V812" s="42"/>
      <c r="W812" s="42"/>
      <c r="X812" s="42"/>
      <c r="Y812" s="42"/>
      <c r="Z812" s="42"/>
    </row>
    <row r="813" ht="15.75" customHeight="1">
      <c r="A813" s="42"/>
      <c r="B813" s="42"/>
      <c r="C813" s="42"/>
      <c r="D813" s="42"/>
      <c r="E813" s="42"/>
      <c r="F813" s="42"/>
      <c r="G813" s="42"/>
      <c r="H813" s="63"/>
      <c r="I813" s="42"/>
      <c r="J813" s="42"/>
      <c r="K813" s="42"/>
      <c r="L813" s="42"/>
      <c r="M813" s="42"/>
      <c r="N813" s="42"/>
      <c r="O813" s="42"/>
      <c r="P813" s="42"/>
      <c r="Q813" s="42"/>
      <c r="R813" s="42"/>
      <c r="S813" s="42"/>
      <c r="T813" s="42"/>
      <c r="U813" s="42"/>
      <c r="V813" s="42"/>
      <c r="W813" s="42"/>
      <c r="X813" s="42"/>
      <c r="Y813" s="42"/>
      <c r="Z813" s="42"/>
    </row>
    <row r="814" ht="15.75" customHeight="1">
      <c r="A814" s="42"/>
      <c r="B814" s="42"/>
      <c r="C814" s="42"/>
      <c r="D814" s="42"/>
      <c r="E814" s="42"/>
      <c r="F814" s="42"/>
      <c r="G814" s="42"/>
      <c r="H814" s="63"/>
      <c r="I814" s="42"/>
      <c r="J814" s="42"/>
      <c r="K814" s="42"/>
      <c r="L814" s="42"/>
      <c r="M814" s="42"/>
      <c r="N814" s="42"/>
      <c r="O814" s="42"/>
      <c r="P814" s="42"/>
      <c r="Q814" s="42"/>
      <c r="R814" s="42"/>
      <c r="S814" s="42"/>
      <c r="T814" s="42"/>
      <c r="U814" s="42"/>
      <c r="V814" s="42"/>
      <c r="W814" s="42"/>
      <c r="X814" s="42"/>
      <c r="Y814" s="42"/>
      <c r="Z814" s="42"/>
    </row>
    <row r="815" ht="15.75" customHeight="1">
      <c r="A815" s="42"/>
      <c r="B815" s="42"/>
      <c r="C815" s="42"/>
      <c r="D815" s="42"/>
      <c r="E815" s="42"/>
      <c r="F815" s="42"/>
      <c r="G815" s="42"/>
      <c r="H815" s="63"/>
      <c r="I815" s="42"/>
      <c r="J815" s="42"/>
      <c r="K815" s="42"/>
      <c r="L815" s="42"/>
      <c r="M815" s="42"/>
      <c r="N815" s="42"/>
      <c r="O815" s="42"/>
      <c r="P815" s="42"/>
      <c r="Q815" s="42"/>
      <c r="R815" s="42"/>
      <c r="S815" s="42"/>
      <c r="T815" s="42"/>
      <c r="U815" s="42"/>
      <c r="V815" s="42"/>
      <c r="W815" s="42"/>
      <c r="X815" s="42"/>
      <c r="Y815" s="42"/>
      <c r="Z815" s="42"/>
    </row>
    <row r="816" ht="15.75" customHeight="1">
      <c r="A816" s="42"/>
      <c r="B816" s="42"/>
      <c r="C816" s="42"/>
      <c r="D816" s="42"/>
      <c r="E816" s="42"/>
      <c r="F816" s="42"/>
      <c r="G816" s="42"/>
      <c r="H816" s="63"/>
      <c r="I816" s="42"/>
      <c r="J816" s="42"/>
      <c r="K816" s="42"/>
      <c r="L816" s="42"/>
      <c r="M816" s="42"/>
      <c r="N816" s="42"/>
      <c r="O816" s="42"/>
      <c r="P816" s="42"/>
      <c r="Q816" s="42"/>
      <c r="R816" s="42"/>
      <c r="S816" s="42"/>
      <c r="T816" s="42"/>
      <c r="U816" s="42"/>
      <c r="V816" s="42"/>
      <c r="W816" s="42"/>
      <c r="X816" s="42"/>
      <c r="Y816" s="42"/>
      <c r="Z816" s="42"/>
    </row>
    <row r="817" ht="15.75" customHeight="1">
      <c r="A817" s="42"/>
      <c r="B817" s="42"/>
      <c r="C817" s="42"/>
      <c r="D817" s="42"/>
      <c r="E817" s="42"/>
      <c r="F817" s="42"/>
      <c r="G817" s="42"/>
      <c r="H817" s="63"/>
      <c r="I817" s="42"/>
      <c r="J817" s="42"/>
      <c r="K817" s="42"/>
      <c r="L817" s="42"/>
      <c r="M817" s="42"/>
      <c r="N817" s="42"/>
      <c r="O817" s="42"/>
      <c r="P817" s="42"/>
      <c r="Q817" s="42"/>
      <c r="R817" s="42"/>
      <c r="S817" s="42"/>
      <c r="T817" s="42"/>
      <c r="U817" s="42"/>
      <c r="V817" s="42"/>
      <c r="W817" s="42"/>
      <c r="X817" s="42"/>
      <c r="Y817" s="42"/>
      <c r="Z817" s="42"/>
    </row>
    <row r="818" ht="15.75" customHeight="1">
      <c r="A818" s="42"/>
      <c r="B818" s="42"/>
      <c r="C818" s="42"/>
      <c r="D818" s="42"/>
      <c r="E818" s="42"/>
      <c r="F818" s="42"/>
      <c r="G818" s="42"/>
      <c r="H818" s="63"/>
      <c r="I818" s="42"/>
      <c r="J818" s="42"/>
      <c r="K818" s="42"/>
      <c r="L818" s="42"/>
      <c r="M818" s="42"/>
      <c r="N818" s="42"/>
      <c r="O818" s="42"/>
      <c r="P818" s="42"/>
      <c r="Q818" s="42"/>
      <c r="R818" s="42"/>
      <c r="S818" s="42"/>
      <c r="T818" s="42"/>
      <c r="U818" s="42"/>
      <c r="V818" s="42"/>
      <c r="W818" s="42"/>
      <c r="X818" s="42"/>
      <c r="Y818" s="42"/>
      <c r="Z818" s="42"/>
    </row>
    <row r="819" ht="15.75" customHeight="1">
      <c r="A819" s="42"/>
      <c r="B819" s="42"/>
      <c r="C819" s="42"/>
      <c r="D819" s="42"/>
      <c r="E819" s="42"/>
      <c r="F819" s="42"/>
      <c r="G819" s="42"/>
      <c r="H819" s="63"/>
      <c r="I819" s="42"/>
      <c r="J819" s="42"/>
      <c r="K819" s="42"/>
      <c r="L819" s="42"/>
      <c r="M819" s="42"/>
      <c r="N819" s="42"/>
      <c r="O819" s="42"/>
      <c r="P819" s="42"/>
      <c r="Q819" s="42"/>
      <c r="R819" s="42"/>
      <c r="S819" s="42"/>
      <c r="T819" s="42"/>
      <c r="U819" s="42"/>
      <c r="V819" s="42"/>
      <c r="W819" s="42"/>
      <c r="X819" s="42"/>
      <c r="Y819" s="42"/>
      <c r="Z819" s="42"/>
    </row>
    <row r="820" ht="15.75" customHeight="1">
      <c r="A820" s="42"/>
      <c r="B820" s="42"/>
      <c r="C820" s="42"/>
      <c r="D820" s="42"/>
      <c r="E820" s="42"/>
      <c r="F820" s="42"/>
      <c r="G820" s="42"/>
      <c r="H820" s="63"/>
      <c r="I820" s="42"/>
      <c r="J820" s="42"/>
      <c r="K820" s="42"/>
      <c r="L820" s="42"/>
      <c r="M820" s="42"/>
      <c r="N820" s="42"/>
      <c r="O820" s="42"/>
      <c r="P820" s="42"/>
      <c r="Q820" s="42"/>
      <c r="R820" s="42"/>
      <c r="S820" s="42"/>
      <c r="T820" s="42"/>
      <c r="U820" s="42"/>
      <c r="V820" s="42"/>
      <c r="W820" s="42"/>
      <c r="X820" s="42"/>
      <c r="Y820" s="42"/>
      <c r="Z820" s="42"/>
    </row>
    <row r="821" ht="15.75" customHeight="1">
      <c r="A821" s="42"/>
      <c r="B821" s="42"/>
      <c r="C821" s="42"/>
      <c r="D821" s="42"/>
      <c r="E821" s="42"/>
      <c r="F821" s="42"/>
      <c r="G821" s="42"/>
      <c r="H821" s="63"/>
      <c r="I821" s="42"/>
      <c r="J821" s="42"/>
      <c r="K821" s="42"/>
      <c r="L821" s="42"/>
      <c r="M821" s="42"/>
      <c r="N821" s="42"/>
      <c r="O821" s="42"/>
      <c r="P821" s="42"/>
      <c r="Q821" s="42"/>
      <c r="R821" s="42"/>
      <c r="S821" s="42"/>
      <c r="T821" s="42"/>
      <c r="U821" s="42"/>
      <c r="V821" s="42"/>
      <c r="W821" s="42"/>
      <c r="X821" s="42"/>
      <c r="Y821" s="42"/>
      <c r="Z821" s="42"/>
    </row>
    <row r="822" ht="15.75" customHeight="1">
      <c r="A822" s="42"/>
      <c r="B822" s="42"/>
      <c r="C822" s="42"/>
      <c r="D822" s="42"/>
      <c r="E822" s="42"/>
      <c r="F822" s="42"/>
      <c r="G822" s="42"/>
      <c r="H822" s="63"/>
      <c r="I822" s="42"/>
      <c r="J822" s="42"/>
      <c r="K822" s="42"/>
      <c r="L822" s="42"/>
      <c r="M822" s="42"/>
      <c r="N822" s="42"/>
      <c r="O822" s="42"/>
      <c r="P822" s="42"/>
      <c r="Q822" s="42"/>
      <c r="R822" s="42"/>
      <c r="S822" s="42"/>
      <c r="T822" s="42"/>
      <c r="U822" s="42"/>
      <c r="V822" s="42"/>
      <c r="W822" s="42"/>
      <c r="X822" s="42"/>
      <c r="Y822" s="42"/>
      <c r="Z822" s="42"/>
    </row>
    <row r="823" ht="15.75" customHeight="1">
      <c r="A823" s="42"/>
      <c r="B823" s="42"/>
      <c r="C823" s="42"/>
      <c r="D823" s="42"/>
      <c r="E823" s="42"/>
      <c r="F823" s="42"/>
      <c r="G823" s="42"/>
      <c r="H823" s="63"/>
      <c r="I823" s="42"/>
      <c r="J823" s="42"/>
      <c r="K823" s="42"/>
      <c r="L823" s="42"/>
      <c r="M823" s="42"/>
      <c r="N823" s="42"/>
      <c r="O823" s="42"/>
      <c r="P823" s="42"/>
      <c r="Q823" s="42"/>
      <c r="R823" s="42"/>
      <c r="S823" s="42"/>
      <c r="T823" s="42"/>
      <c r="U823" s="42"/>
      <c r="V823" s="42"/>
      <c r="W823" s="42"/>
      <c r="X823" s="42"/>
      <c r="Y823" s="42"/>
      <c r="Z823" s="42"/>
    </row>
    <row r="824" ht="15.75" customHeight="1">
      <c r="A824" s="42"/>
      <c r="B824" s="42"/>
      <c r="C824" s="42"/>
      <c r="D824" s="42"/>
      <c r="E824" s="42"/>
      <c r="F824" s="42"/>
      <c r="G824" s="42"/>
      <c r="H824" s="63"/>
      <c r="I824" s="42"/>
      <c r="J824" s="42"/>
      <c r="K824" s="42"/>
      <c r="L824" s="42"/>
      <c r="M824" s="42"/>
      <c r="N824" s="42"/>
      <c r="O824" s="42"/>
      <c r="P824" s="42"/>
      <c r="Q824" s="42"/>
      <c r="R824" s="42"/>
      <c r="S824" s="42"/>
      <c r="T824" s="42"/>
      <c r="U824" s="42"/>
      <c r="V824" s="42"/>
      <c r="W824" s="42"/>
      <c r="X824" s="42"/>
      <c r="Y824" s="42"/>
      <c r="Z824" s="42"/>
    </row>
    <row r="825" ht="15.75" customHeight="1">
      <c r="A825" s="42"/>
      <c r="B825" s="42"/>
      <c r="C825" s="42"/>
      <c r="D825" s="42"/>
      <c r="E825" s="42"/>
      <c r="F825" s="42"/>
      <c r="G825" s="42"/>
      <c r="H825" s="63"/>
      <c r="I825" s="42"/>
      <c r="J825" s="42"/>
      <c r="K825" s="42"/>
      <c r="L825" s="42"/>
      <c r="M825" s="42"/>
      <c r="N825" s="42"/>
      <c r="O825" s="42"/>
      <c r="P825" s="42"/>
      <c r="Q825" s="42"/>
      <c r="R825" s="42"/>
      <c r="S825" s="42"/>
      <c r="T825" s="42"/>
      <c r="U825" s="42"/>
      <c r="V825" s="42"/>
      <c r="W825" s="42"/>
      <c r="X825" s="42"/>
      <c r="Y825" s="42"/>
      <c r="Z825" s="42"/>
    </row>
    <row r="826" ht="15.75" customHeight="1">
      <c r="A826" s="42"/>
      <c r="B826" s="42"/>
      <c r="C826" s="42"/>
      <c r="D826" s="42"/>
      <c r="E826" s="42"/>
      <c r="F826" s="42"/>
      <c r="G826" s="42"/>
      <c r="H826" s="63"/>
      <c r="I826" s="42"/>
      <c r="J826" s="42"/>
      <c r="K826" s="42"/>
      <c r="L826" s="42"/>
      <c r="M826" s="42"/>
      <c r="N826" s="42"/>
      <c r="O826" s="42"/>
      <c r="P826" s="42"/>
      <c r="Q826" s="42"/>
      <c r="R826" s="42"/>
      <c r="S826" s="42"/>
      <c r="T826" s="42"/>
      <c r="U826" s="42"/>
      <c r="V826" s="42"/>
      <c r="W826" s="42"/>
      <c r="X826" s="42"/>
      <c r="Y826" s="42"/>
      <c r="Z826" s="42"/>
    </row>
    <row r="827" ht="15.75" customHeight="1">
      <c r="A827" s="42"/>
      <c r="B827" s="42"/>
      <c r="C827" s="42"/>
      <c r="D827" s="42"/>
      <c r="E827" s="42"/>
      <c r="F827" s="42"/>
      <c r="G827" s="42"/>
      <c r="H827" s="63"/>
      <c r="I827" s="42"/>
      <c r="J827" s="42"/>
      <c r="K827" s="42"/>
      <c r="L827" s="42"/>
      <c r="M827" s="42"/>
      <c r="N827" s="42"/>
      <c r="O827" s="42"/>
      <c r="P827" s="42"/>
      <c r="Q827" s="42"/>
      <c r="R827" s="42"/>
      <c r="S827" s="42"/>
      <c r="T827" s="42"/>
      <c r="U827" s="42"/>
      <c r="V827" s="42"/>
      <c r="W827" s="42"/>
      <c r="X827" s="42"/>
      <c r="Y827" s="42"/>
      <c r="Z827" s="42"/>
    </row>
    <row r="828" ht="15.75" customHeight="1">
      <c r="A828" s="42"/>
      <c r="B828" s="42"/>
      <c r="C828" s="42"/>
      <c r="D828" s="42"/>
      <c r="E828" s="42"/>
      <c r="F828" s="42"/>
      <c r="G828" s="42"/>
      <c r="H828" s="63"/>
      <c r="I828" s="42"/>
      <c r="J828" s="42"/>
      <c r="K828" s="42"/>
      <c r="L828" s="42"/>
      <c r="M828" s="42"/>
      <c r="N828" s="42"/>
      <c r="O828" s="42"/>
      <c r="P828" s="42"/>
      <c r="Q828" s="42"/>
      <c r="R828" s="42"/>
      <c r="S828" s="42"/>
      <c r="T828" s="42"/>
      <c r="U828" s="42"/>
      <c r="V828" s="42"/>
      <c r="W828" s="42"/>
      <c r="X828" s="42"/>
      <c r="Y828" s="42"/>
      <c r="Z828" s="42"/>
    </row>
    <row r="829" ht="15.75" customHeight="1">
      <c r="A829" s="42"/>
      <c r="B829" s="42"/>
      <c r="C829" s="42"/>
      <c r="D829" s="42"/>
      <c r="E829" s="42"/>
      <c r="F829" s="42"/>
      <c r="G829" s="42"/>
      <c r="H829" s="63"/>
      <c r="I829" s="42"/>
      <c r="J829" s="42"/>
      <c r="K829" s="42"/>
      <c r="L829" s="42"/>
      <c r="M829" s="42"/>
      <c r="N829" s="42"/>
      <c r="O829" s="42"/>
      <c r="P829" s="42"/>
      <c r="Q829" s="42"/>
      <c r="R829" s="42"/>
      <c r="S829" s="42"/>
      <c r="T829" s="42"/>
      <c r="U829" s="42"/>
      <c r="V829" s="42"/>
      <c r="W829" s="42"/>
      <c r="X829" s="42"/>
      <c r="Y829" s="42"/>
      <c r="Z829" s="42"/>
    </row>
    <row r="830" ht="15.75" customHeight="1">
      <c r="A830" s="42"/>
      <c r="B830" s="42"/>
      <c r="C830" s="42"/>
      <c r="D830" s="42"/>
      <c r="E830" s="42"/>
      <c r="F830" s="42"/>
      <c r="G830" s="42"/>
      <c r="H830" s="63"/>
      <c r="I830" s="42"/>
      <c r="J830" s="42"/>
      <c r="K830" s="42"/>
      <c r="L830" s="42"/>
      <c r="M830" s="42"/>
      <c r="N830" s="42"/>
      <c r="O830" s="42"/>
      <c r="P830" s="42"/>
      <c r="Q830" s="42"/>
      <c r="R830" s="42"/>
      <c r="S830" s="42"/>
      <c r="T830" s="42"/>
      <c r="U830" s="42"/>
      <c r="V830" s="42"/>
      <c r="W830" s="42"/>
      <c r="X830" s="42"/>
      <c r="Y830" s="42"/>
      <c r="Z830" s="42"/>
    </row>
    <row r="831" ht="15.75" customHeight="1">
      <c r="A831" s="42"/>
      <c r="B831" s="42"/>
      <c r="C831" s="42"/>
      <c r="D831" s="42"/>
      <c r="E831" s="42"/>
      <c r="F831" s="42"/>
      <c r="G831" s="42"/>
      <c r="H831" s="63"/>
      <c r="I831" s="42"/>
      <c r="J831" s="42"/>
      <c r="K831" s="42"/>
      <c r="L831" s="42"/>
      <c r="M831" s="42"/>
      <c r="N831" s="42"/>
      <c r="O831" s="42"/>
      <c r="P831" s="42"/>
      <c r="Q831" s="42"/>
      <c r="R831" s="42"/>
      <c r="S831" s="42"/>
      <c r="T831" s="42"/>
      <c r="U831" s="42"/>
      <c r="V831" s="42"/>
      <c r="W831" s="42"/>
      <c r="X831" s="42"/>
      <c r="Y831" s="42"/>
      <c r="Z831" s="42"/>
    </row>
    <row r="832" ht="15.75" customHeight="1">
      <c r="A832" s="42"/>
      <c r="B832" s="42"/>
      <c r="C832" s="42"/>
      <c r="D832" s="42"/>
      <c r="E832" s="42"/>
      <c r="F832" s="42"/>
      <c r="G832" s="42"/>
      <c r="H832" s="63"/>
      <c r="I832" s="42"/>
      <c r="J832" s="42"/>
      <c r="K832" s="42"/>
      <c r="L832" s="42"/>
      <c r="M832" s="42"/>
      <c r="N832" s="42"/>
      <c r="O832" s="42"/>
      <c r="P832" s="42"/>
      <c r="Q832" s="42"/>
      <c r="R832" s="42"/>
      <c r="S832" s="42"/>
      <c r="T832" s="42"/>
      <c r="U832" s="42"/>
      <c r="V832" s="42"/>
      <c r="W832" s="42"/>
      <c r="X832" s="42"/>
      <c r="Y832" s="42"/>
      <c r="Z832" s="42"/>
    </row>
    <row r="833" ht="15.75" customHeight="1">
      <c r="A833" s="42"/>
      <c r="B833" s="42"/>
      <c r="C833" s="42"/>
      <c r="D833" s="42"/>
      <c r="E833" s="42"/>
      <c r="F833" s="42"/>
      <c r="G833" s="42"/>
      <c r="H833" s="63"/>
      <c r="I833" s="42"/>
      <c r="J833" s="42"/>
      <c r="K833" s="42"/>
      <c r="L833" s="42"/>
      <c r="M833" s="42"/>
      <c r="N833" s="42"/>
      <c r="O833" s="42"/>
      <c r="P833" s="42"/>
      <c r="Q833" s="42"/>
      <c r="R833" s="42"/>
      <c r="S833" s="42"/>
      <c r="T833" s="42"/>
      <c r="U833" s="42"/>
      <c r="V833" s="42"/>
      <c r="W833" s="42"/>
      <c r="X833" s="42"/>
      <c r="Y833" s="42"/>
      <c r="Z833" s="42"/>
    </row>
    <row r="834" ht="15.75" customHeight="1">
      <c r="A834" s="42"/>
      <c r="B834" s="42"/>
      <c r="C834" s="42"/>
      <c r="D834" s="42"/>
      <c r="E834" s="42"/>
      <c r="F834" s="42"/>
      <c r="G834" s="42"/>
      <c r="H834" s="63"/>
      <c r="I834" s="42"/>
      <c r="J834" s="42"/>
      <c r="K834" s="42"/>
      <c r="L834" s="42"/>
      <c r="M834" s="42"/>
      <c r="N834" s="42"/>
      <c r="O834" s="42"/>
      <c r="P834" s="42"/>
      <c r="Q834" s="42"/>
      <c r="R834" s="42"/>
      <c r="S834" s="42"/>
      <c r="T834" s="42"/>
      <c r="U834" s="42"/>
      <c r="V834" s="42"/>
      <c r="W834" s="42"/>
      <c r="X834" s="42"/>
      <c r="Y834" s="42"/>
      <c r="Z834" s="42"/>
    </row>
    <row r="835" ht="15.75" customHeight="1">
      <c r="A835" s="42"/>
      <c r="B835" s="42"/>
      <c r="C835" s="42"/>
      <c r="D835" s="42"/>
      <c r="E835" s="42"/>
      <c r="F835" s="42"/>
      <c r="G835" s="42"/>
      <c r="H835" s="63"/>
      <c r="I835" s="42"/>
      <c r="J835" s="42"/>
      <c r="K835" s="42"/>
      <c r="L835" s="42"/>
      <c r="M835" s="42"/>
      <c r="N835" s="42"/>
      <c r="O835" s="42"/>
      <c r="P835" s="42"/>
      <c r="Q835" s="42"/>
      <c r="R835" s="42"/>
      <c r="S835" s="42"/>
      <c r="T835" s="42"/>
      <c r="U835" s="42"/>
      <c r="V835" s="42"/>
      <c r="W835" s="42"/>
      <c r="X835" s="42"/>
      <c r="Y835" s="42"/>
      <c r="Z835" s="42"/>
    </row>
    <row r="836" ht="15.75" customHeight="1">
      <c r="A836" s="42"/>
      <c r="B836" s="42"/>
      <c r="C836" s="42"/>
      <c r="D836" s="42"/>
      <c r="E836" s="42"/>
      <c r="F836" s="42"/>
      <c r="G836" s="42"/>
      <c r="H836" s="63"/>
      <c r="I836" s="42"/>
      <c r="J836" s="42"/>
      <c r="K836" s="42"/>
      <c r="L836" s="42"/>
      <c r="M836" s="42"/>
      <c r="N836" s="42"/>
      <c r="O836" s="42"/>
      <c r="P836" s="42"/>
      <c r="Q836" s="42"/>
      <c r="R836" s="42"/>
      <c r="S836" s="42"/>
      <c r="T836" s="42"/>
      <c r="U836" s="42"/>
      <c r="V836" s="42"/>
      <c r="W836" s="42"/>
      <c r="X836" s="42"/>
      <c r="Y836" s="42"/>
      <c r="Z836" s="42"/>
    </row>
    <row r="837" ht="15.75" customHeight="1">
      <c r="A837" s="42"/>
      <c r="B837" s="42"/>
      <c r="C837" s="42"/>
      <c r="D837" s="42"/>
      <c r="E837" s="42"/>
      <c r="F837" s="42"/>
      <c r="G837" s="42"/>
      <c r="H837" s="63"/>
      <c r="I837" s="42"/>
      <c r="J837" s="42"/>
      <c r="K837" s="42"/>
      <c r="L837" s="42"/>
      <c r="M837" s="42"/>
      <c r="N837" s="42"/>
      <c r="O837" s="42"/>
      <c r="P837" s="42"/>
      <c r="Q837" s="42"/>
      <c r="R837" s="42"/>
      <c r="S837" s="42"/>
      <c r="T837" s="42"/>
      <c r="U837" s="42"/>
      <c r="V837" s="42"/>
      <c r="W837" s="42"/>
      <c r="X837" s="42"/>
      <c r="Y837" s="42"/>
      <c r="Z837" s="42"/>
    </row>
    <row r="838" ht="15.75" customHeight="1">
      <c r="A838" s="42"/>
      <c r="B838" s="42"/>
      <c r="C838" s="42"/>
      <c r="D838" s="42"/>
      <c r="E838" s="42"/>
      <c r="F838" s="42"/>
      <c r="G838" s="42"/>
      <c r="H838" s="63"/>
      <c r="I838" s="42"/>
      <c r="J838" s="42"/>
      <c r="K838" s="42"/>
      <c r="L838" s="42"/>
      <c r="M838" s="42"/>
      <c r="N838" s="42"/>
      <c r="O838" s="42"/>
      <c r="P838" s="42"/>
      <c r="Q838" s="42"/>
      <c r="R838" s="42"/>
      <c r="S838" s="42"/>
      <c r="T838" s="42"/>
      <c r="U838" s="42"/>
      <c r="V838" s="42"/>
      <c r="W838" s="42"/>
      <c r="X838" s="42"/>
      <c r="Y838" s="42"/>
      <c r="Z838" s="42"/>
    </row>
    <row r="839" ht="15.75" customHeight="1">
      <c r="A839" s="42"/>
      <c r="B839" s="42"/>
      <c r="C839" s="42"/>
      <c r="D839" s="42"/>
      <c r="E839" s="42"/>
      <c r="F839" s="42"/>
      <c r="G839" s="42"/>
      <c r="H839" s="63"/>
      <c r="I839" s="42"/>
      <c r="J839" s="42"/>
      <c r="K839" s="42"/>
      <c r="L839" s="42"/>
      <c r="M839" s="42"/>
      <c r="N839" s="42"/>
      <c r="O839" s="42"/>
      <c r="P839" s="42"/>
      <c r="Q839" s="42"/>
      <c r="R839" s="42"/>
      <c r="S839" s="42"/>
      <c r="T839" s="42"/>
      <c r="U839" s="42"/>
      <c r="V839" s="42"/>
      <c r="W839" s="42"/>
      <c r="X839" s="42"/>
      <c r="Y839" s="42"/>
      <c r="Z839" s="42"/>
    </row>
    <row r="840" ht="15.75" customHeight="1">
      <c r="A840" s="42"/>
      <c r="B840" s="42"/>
      <c r="C840" s="42"/>
      <c r="D840" s="42"/>
      <c r="E840" s="42"/>
      <c r="F840" s="42"/>
      <c r="G840" s="42"/>
      <c r="H840" s="63"/>
      <c r="I840" s="42"/>
      <c r="J840" s="42"/>
      <c r="K840" s="42"/>
      <c r="L840" s="42"/>
      <c r="M840" s="42"/>
      <c r="N840" s="42"/>
      <c r="O840" s="42"/>
      <c r="P840" s="42"/>
      <c r="Q840" s="42"/>
      <c r="R840" s="42"/>
      <c r="S840" s="42"/>
      <c r="T840" s="42"/>
      <c r="U840" s="42"/>
      <c r="V840" s="42"/>
      <c r="W840" s="42"/>
      <c r="X840" s="42"/>
      <c r="Y840" s="42"/>
      <c r="Z840" s="42"/>
    </row>
    <row r="841" ht="15.75" customHeight="1">
      <c r="A841" s="42"/>
      <c r="B841" s="42"/>
      <c r="C841" s="42"/>
      <c r="D841" s="42"/>
      <c r="E841" s="42"/>
      <c r="F841" s="42"/>
      <c r="G841" s="42"/>
      <c r="H841" s="63"/>
      <c r="I841" s="42"/>
      <c r="J841" s="42"/>
      <c r="K841" s="42"/>
      <c r="L841" s="42"/>
      <c r="M841" s="42"/>
      <c r="N841" s="42"/>
      <c r="O841" s="42"/>
      <c r="P841" s="42"/>
      <c r="Q841" s="42"/>
      <c r="R841" s="42"/>
      <c r="S841" s="42"/>
      <c r="T841" s="42"/>
      <c r="U841" s="42"/>
      <c r="V841" s="42"/>
      <c r="W841" s="42"/>
      <c r="X841" s="42"/>
      <c r="Y841" s="42"/>
      <c r="Z841" s="42"/>
    </row>
    <row r="842" ht="15.75" customHeight="1">
      <c r="A842" s="42"/>
      <c r="B842" s="42"/>
      <c r="C842" s="42"/>
      <c r="D842" s="42"/>
      <c r="E842" s="42"/>
      <c r="F842" s="42"/>
      <c r="G842" s="42"/>
      <c r="H842" s="63"/>
      <c r="I842" s="42"/>
      <c r="J842" s="42"/>
      <c r="K842" s="42"/>
      <c r="L842" s="42"/>
      <c r="M842" s="42"/>
      <c r="N842" s="42"/>
      <c r="O842" s="42"/>
      <c r="P842" s="42"/>
      <c r="Q842" s="42"/>
      <c r="R842" s="42"/>
      <c r="S842" s="42"/>
      <c r="T842" s="42"/>
      <c r="U842" s="42"/>
      <c r="V842" s="42"/>
      <c r="W842" s="42"/>
      <c r="X842" s="42"/>
      <c r="Y842" s="42"/>
      <c r="Z842" s="42"/>
    </row>
    <row r="843" ht="15.75" customHeight="1">
      <c r="A843" s="42"/>
      <c r="B843" s="42"/>
      <c r="C843" s="42"/>
      <c r="D843" s="42"/>
      <c r="E843" s="42"/>
      <c r="F843" s="42"/>
      <c r="G843" s="42"/>
      <c r="H843" s="63"/>
      <c r="I843" s="42"/>
      <c r="J843" s="42"/>
      <c r="K843" s="42"/>
      <c r="L843" s="42"/>
      <c r="M843" s="42"/>
      <c r="N843" s="42"/>
      <c r="O843" s="42"/>
      <c r="P843" s="42"/>
      <c r="Q843" s="42"/>
      <c r="R843" s="42"/>
      <c r="S843" s="42"/>
      <c r="T843" s="42"/>
      <c r="U843" s="42"/>
      <c r="V843" s="42"/>
      <c r="W843" s="42"/>
      <c r="X843" s="42"/>
      <c r="Y843" s="42"/>
      <c r="Z843" s="42"/>
    </row>
    <row r="844" ht="15.75" customHeight="1">
      <c r="A844" s="42"/>
      <c r="B844" s="42"/>
      <c r="C844" s="42"/>
      <c r="D844" s="42"/>
      <c r="E844" s="42"/>
      <c r="F844" s="42"/>
      <c r="G844" s="42"/>
      <c r="H844" s="63"/>
      <c r="I844" s="42"/>
      <c r="J844" s="42"/>
      <c r="K844" s="42"/>
      <c r="L844" s="42"/>
      <c r="M844" s="42"/>
      <c r="N844" s="42"/>
      <c r="O844" s="42"/>
      <c r="P844" s="42"/>
      <c r="Q844" s="42"/>
      <c r="R844" s="42"/>
      <c r="S844" s="42"/>
      <c r="T844" s="42"/>
      <c r="U844" s="42"/>
      <c r="V844" s="42"/>
      <c r="W844" s="42"/>
      <c r="X844" s="42"/>
      <c r="Y844" s="42"/>
      <c r="Z844" s="42"/>
    </row>
    <row r="845" ht="15.75" customHeight="1">
      <c r="A845" s="42"/>
      <c r="B845" s="42"/>
      <c r="C845" s="42"/>
      <c r="D845" s="42"/>
      <c r="E845" s="42"/>
      <c r="F845" s="42"/>
      <c r="G845" s="42"/>
      <c r="H845" s="63"/>
      <c r="I845" s="42"/>
      <c r="J845" s="42"/>
      <c r="K845" s="42"/>
      <c r="L845" s="42"/>
      <c r="M845" s="42"/>
      <c r="N845" s="42"/>
      <c r="O845" s="42"/>
      <c r="P845" s="42"/>
      <c r="Q845" s="42"/>
      <c r="R845" s="42"/>
      <c r="S845" s="42"/>
      <c r="T845" s="42"/>
      <c r="U845" s="42"/>
      <c r="V845" s="42"/>
      <c r="W845" s="42"/>
      <c r="X845" s="42"/>
      <c r="Y845" s="42"/>
      <c r="Z845" s="42"/>
    </row>
    <row r="846" ht="15.75" customHeight="1">
      <c r="A846" s="42"/>
      <c r="B846" s="42"/>
      <c r="C846" s="42"/>
      <c r="D846" s="42"/>
      <c r="E846" s="42"/>
      <c r="F846" s="42"/>
      <c r="G846" s="42"/>
      <c r="H846" s="63"/>
      <c r="I846" s="42"/>
      <c r="J846" s="42"/>
      <c r="K846" s="42"/>
      <c r="L846" s="42"/>
      <c r="M846" s="42"/>
      <c r="N846" s="42"/>
      <c r="O846" s="42"/>
      <c r="P846" s="42"/>
      <c r="Q846" s="42"/>
      <c r="R846" s="42"/>
      <c r="S846" s="42"/>
      <c r="T846" s="42"/>
      <c r="U846" s="42"/>
      <c r="V846" s="42"/>
      <c r="W846" s="42"/>
      <c r="X846" s="42"/>
      <c r="Y846" s="42"/>
      <c r="Z846" s="42"/>
    </row>
    <row r="847" ht="15.75" customHeight="1">
      <c r="A847" s="42"/>
      <c r="B847" s="42"/>
      <c r="C847" s="42"/>
      <c r="D847" s="42"/>
      <c r="E847" s="42"/>
      <c r="F847" s="42"/>
      <c r="G847" s="42"/>
      <c r="H847" s="63"/>
      <c r="I847" s="42"/>
      <c r="J847" s="42"/>
      <c r="K847" s="42"/>
      <c r="L847" s="42"/>
      <c r="M847" s="42"/>
      <c r="N847" s="42"/>
      <c r="O847" s="42"/>
      <c r="P847" s="42"/>
      <c r="Q847" s="42"/>
      <c r="R847" s="42"/>
      <c r="S847" s="42"/>
      <c r="T847" s="42"/>
      <c r="U847" s="42"/>
      <c r="V847" s="42"/>
      <c r="W847" s="42"/>
      <c r="X847" s="42"/>
      <c r="Y847" s="42"/>
      <c r="Z847" s="42"/>
    </row>
    <row r="848" ht="15.75" customHeight="1">
      <c r="A848" s="42"/>
      <c r="B848" s="42"/>
      <c r="C848" s="42"/>
      <c r="D848" s="42"/>
      <c r="E848" s="42"/>
      <c r="F848" s="42"/>
      <c r="G848" s="42"/>
      <c r="H848" s="63"/>
      <c r="I848" s="42"/>
      <c r="J848" s="42"/>
      <c r="K848" s="42"/>
      <c r="L848" s="42"/>
      <c r="M848" s="42"/>
      <c r="N848" s="42"/>
      <c r="O848" s="42"/>
      <c r="P848" s="42"/>
      <c r="Q848" s="42"/>
      <c r="R848" s="42"/>
      <c r="S848" s="42"/>
      <c r="T848" s="42"/>
      <c r="U848" s="42"/>
      <c r="V848" s="42"/>
      <c r="W848" s="42"/>
      <c r="X848" s="42"/>
      <c r="Y848" s="42"/>
      <c r="Z848" s="42"/>
    </row>
    <row r="849" ht="15.75" customHeight="1">
      <c r="A849" s="42"/>
      <c r="B849" s="42"/>
      <c r="C849" s="42"/>
      <c r="D849" s="42"/>
      <c r="E849" s="42"/>
      <c r="F849" s="42"/>
      <c r="G849" s="42"/>
      <c r="H849" s="63"/>
      <c r="I849" s="42"/>
      <c r="J849" s="42"/>
      <c r="K849" s="42"/>
      <c r="L849" s="42"/>
      <c r="M849" s="42"/>
      <c r="N849" s="42"/>
      <c r="O849" s="42"/>
      <c r="P849" s="42"/>
      <c r="Q849" s="42"/>
      <c r="R849" s="42"/>
      <c r="S849" s="42"/>
      <c r="T849" s="42"/>
      <c r="U849" s="42"/>
      <c r="V849" s="42"/>
      <c r="W849" s="42"/>
      <c r="X849" s="42"/>
      <c r="Y849" s="42"/>
      <c r="Z849" s="42"/>
    </row>
    <row r="850" ht="15.75" customHeight="1">
      <c r="A850" s="42"/>
      <c r="B850" s="42"/>
      <c r="C850" s="42"/>
      <c r="D850" s="42"/>
      <c r="E850" s="42"/>
      <c r="F850" s="42"/>
      <c r="G850" s="42"/>
      <c r="H850" s="63"/>
      <c r="I850" s="42"/>
      <c r="J850" s="42"/>
      <c r="K850" s="42"/>
      <c r="L850" s="42"/>
      <c r="M850" s="42"/>
      <c r="N850" s="42"/>
      <c r="O850" s="42"/>
      <c r="P850" s="42"/>
      <c r="Q850" s="42"/>
      <c r="R850" s="42"/>
      <c r="S850" s="42"/>
      <c r="T850" s="42"/>
      <c r="U850" s="42"/>
      <c r="V850" s="42"/>
      <c r="W850" s="42"/>
      <c r="X850" s="42"/>
      <c r="Y850" s="42"/>
      <c r="Z850" s="42"/>
    </row>
    <row r="851" ht="15.75" customHeight="1">
      <c r="A851" s="42"/>
      <c r="B851" s="42"/>
      <c r="C851" s="42"/>
      <c r="D851" s="42"/>
      <c r="E851" s="42"/>
      <c r="F851" s="42"/>
      <c r="G851" s="42"/>
      <c r="H851" s="63"/>
      <c r="I851" s="42"/>
      <c r="J851" s="42"/>
      <c r="K851" s="42"/>
      <c r="L851" s="42"/>
      <c r="M851" s="42"/>
      <c r="N851" s="42"/>
      <c r="O851" s="42"/>
      <c r="P851" s="42"/>
      <c r="Q851" s="42"/>
      <c r="R851" s="42"/>
      <c r="S851" s="42"/>
      <c r="T851" s="42"/>
      <c r="U851" s="42"/>
      <c r="V851" s="42"/>
      <c r="W851" s="42"/>
      <c r="X851" s="42"/>
      <c r="Y851" s="42"/>
      <c r="Z851" s="42"/>
    </row>
    <row r="852" ht="15.75" customHeight="1">
      <c r="A852" s="42"/>
      <c r="B852" s="42"/>
      <c r="C852" s="42"/>
      <c r="D852" s="42"/>
      <c r="E852" s="42"/>
      <c r="F852" s="42"/>
      <c r="G852" s="42"/>
      <c r="H852" s="63"/>
      <c r="I852" s="42"/>
      <c r="J852" s="42"/>
      <c r="K852" s="42"/>
      <c r="L852" s="42"/>
      <c r="M852" s="42"/>
      <c r="N852" s="42"/>
      <c r="O852" s="42"/>
      <c r="P852" s="42"/>
      <c r="Q852" s="42"/>
      <c r="R852" s="42"/>
      <c r="S852" s="42"/>
      <c r="T852" s="42"/>
      <c r="U852" s="42"/>
      <c r="V852" s="42"/>
      <c r="W852" s="42"/>
      <c r="X852" s="42"/>
      <c r="Y852" s="42"/>
      <c r="Z852" s="42"/>
    </row>
    <row r="853" ht="15.75" customHeight="1">
      <c r="A853" s="42"/>
      <c r="B853" s="42"/>
      <c r="C853" s="42"/>
      <c r="D853" s="42"/>
      <c r="E853" s="42"/>
      <c r="F853" s="42"/>
      <c r="G853" s="42"/>
      <c r="H853" s="63"/>
      <c r="I853" s="42"/>
      <c r="J853" s="42"/>
      <c r="K853" s="42"/>
      <c r="L853" s="42"/>
      <c r="M853" s="42"/>
      <c r="N853" s="42"/>
      <c r="O853" s="42"/>
      <c r="P853" s="42"/>
      <c r="Q853" s="42"/>
      <c r="R853" s="42"/>
      <c r="S853" s="42"/>
      <c r="T853" s="42"/>
      <c r="U853" s="42"/>
      <c r="V853" s="42"/>
      <c r="W853" s="42"/>
      <c r="X853" s="42"/>
      <c r="Y853" s="42"/>
      <c r="Z853" s="42"/>
    </row>
    <row r="854" ht="15.75" customHeight="1">
      <c r="A854" s="42"/>
      <c r="B854" s="42"/>
      <c r="C854" s="42"/>
      <c r="D854" s="42"/>
      <c r="E854" s="42"/>
      <c r="F854" s="42"/>
      <c r="G854" s="42"/>
      <c r="H854" s="63"/>
      <c r="I854" s="42"/>
      <c r="J854" s="42"/>
      <c r="K854" s="42"/>
      <c r="L854" s="42"/>
      <c r="M854" s="42"/>
      <c r="N854" s="42"/>
      <c r="O854" s="42"/>
      <c r="P854" s="42"/>
      <c r="Q854" s="42"/>
      <c r="R854" s="42"/>
      <c r="S854" s="42"/>
      <c r="T854" s="42"/>
      <c r="U854" s="42"/>
      <c r="V854" s="42"/>
      <c r="W854" s="42"/>
      <c r="X854" s="42"/>
      <c r="Y854" s="42"/>
      <c r="Z854" s="42"/>
    </row>
    <row r="855" ht="15.75" customHeight="1">
      <c r="A855" s="42"/>
      <c r="B855" s="42"/>
      <c r="C855" s="42"/>
      <c r="D855" s="42"/>
      <c r="E855" s="42"/>
      <c r="F855" s="42"/>
      <c r="G855" s="42"/>
      <c r="H855" s="63"/>
      <c r="I855" s="42"/>
      <c r="J855" s="42"/>
      <c r="K855" s="42"/>
      <c r="L855" s="42"/>
      <c r="M855" s="42"/>
      <c r="N855" s="42"/>
      <c r="O855" s="42"/>
      <c r="P855" s="42"/>
      <c r="Q855" s="42"/>
      <c r="R855" s="42"/>
      <c r="S855" s="42"/>
      <c r="T855" s="42"/>
      <c r="U855" s="42"/>
      <c r="V855" s="42"/>
      <c r="W855" s="42"/>
      <c r="X855" s="42"/>
      <c r="Y855" s="42"/>
      <c r="Z855" s="42"/>
    </row>
    <row r="856" ht="15.75" customHeight="1">
      <c r="A856" s="42"/>
      <c r="B856" s="42"/>
      <c r="C856" s="42"/>
      <c r="D856" s="42"/>
      <c r="E856" s="42"/>
      <c r="F856" s="42"/>
      <c r="G856" s="42"/>
      <c r="H856" s="63"/>
      <c r="I856" s="42"/>
      <c r="J856" s="42"/>
      <c r="K856" s="42"/>
      <c r="L856" s="42"/>
      <c r="M856" s="42"/>
      <c r="N856" s="42"/>
      <c r="O856" s="42"/>
      <c r="P856" s="42"/>
      <c r="Q856" s="42"/>
      <c r="R856" s="42"/>
      <c r="S856" s="42"/>
      <c r="T856" s="42"/>
      <c r="U856" s="42"/>
      <c r="V856" s="42"/>
      <c r="W856" s="42"/>
      <c r="X856" s="42"/>
      <c r="Y856" s="42"/>
      <c r="Z856" s="42"/>
    </row>
    <row r="857" ht="15.75" customHeight="1">
      <c r="A857" s="42"/>
      <c r="B857" s="42"/>
      <c r="C857" s="42"/>
      <c r="D857" s="42"/>
      <c r="E857" s="42"/>
      <c r="F857" s="42"/>
      <c r="G857" s="42"/>
      <c r="H857" s="63"/>
      <c r="I857" s="42"/>
      <c r="J857" s="42"/>
      <c r="K857" s="42"/>
      <c r="L857" s="42"/>
      <c r="M857" s="42"/>
      <c r="N857" s="42"/>
      <c r="O857" s="42"/>
      <c r="P857" s="42"/>
      <c r="Q857" s="42"/>
      <c r="R857" s="42"/>
      <c r="S857" s="42"/>
      <c r="T857" s="42"/>
      <c r="U857" s="42"/>
      <c r="V857" s="42"/>
      <c r="W857" s="42"/>
      <c r="X857" s="42"/>
      <c r="Y857" s="42"/>
      <c r="Z857" s="42"/>
    </row>
    <row r="858" ht="15.75" customHeight="1">
      <c r="A858" s="42"/>
      <c r="B858" s="42"/>
      <c r="C858" s="42"/>
      <c r="D858" s="42"/>
      <c r="E858" s="42"/>
      <c r="F858" s="42"/>
      <c r="G858" s="42"/>
      <c r="H858" s="63"/>
      <c r="I858" s="42"/>
      <c r="J858" s="42"/>
      <c r="K858" s="42"/>
      <c r="L858" s="42"/>
      <c r="M858" s="42"/>
      <c r="N858" s="42"/>
      <c r="O858" s="42"/>
      <c r="P858" s="42"/>
      <c r="Q858" s="42"/>
      <c r="R858" s="42"/>
      <c r="S858" s="42"/>
      <c r="T858" s="42"/>
      <c r="U858" s="42"/>
      <c r="V858" s="42"/>
      <c r="W858" s="42"/>
      <c r="X858" s="42"/>
      <c r="Y858" s="42"/>
      <c r="Z858" s="42"/>
    </row>
    <row r="859" ht="15.75" customHeight="1">
      <c r="A859" s="42"/>
      <c r="B859" s="42"/>
      <c r="C859" s="42"/>
      <c r="D859" s="42"/>
      <c r="E859" s="42"/>
      <c r="F859" s="42"/>
      <c r="G859" s="42"/>
      <c r="H859" s="63"/>
      <c r="I859" s="42"/>
      <c r="J859" s="42"/>
      <c r="K859" s="42"/>
      <c r="L859" s="42"/>
      <c r="M859" s="42"/>
      <c r="N859" s="42"/>
      <c r="O859" s="42"/>
      <c r="P859" s="42"/>
      <c r="Q859" s="42"/>
      <c r="R859" s="42"/>
      <c r="S859" s="42"/>
      <c r="T859" s="42"/>
      <c r="U859" s="42"/>
      <c r="V859" s="42"/>
      <c r="W859" s="42"/>
      <c r="X859" s="42"/>
      <c r="Y859" s="42"/>
      <c r="Z859" s="42"/>
    </row>
    <row r="860" ht="15.75" customHeight="1">
      <c r="A860" s="42"/>
      <c r="B860" s="42"/>
      <c r="C860" s="42"/>
      <c r="D860" s="42"/>
      <c r="E860" s="42"/>
      <c r="F860" s="42"/>
      <c r="G860" s="42"/>
      <c r="H860" s="63"/>
      <c r="I860" s="42"/>
      <c r="J860" s="42"/>
      <c r="K860" s="42"/>
      <c r="L860" s="42"/>
      <c r="M860" s="42"/>
      <c r="N860" s="42"/>
      <c r="O860" s="42"/>
      <c r="P860" s="42"/>
      <c r="Q860" s="42"/>
      <c r="R860" s="42"/>
      <c r="S860" s="42"/>
      <c r="T860" s="42"/>
      <c r="U860" s="42"/>
      <c r="V860" s="42"/>
      <c r="W860" s="42"/>
      <c r="X860" s="42"/>
      <c r="Y860" s="42"/>
      <c r="Z860" s="42"/>
    </row>
    <row r="861" ht="15.75" customHeight="1">
      <c r="A861" s="42"/>
      <c r="B861" s="42"/>
      <c r="C861" s="42"/>
      <c r="D861" s="42"/>
      <c r="E861" s="42"/>
      <c r="F861" s="42"/>
      <c r="G861" s="42"/>
      <c r="H861" s="63"/>
      <c r="I861" s="42"/>
      <c r="J861" s="42"/>
      <c r="K861" s="42"/>
      <c r="L861" s="42"/>
      <c r="M861" s="42"/>
      <c r="N861" s="42"/>
      <c r="O861" s="42"/>
      <c r="P861" s="42"/>
      <c r="Q861" s="42"/>
      <c r="R861" s="42"/>
      <c r="S861" s="42"/>
      <c r="T861" s="42"/>
      <c r="U861" s="42"/>
      <c r="V861" s="42"/>
      <c r="W861" s="42"/>
      <c r="X861" s="42"/>
      <c r="Y861" s="42"/>
      <c r="Z861" s="42"/>
    </row>
    <row r="862" ht="15.75" customHeight="1">
      <c r="A862" s="42"/>
      <c r="B862" s="42"/>
      <c r="C862" s="42"/>
      <c r="D862" s="42"/>
      <c r="E862" s="42"/>
      <c r="F862" s="42"/>
      <c r="G862" s="42"/>
      <c r="H862" s="63"/>
      <c r="I862" s="42"/>
      <c r="J862" s="42"/>
      <c r="K862" s="42"/>
      <c r="L862" s="42"/>
      <c r="M862" s="42"/>
      <c r="N862" s="42"/>
      <c r="O862" s="42"/>
      <c r="P862" s="42"/>
      <c r="Q862" s="42"/>
      <c r="R862" s="42"/>
      <c r="S862" s="42"/>
      <c r="T862" s="42"/>
      <c r="U862" s="42"/>
      <c r="V862" s="42"/>
      <c r="W862" s="42"/>
      <c r="X862" s="42"/>
      <c r="Y862" s="42"/>
      <c r="Z862" s="42"/>
    </row>
    <row r="863" ht="15.75" customHeight="1">
      <c r="A863" s="42"/>
      <c r="B863" s="42"/>
      <c r="C863" s="42"/>
      <c r="D863" s="42"/>
      <c r="E863" s="42"/>
      <c r="F863" s="42"/>
      <c r="G863" s="42"/>
      <c r="H863" s="63"/>
      <c r="I863" s="42"/>
      <c r="J863" s="42"/>
      <c r="K863" s="42"/>
      <c r="L863" s="42"/>
      <c r="M863" s="42"/>
      <c r="N863" s="42"/>
      <c r="O863" s="42"/>
      <c r="P863" s="42"/>
      <c r="Q863" s="42"/>
      <c r="R863" s="42"/>
      <c r="S863" s="42"/>
      <c r="T863" s="42"/>
      <c r="U863" s="42"/>
      <c r="V863" s="42"/>
      <c r="W863" s="42"/>
      <c r="X863" s="42"/>
      <c r="Y863" s="42"/>
      <c r="Z863" s="42"/>
    </row>
    <row r="864" ht="15.75" customHeight="1">
      <c r="A864" s="42"/>
      <c r="B864" s="42"/>
      <c r="C864" s="42"/>
      <c r="D864" s="42"/>
      <c r="E864" s="42"/>
      <c r="F864" s="42"/>
      <c r="G864" s="42"/>
      <c r="H864" s="63"/>
      <c r="I864" s="42"/>
      <c r="J864" s="42"/>
      <c r="K864" s="42"/>
      <c r="L864" s="42"/>
      <c r="M864" s="42"/>
      <c r="N864" s="42"/>
      <c r="O864" s="42"/>
      <c r="P864" s="42"/>
      <c r="Q864" s="42"/>
      <c r="R864" s="42"/>
      <c r="S864" s="42"/>
      <c r="T864" s="42"/>
      <c r="U864" s="42"/>
      <c r="V864" s="42"/>
      <c r="W864" s="42"/>
      <c r="X864" s="42"/>
      <c r="Y864" s="42"/>
      <c r="Z864" s="42"/>
    </row>
    <row r="865" ht="15.75" customHeight="1">
      <c r="A865" s="42"/>
      <c r="B865" s="42"/>
      <c r="C865" s="42"/>
      <c r="D865" s="42"/>
      <c r="E865" s="42"/>
      <c r="F865" s="42"/>
      <c r="G865" s="42"/>
      <c r="H865" s="63"/>
      <c r="I865" s="42"/>
      <c r="J865" s="42"/>
      <c r="K865" s="42"/>
      <c r="L865" s="42"/>
      <c r="M865" s="42"/>
      <c r="N865" s="42"/>
      <c r="O865" s="42"/>
      <c r="P865" s="42"/>
      <c r="Q865" s="42"/>
      <c r="R865" s="42"/>
      <c r="S865" s="42"/>
      <c r="T865" s="42"/>
      <c r="U865" s="42"/>
      <c r="V865" s="42"/>
      <c r="W865" s="42"/>
      <c r="X865" s="42"/>
      <c r="Y865" s="42"/>
      <c r="Z865" s="42"/>
    </row>
    <row r="866" ht="15.75" customHeight="1">
      <c r="A866" s="42"/>
      <c r="B866" s="42"/>
      <c r="C866" s="42"/>
      <c r="D866" s="42"/>
      <c r="E866" s="42"/>
      <c r="F866" s="42"/>
      <c r="G866" s="42"/>
      <c r="H866" s="63"/>
      <c r="I866" s="42"/>
      <c r="J866" s="42"/>
      <c r="K866" s="42"/>
      <c r="L866" s="42"/>
      <c r="M866" s="42"/>
      <c r="N866" s="42"/>
      <c r="O866" s="42"/>
      <c r="P866" s="42"/>
      <c r="Q866" s="42"/>
      <c r="R866" s="42"/>
      <c r="S866" s="42"/>
      <c r="T866" s="42"/>
      <c r="U866" s="42"/>
      <c r="V866" s="42"/>
      <c r="W866" s="42"/>
      <c r="X866" s="42"/>
      <c r="Y866" s="42"/>
      <c r="Z866" s="42"/>
    </row>
    <row r="867" ht="15.75" customHeight="1">
      <c r="A867" s="42"/>
      <c r="B867" s="42"/>
      <c r="C867" s="42"/>
      <c r="D867" s="42"/>
      <c r="E867" s="42"/>
      <c r="F867" s="42"/>
      <c r="G867" s="42"/>
      <c r="H867" s="63"/>
      <c r="I867" s="42"/>
      <c r="J867" s="42"/>
      <c r="K867" s="42"/>
      <c r="L867" s="42"/>
      <c r="M867" s="42"/>
      <c r="N867" s="42"/>
      <c r="O867" s="42"/>
      <c r="P867" s="42"/>
      <c r="Q867" s="42"/>
      <c r="R867" s="42"/>
      <c r="S867" s="42"/>
      <c r="T867" s="42"/>
      <c r="U867" s="42"/>
      <c r="V867" s="42"/>
      <c r="W867" s="42"/>
      <c r="X867" s="42"/>
      <c r="Y867" s="42"/>
      <c r="Z867" s="42"/>
    </row>
    <row r="868" ht="15.75" customHeight="1">
      <c r="A868" s="42"/>
      <c r="B868" s="42"/>
      <c r="C868" s="42"/>
      <c r="D868" s="42"/>
      <c r="E868" s="42"/>
      <c r="F868" s="42"/>
      <c r="G868" s="42"/>
      <c r="H868" s="63"/>
      <c r="I868" s="42"/>
      <c r="J868" s="42"/>
      <c r="K868" s="42"/>
      <c r="L868" s="42"/>
      <c r="M868" s="42"/>
      <c r="N868" s="42"/>
      <c r="O868" s="42"/>
      <c r="P868" s="42"/>
      <c r="Q868" s="42"/>
      <c r="R868" s="42"/>
      <c r="S868" s="42"/>
      <c r="T868" s="42"/>
      <c r="U868" s="42"/>
      <c r="V868" s="42"/>
      <c r="W868" s="42"/>
      <c r="X868" s="42"/>
      <c r="Y868" s="42"/>
      <c r="Z868" s="42"/>
    </row>
    <row r="869" ht="15.75" customHeight="1">
      <c r="A869" s="42"/>
      <c r="B869" s="42"/>
      <c r="C869" s="42"/>
      <c r="D869" s="42"/>
      <c r="E869" s="42"/>
      <c r="F869" s="42"/>
      <c r="G869" s="42"/>
      <c r="H869" s="63"/>
      <c r="I869" s="42"/>
      <c r="J869" s="42"/>
      <c r="K869" s="42"/>
      <c r="L869" s="42"/>
      <c r="M869" s="42"/>
      <c r="N869" s="42"/>
      <c r="O869" s="42"/>
      <c r="P869" s="42"/>
      <c r="Q869" s="42"/>
      <c r="R869" s="42"/>
      <c r="S869" s="42"/>
      <c r="T869" s="42"/>
      <c r="U869" s="42"/>
      <c r="V869" s="42"/>
      <c r="W869" s="42"/>
      <c r="X869" s="42"/>
      <c r="Y869" s="42"/>
      <c r="Z869" s="42"/>
    </row>
    <row r="870" ht="15.75" customHeight="1">
      <c r="A870" s="42"/>
      <c r="B870" s="42"/>
      <c r="C870" s="42"/>
      <c r="D870" s="42"/>
      <c r="E870" s="42"/>
      <c r="F870" s="42"/>
      <c r="G870" s="42"/>
      <c r="H870" s="63"/>
      <c r="I870" s="42"/>
      <c r="J870" s="42"/>
      <c r="K870" s="42"/>
      <c r="L870" s="42"/>
      <c r="M870" s="42"/>
      <c r="N870" s="42"/>
      <c r="O870" s="42"/>
      <c r="P870" s="42"/>
      <c r="Q870" s="42"/>
      <c r="R870" s="42"/>
      <c r="S870" s="42"/>
      <c r="T870" s="42"/>
      <c r="U870" s="42"/>
      <c r="V870" s="42"/>
      <c r="W870" s="42"/>
      <c r="X870" s="42"/>
      <c r="Y870" s="42"/>
      <c r="Z870" s="42"/>
    </row>
    <row r="871" ht="15.75" customHeight="1">
      <c r="A871" s="42"/>
      <c r="B871" s="42"/>
      <c r="C871" s="42"/>
      <c r="D871" s="42"/>
      <c r="E871" s="42"/>
      <c r="F871" s="42"/>
      <c r="G871" s="42"/>
      <c r="H871" s="63"/>
      <c r="I871" s="42"/>
      <c r="J871" s="42"/>
      <c r="K871" s="42"/>
      <c r="L871" s="42"/>
      <c r="M871" s="42"/>
      <c r="N871" s="42"/>
      <c r="O871" s="42"/>
      <c r="P871" s="42"/>
      <c r="Q871" s="42"/>
      <c r="R871" s="42"/>
      <c r="S871" s="42"/>
      <c r="T871" s="42"/>
      <c r="U871" s="42"/>
      <c r="V871" s="42"/>
      <c r="W871" s="42"/>
      <c r="X871" s="42"/>
      <c r="Y871" s="42"/>
      <c r="Z871" s="42"/>
    </row>
    <row r="872" ht="15.75" customHeight="1">
      <c r="A872" s="42"/>
      <c r="B872" s="42"/>
      <c r="C872" s="42"/>
      <c r="D872" s="42"/>
      <c r="E872" s="42"/>
      <c r="F872" s="42"/>
      <c r="G872" s="42"/>
      <c r="H872" s="63"/>
      <c r="I872" s="42"/>
      <c r="J872" s="42"/>
      <c r="K872" s="42"/>
      <c r="L872" s="42"/>
      <c r="M872" s="42"/>
      <c r="N872" s="42"/>
      <c r="O872" s="42"/>
      <c r="P872" s="42"/>
      <c r="Q872" s="42"/>
      <c r="R872" s="42"/>
      <c r="S872" s="42"/>
      <c r="T872" s="42"/>
      <c r="U872" s="42"/>
      <c r="V872" s="42"/>
      <c r="W872" s="42"/>
      <c r="X872" s="42"/>
      <c r="Y872" s="42"/>
      <c r="Z872" s="42"/>
    </row>
    <row r="873" ht="15.75" customHeight="1">
      <c r="A873" s="42"/>
      <c r="B873" s="42"/>
      <c r="C873" s="42"/>
      <c r="D873" s="42"/>
      <c r="E873" s="42"/>
      <c r="F873" s="42"/>
      <c r="G873" s="42"/>
      <c r="H873" s="63"/>
      <c r="I873" s="42"/>
      <c r="J873" s="42"/>
      <c r="K873" s="42"/>
      <c r="L873" s="42"/>
      <c r="M873" s="42"/>
      <c r="N873" s="42"/>
      <c r="O873" s="42"/>
      <c r="P873" s="42"/>
      <c r="Q873" s="42"/>
      <c r="R873" s="42"/>
      <c r="S873" s="42"/>
      <c r="T873" s="42"/>
      <c r="U873" s="42"/>
      <c r="V873" s="42"/>
      <c r="W873" s="42"/>
      <c r="X873" s="42"/>
      <c r="Y873" s="42"/>
      <c r="Z873" s="42"/>
    </row>
    <row r="874" ht="15.75" customHeight="1">
      <c r="A874" s="42"/>
      <c r="B874" s="42"/>
      <c r="C874" s="42"/>
      <c r="D874" s="42"/>
      <c r="E874" s="42"/>
      <c r="F874" s="42"/>
      <c r="G874" s="42"/>
      <c r="H874" s="63"/>
      <c r="I874" s="42"/>
      <c r="J874" s="42"/>
      <c r="K874" s="42"/>
      <c r="L874" s="42"/>
      <c r="M874" s="42"/>
      <c r="N874" s="42"/>
      <c r="O874" s="42"/>
      <c r="P874" s="42"/>
      <c r="Q874" s="42"/>
      <c r="R874" s="42"/>
      <c r="S874" s="42"/>
      <c r="T874" s="42"/>
      <c r="U874" s="42"/>
      <c r="V874" s="42"/>
      <c r="W874" s="42"/>
      <c r="X874" s="42"/>
      <c r="Y874" s="42"/>
      <c r="Z874" s="42"/>
    </row>
    <row r="875" ht="15.75" customHeight="1">
      <c r="A875" s="42"/>
      <c r="B875" s="42"/>
      <c r="C875" s="42"/>
      <c r="D875" s="42"/>
      <c r="E875" s="42"/>
      <c r="F875" s="42"/>
      <c r="G875" s="42"/>
      <c r="H875" s="63"/>
      <c r="I875" s="42"/>
      <c r="J875" s="42"/>
      <c r="K875" s="42"/>
      <c r="L875" s="42"/>
      <c r="M875" s="42"/>
      <c r="N875" s="42"/>
      <c r="O875" s="42"/>
      <c r="P875" s="42"/>
      <c r="Q875" s="42"/>
      <c r="R875" s="42"/>
      <c r="S875" s="42"/>
      <c r="T875" s="42"/>
      <c r="U875" s="42"/>
      <c r="V875" s="42"/>
      <c r="W875" s="42"/>
      <c r="X875" s="42"/>
      <c r="Y875" s="42"/>
      <c r="Z875" s="42"/>
    </row>
    <row r="876" ht="15.75" customHeight="1">
      <c r="A876" s="42"/>
      <c r="B876" s="42"/>
      <c r="C876" s="42"/>
      <c r="D876" s="42"/>
      <c r="E876" s="42"/>
      <c r="F876" s="42"/>
      <c r="G876" s="42"/>
      <c r="H876" s="63"/>
      <c r="I876" s="42"/>
      <c r="J876" s="42"/>
      <c r="K876" s="42"/>
      <c r="L876" s="42"/>
      <c r="M876" s="42"/>
      <c r="N876" s="42"/>
      <c r="O876" s="42"/>
      <c r="P876" s="42"/>
      <c r="Q876" s="42"/>
      <c r="R876" s="42"/>
      <c r="S876" s="42"/>
      <c r="T876" s="42"/>
      <c r="U876" s="42"/>
      <c r="V876" s="42"/>
      <c r="W876" s="42"/>
      <c r="X876" s="42"/>
      <c r="Y876" s="42"/>
      <c r="Z876" s="42"/>
    </row>
    <row r="877" ht="15.75" customHeight="1">
      <c r="A877" s="42"/>
      <c r="B877" s="42"/>
      <c r="C877" s="42"/>
      <c r="D877" s="42"/>
      <c r="E877" s="42"/>
      <c r="F877" s="42"/>
      <c r="G877" s="42"/>
      <c r="H877" s="63"/>
      <c r="I877" s="42"/>
      <c r="J877" s="42"/>
      <c r="K877" s="42"/>
      <c r="L877" s="42"/>
      <c r="M877" s="42"/>
      <c r="N877" s="42"/>
      <c r="O877" s="42"/>
      <c r="P877" s="42"/>
      <c r="Q877" s="42"/>
      <c r="R877" s="42"/>
      <c r="S877" s="42"/>
      <c r="T877" s="42"/>
      <c r="U877" s="42"/>
      <c r="V877" s="42"/>
      <c r="W877" s="42"/>
      <c r="X877" s="42"/>
      <c r="Y877" s="42"/>
      <c r="Z877" s="42"/>
    </row>
    <row r="878" ht="15.75" customHeight="1">
      <c r="A878" s="42"/>
      <c r="B878" s="42"/>
      <c r="C878" s="42"/>
      <c r="D878" s="42"/>
      <c r="E878" s="42"/>
      <c r="F878" s="42"/>
      <c r="G878" s="42"/>
      <c r="H878" s="63"/>
      <c r="I878" s="42"/>
      <c r="J878" s="42"/>
      <c r="K878" s="42"/>
      <c r="L878" s="42"/>
      <c r="M878" s="42"/>
      <c r="N878" s="42"/>
      <c r="O878" s="42"/>
      <c r="P878" s="42"/>
      <c r="Q878" s="42"/>
      <c r="R878" s="42"/>
      <c r="S878" s="42"/>
      <c r="T878" s="42"/>
      <c r="U878" s="42"/>
      <c r="V878" s="42"/>
      <c r="W878" s="42"/>
      <c r="X878" s="42"/>
      <c r="Y878" s="42"/>
      <c r="Z878" s="42"/>
    </row>
    <row r="879" ht="15.75" customHeight="1">
      <c r="A879" s="42"/>
      <c r="B879" s="42"/>
      <c r="C879" s="42"/>
      <c r="D879" s="42"/>
      <c r="E879" s="42"/>
      <c r="F879" s="42"/>
      <c r="G879" s="42"/>
      <c r="H879" s="63"/>
      <c r="I879" s="42"/>
      <c r="J879" s="42"/>
      <c r="K879" s="42"/>
      <c r="L879" s="42"/>
      <c r="M879" s="42"/>
      <c r="N879" s="42"/>
      <c r="O879" s="42"/>
      <c r="P879" s="42"/>
      <c r="Q879" s="42"/>
      <c r="R879" s="42"/>
      <c r="S879" s="42"/>
      <c r="T879" s="42"/>
      <c r="U879" s="42"/>
      <c r="V879" s="42"/>
      <c r="W879" s="42"/>
      <c r="X879" s="42"/>
      <c r="Y879" s="42"/>
      <c r="Z879" s="42"/>
    </row>
    <row r="880" ht="15.75" customHeight="1">
      <c r="A880" s="42"/>
      <c r="B880" s="42"/>
      <c r="C880" s="42"/>
      <c r="D880" s="42"/>
      <c r="E880" s="42"/>
      <c r="F880" s="42"/>
      <c r="G880" s="42"/>
      <c r="H880" s="63"/>
      <c r="I880" s="42"/>
      <c r="J880" s="42"/>
      <c r="K880" s="42"/>
      <c r="L880" s="42"/>
      <c r="M880" s="42"/>
      <c r="N880" s="42"/>
      <c r="O880" s="42"/>
      <c r="P880" s="42"/>
      <c r="Q880" s="42"/>
      <c r="R880" s="42"/>
      <c r="S880" s="42"/>
      <c r="T880" s="42"/>
      <c r="U880" s="42"/>
      <c r="V880" s="42"/>
      <c r="W880" s="42"/>
      <c r="X880" s="42"/>
      <c r="Y880" s="42"/>
      <c r="Z880" s="42"/>
    </row>
    <row r="881" ht="15.75" customHeight="1">
      <c r="A881" s="42"/>
      <c r="B881" s="42"/>
      <c r="C881" s="42"/>
      <c r="D881" s="42"/>
      <c r="E881" s="42"/>
      <c r="F881" s="42"/>
      <c r="G881" s="42"/>
      <c r="H881" s="63"/>
      <c r="I881" s="42"/>
      <c r="J881" s="42"/>
      <c r="K881" s="42"/>
      <c r="L881" s="42"/>
      <c r="M881" s="42"/>
      <c r="N881" s="42"/>
      <c r="O881" s="42"/>
      <c r="P881" s="42"/>
      <c r="Q881" s="42"/>
      <c r="R881" s="42"/>
      <c r="S881" s="42"/>
      <c r="T881" s="42"/>
      <c r="U881" s="42"/>
      <c r="V881" s="42"/>
      <c r="W881" s="42"/>
      <c r="X881" s="42"/>
      <c r="Y881" s="42"/>
      <c r="Z881" s="42"/>
    </row>
    <row r="882" ht="15.75" customHeight="1">
      <c r="A882" s="42"/>
      <c r="B882" s="42"/>
      <c r="C882" s="42"/>
      <c r="D882" s="42"/>
      <c r="E882" s="42"/>
      <c r="F882" s="42"/>
      <c r="G882" s="42"/>
      <c r="H882" s="63"/>
      <c r="I882" s="42"/>
      <c r="J882" s="42"/>
      <c r="K882" s="42"/>
      <c r="L882" s="42"/>
      <c r="M882" s="42"/>
      <c r="N882" s="42"/>
      <c r="O882" s="42"/>
      <c r="P882" s="42"/>
      <c r="Q882" s="42"/>
      <c r="R882" s="42"/>
      <c r="S882" s="42"/>
      <c r="T882" s="42"/>
      <c r="U882" s="42"/>
      <c r="V882" s="42"/>
      <c r="W882" s="42"/>
      <c r="X882" s="42"/>
      <c r="Y882" s="42"/>
      <c r="Z882" s="42"/>
    </row>
    <row r="883" ht="15.75" customHeight="1">
      <c r="A883" s="42"/>
      <c r="B883" s="42"/>
      <c r="C883" s="42"/>
      <c r="D883" s="42"/>
      <c r="E883" s="42"/>
      <c r="F883" s="42"/>
      <c r="G883" s="42"/>
      <c r="H883" s="63"/>
      <c r="I883" s="42"/>
      <c r="J883" s="42"/>
      <c r="K883" s="42"/>
      <c r="L883" s="42"/>
      <c r="M883" s="42"/>
      <c r="N883" s="42"/>
      <c r="O883" s="42"/>
      <c r="P883" s="42"/>
      <c r="Q883" s="42"/>
      <c r="R883" s="42"/>
      <c r="S883" s="42"/>
      <c r="T883" s="42"/>
      <c r="U883" s="42"/>
      <c r="V883" s="42"/>
      <c r="W883" s="42"/>
      <c r="X883" s="42"/>
      <c r="Y883" s="42"/>
      <c r="Z883" s="42"/>
    </row>
    <row r="884" ht="15.75" customHeight="1">
      <c r="A884" s="42"/>
      <c r="B884" s="42"/>
      <c r="C884" s="42"/>
      <c r="D884" s="42"/>
      <c r="E884" s="42"/>
      <c r="F884" s="42"/>
      <c r="G884" s="42"/>
      <c r="H884" s="63"/>
      <c r="I884" s="42"/>
      <c r="J884" s="42"/>
      <c r="K884" s="42"/>
      <c r="L884" s="42"/>
      <c r="M884" s="42"/>
      <c r="N884" s="42"/>
      <c r="O884" s="42"/>
      <c r="P884" s="42"/>
      <c r="Q884" s="42"/>
      <c r="R884" s="42"/>
      <c r="S884" s="42"/>
      <c r="T884" s="42"/>
      <c r="U884" s="42"/>
      <c r="V884" s="42"/>
      <c r="W884" s="42"/>
      <c r="X884" s="42"/>
      <c r="Y884" s="42"/>
      <c r="Z884" s="42"/>
    </row>
    <row r="885" ht="15.75" customHeight="1">
      <c r="A885" s="42"/>
      <c r="B885" s="42"/>
      <c r="C885" s="42"/>
      <c r="D885" s="42"/>
      <c r="E885" s="42"/>
      <c r="F885" s="42"/>
      <c r="G885" s="42"/>
      <c r="H885" s="63"/>
      <c r="I885" s="42"/>
      <c r="J885" s="42"/>
      <c r="K885" s="42"/>
      <c r="L885" s="42"/>
      <c r="M885" s="42"/>
      <c r="N885" s="42"/>
      <c r="O885" s="42"/>
      <c r="P885" s="42"/>
      <c r="Q885" s="42"/>
      <c r="R885" s="42"/>
      <c r="S885" s="42"/>
      <c r="T885" s="42"/>
      <c r="U885" s="42"/>
      <c r="V885" s="42"/>
      <c r="W885" s="42"/>
      <c r="X885" s="42"/>
      <c r="Y885" s="42"/>
      <c r="Z885" s="42"/>
    </row>
    <row r="886" ht="15.75" customHeight="1">
      <c r="A886" s="42"/>
      <c r="B886" s="42"/>
      <c r="C886" s="42"/>
      <c r="D886" s="42"/>
      <c r="E886" s="42"/>
      <c r="F886" s="42"/>
      <c r="G886" s="42"/>
      <c r="H886" s="63"/>
      <c r="I886" s="42"/>
      <c r="J886" s="42"/>
      <c r="K886" s="42"/>
      <c r="L886" s="42"/>
      <c r="M886" s="42"/>
      <c r="N886" s="42"/>
      <c r="O886" s="42"/>
      <c r="P886" s="42"/>
      <c r="Q886" s="42"/>
      <c r="R886" s="42"/>
      <c r="S886" s="42"/>
      <c r="T886" s="42"/>
      <c r="U886" s="42"/>
      <c r="V886" s="42"/>
      <c r="W886" s="42"/>
      <c r="X886" s="42"/>
      <c r="Y886" s="42"/>
      <c r="Z886" s="42"/>
    </row>
    <row r="887" ht="15.75" customHeight="1">
      <c r="A887" s="42"/>
      <c r="B887" s="42"/>
      <c r="C887" s="42"/>
      <c r="D887" s="42"/>
      <c r="E887" s="42"/>
      <c r="F887" s="42"/>
      <c r="G887" s="42"/>
      <c r="H887" s="63"/>
      <c r="I887" s="42"/>
      <c r="J887" s="42"/>
      <c r="K887" s="42"/>
      <c r="L887" s="42"/>
      <c r="M887" s="42"/>
      <c r="N887" s="42"/>
      <c r="O887" s="42"/>
      <c r="P887" s="42"/>
      <c r="Q887" s="42"/>
      <c r="R887" s="42"/>
      <c r="S887" s="42"/>
      <c r="T887" s="42"/>
      <c r="U887" s="42"/>
      <c r="V887" s="42"/>
      <c r="W887" s="42"/>
      <c r="X887" s="42"/>
      <c r="Y887" s="42"/>
      <c r="Z887" s="42"/>
    </row>
    <row r="888" ht="15.75" customHeight="1">
      <c r="A888" s="42"/>
      <c r="B888" s="42"/>
      <c r="C888" s="42"/>
      <c r="D888" s="42"/>
      <c r="E888" s="42"/>
      <c r="F888" s="42"/>
      <c r="G888" s="42"/>
      <c r="H888" s="63"/>
      <c r="I888" s="42"/>
      <c r="J888" s="42"/>
      <c r="K888" s="42"/>
      <c r="L888" s="42"/>
      <c r="M888" s="42"/>
      <c r="N888" s="42"/>
      <c r="O888" s="42"/>
      <c r="P888" s="42"/>
      <c r="Q888" s="42"/>
      <c r="R888" s="42"/>
      <c r="S888" s="42"/>
      <c r="T888" s="42"/>
      <c r="U888" s="42"/>
      <c r="V888" s="42"/>
      <c r="W888" s="42"/>
      <c r="X888" s="42"/>
      <c r="Y888" s="42"/>
      <c r="Z888" s="42"/>
    </row>
    <row r="889" ht="15.75" customHeight="1">
      <c r="A889" s="42"/>
      <c r="B889" s="42"/>
      <c r="C889" s="42"/>
      <c r="D889" s="42"/>
      <c r="E889" s="42"/>
      <c r="F889" s="42"/>
      <c r="G889" s="42"/>
      <c r="H889" s="63"/>
      <c r="I889" s="42"/>
      <c r="J889" s="42"/>
      <c r="K889" s="42"/>
      <c r="L889" s="42"/>
      <c r="M889" s="42"/>
      <c r="N889" s="42"/>
      <c r="O889" s="42"/>
      <c r="P889" s="42"/>
      <c r="Q889" s="42"/>
      <c r="R889" s="42"/>
      <c r="S889" s="42"/>
      <c r="T889" s="42"/>
      <c r="U889" s="42"/>
      <c r="V889" s="42"/>
      <c r="W889" s="42"/>
      <c r="X889" s="42"/>
      <c r="Y889" s="42"/>
      <c r="Z889" s="42"/>
    </row>
    <row r="890" ht="15.75" customHeight="1">
      <c r="A890" s="42"/>
      <c r="B890" s="42"/>
      <c r="C890" s="42"/>
      <c r="D890" s="42"/>
      <c r="E890" s="42"/>
      <c r="F890" s="42"/>
      <c r="G890" s="42"/>
      <c r="H890" s="63"/>
      <c r="I890" s="42"/>
      <c r="J890" s="42"/>
      <c r="K890" s="42"/>
      <c r="L890" s="42"/>
      <c r="M890" s="42"/>
      <c r="N890" s="42"/>
      <c r="O890" s="42"/>
      <c r="P890" s="42"/>
      <c r="Q890" s="42"/>
      <c r="R890" s="42"/>
      <c r="S890" s="42"/>
      <c r="T890" s="42"/>
      <c r="U890" s="42"/>
      <c r="V890" s="42"/>
      <c r="W890" s="42"/>
      <c r="X890" s="42"/>
      <c r="Y890" s="42"/>
      <c r="Z890" s="42"/>
    </row>
    <row r="891" ht="15.75" customHeight="1">
      <c r="A891" s="42"/>
      <c r="B891" s="42"/>
      <c r="C891" s="42"/>
      <c r="D891" s="42"/>
      <c r="E891" s="42"/>
      <c r="F891" s="42"/>
      <c r="G891" s="42"/>
      <c r="H891" s="63"/>
      <c r="I891" s="42"/>
      <c r="J891" s="42"/>
      <c r="K891" s="42"/>
      <c r="L891" s="42"/>
      <c r="M891" s="42"/>
      <c r="N891" s="42"/>
      <c r="O891" s="42"/>
      <c r="P891" s="42"/>
      <c r="Q891" s="42"/>
      <c r="R891" s="42"/>
      <c r="S891" s="42"/>
      <c r="T891" s="42"/>
      <c r="U891" s="42"/>
      <c r="V891" s="42"/>
      <c r="W891" s="42"/>
      <c r="X891" s="42"/>
      <c r="Y891" s="42"/>
      <c r="Z891" s="42"/>
    </row>
    <row r="892" ht="15.75" customHeight="1">
      <c r="A892" s="42"/>
      <c r="B892" s="42"/>
      <c r="C892" s="42"/>
      <c r="D892" s="42"/>
      <c r="E892" s="42"/>
      <c r="F892" s="42"/>
      <c r="G892" s="42"/>
      <c r="H892" s="63"/>
      <c r="I892" s="42"/>
      <c r="J892" s="42"/>
      <c r="K892" s="42"/>
      <c r="L892" s="42"/>
      <c r="M892" s="42"/>
      <c r="N892" s="42"/>
      <c r="O892" s="42"/>
      <c r="P892" s="42"/>
      <c r="Q892" s="42"/>
      <c r="R892" s="42"/>
      <c r="S892" s="42"/>
      <c r="T892" s="42"/>
      <c r="U892" s="42"/>
      <c r="V892" s="42"/>
      <c r="W892" s="42"/>
      <c r="X892" s="42"/>
      <c r="Y892" s="42"/>
      <c r="Z892" s="42"/>
    </row>
    <row r="893" ht="15.75" customHeight="1">
      <c r="A893" s="42"/>
      <c r="B893" s="42"/>
      <c r="C893" s="42"/>
      <c r="D893" s="42"/>
      <c r="E893" s="42"/>
      <c r="F893" s="42"/>
      <c r="G893" s="42"/>
      <c r="H893" s="63"/>
      <c r="I893" s="42"/>
      <c r="J893" s="42"/>
      <c r="K893" s="42"/>
      <c r="L893" s="42"/>
      <c r="M893" s="42"/>
      <c r="N893" s="42"/>
      <c r="O893" s="42"/>
      <c r="P893" s="42"/>
      <c r="Q893" s="42"/>
      <c r="R893" s="42"/>
      <c r="S893" s="42"/>
      <c r="T893" s="42"/>
      <c r="U893" s="42"/>
      <c r="V893" s="42"/>
      <c r="W893" s="42"/>
      <c r="X893" s="42"/>
      <c r="Y893" s="42"/>
      <c r="Z893" s="42"/>
    </row>
    <row r="894" ht="15.75" customHeight="1">
      <c r="A894" s="42"/>
      <c r="B894" s="42"/>
      <c r="C894" s="42"/>
      <c r="D894" s="42"/>
      <c r="E894" s="42"/>
      <c r="F894" s="42"/>
      <c r="G894" s="42"/>
      <c r="H894" s="63"/>
      <c r="I894" s="42"/>
      <c r="J894" s="42"/>
      <c r="K894" s="42"/>
      <c r="L894" s="42"/>
      <c r="M894" s="42"/>
      <c r="N894" s="42"/>
      <c r="O894" s="42"/>
      <c r="P894" s="42"/>
      <c r="Q894" s="42"/>
      <c r="R894" s="42"/>
      <c r="S894" s="42"/>
      <c r="T894" s="42"/>
      <c r="U894" s="42"/>
      <c r="V894" s="42"/>
      <c r="W894" s="42"/>
      <c r="X894" s="42"/>
      <c r="Y894" s="42"/>
      <c r="Z894" s="42"/>
    </row>
    <row r="895" ht="15.75" customHeight="1">
      <c r="A895" s="42"/>
      <c r="B895" s="42"/>
      <c r="C895" s="42"/>
      <c r="D895" s="42"/>
      <c r="E895" s="42"/>
      <c r="F895" s="42"/>
      <c r="G895" s="42"/>
      <c r="H895" s="63"/>
      <c r="I895" s="42"/>
      <c r="J895" s="42"/>
      <c r="K895" s="42"/>
      <c r="L895" s="42"/>
      <c r="M895" s="42"/>
      <c r="N895" s="42"/>
      <c r="O895" s="42"/>
      <c r="P895" s="42"/>
      <c r="Q895" s="42"/>
      <c r="R895" s="42"/>
      <c r="S895" s="42"/>
      <c r="T895" s="42"/>
      <c r="U895" s="42"/>
      <c r="V895" s="42"/>
      <c r="W895" s="42"/>
      <c r="X895" s="42"/>
      <c r="Y895" s="42"/>
      <c r="Z895" s="42"/>
    </row>
    <row r="896" ht="15.75" customHeight="1">
      <c r="A896" s="42"/>
      <c r="B896" s="42"/>
      <c r="C896" s="42"/>
      <c r="D896" s="42"/>
      <c r="E896" s="42"/>
      <c r="F896" s="42"/>
      <c r="G896" s="42"/>
      <c r="H896" s="63"/>
      <c r="I896" s="42"/>
      <c r="J896" s="42"/>
      <c r="K896" s="42"/>
      <c r="L896" s="42"/>
      <c r="M896" s="42"/>
      <c r="N896" s="42"/>
      <c r="O896" s="42"/>
      <c r="P896" s="42"/>
      <c r="Q896" s="42"/>
      <c r="R896" s="42"/>
      <c r="S896" s="42"/>
      <c r="T896" s="42"/>
      <c r="U896" s="42"/>
      <c r="V896" s="42"/>
      <c r="W896" s="42"/>
      <c r="X896" s="42"/>
      <c r="Y896" s="42"/>
      <c r="Z896" s="42"/>
    </row>
    <row r="897" ht="15.75" customHeight="1">
      <c r="A897" s="42"/>
      <c r="B897" s="42"/>
      <c r="C897" s="42"/>
      <c r="D897" s="42"/>
      <c r="E897" s="42"/>
      <c r="F897" s="42"/>
      <c r="G897" s="42"/>
      <c r="H897" s="63"/>
      <c r="I897" s="42"/>
      <c r="J897" s="42"/>
      <c r="K897" s="42"/>
      <c r="L897" s="42"/>
      <c r="M897" s="42"/>
      <c r="N897" s="42"/>
      <c r="O897" s="42"/>
      <c r="P897" s="42"/>
      <c r="Q897" s="42"/>
      <c r="R897" s="42"/>
      <c r="S897" s="42"/>
      <c r="T897" s="42"/>
      <c r="U897" s="42"/>
      <c r="V897" s="42"/>
      <c r="W897" s="42"/>
      <c r="X897" s="42"/>
      <c r="Y897" s="42"/>
      <c r="Z897" s="42"/>
    </row>
    <row r="898" ht="15.75" customHeight="1">
      <c r="A898" s="42"/>
      <c r="B898" s="42"/>
      <c r="C898" s="42"/>
      <c r="D898" s="42"/>
      <c r="E898" s="42"/>
      <c r="F898" s="42"/>
      <c r="G898" s="42"/>
      <c r="H898" s="63"/>
      <c r="I898" s="42"/>
      <c r="J898" s="42"/>
      <c r="K898" s="42"/>
      <c r="L898" s="42"/>
      <c r="M898" s="42"/>
      <c r="N898" s="42"/>
      <c r="O898" s="42"/>
      <c r="P898" s="42"/>
      <c r="Q898" s="42"/>
      <c r="R898" s="42"/>
      <c r="S898" s="42"/>
      <c r="T898" s="42"/>
      <c r="U898" s="42"/>
      <c r="V898" s="42"/>
      <c r="W898" s="42"/>
      <c r="X898" s="42"/>
      <c r="Y898" s="42"/>
      <c r="Z898" s="42"/>
    </row>
    <row r="899" ht="15.75" customHeight="1">
      <c r="A899" s="42"/>
      <c r="B899" s="42"/>
      <c r="C899" s="42"/>
      <c r="D899" s="42"/>
      <c r="E899" s="42"/>
      <c r="F899" s="42"/>
      <c r="G899" s="42"/>
      <c r="H899" s="63"/>
      <c r="I899" s="42"/>
      <c r="J899" s="42"/>
      <c r="K899" s="42"/>
      <c r="L899" s="42"/>
      <c r="M899" s="42"/>
      <c r="N899" s="42"/>
      <c r="O899" s="42"/>
      <c r="P899" s="42"/>
      <c r="Q899" s="42"/>
      <c r="R899" s="42"/>
      <c r="S899" s="42"/>
      <c r="T899" s="42"/>
      <c r="U899" s="42"/>
      <c r="V899" s="42"/>
      <c r="W899" s="42"/>
      <c r="X899" s="42"/>
      <c r="Y899" s="42"/>
      <c r="Z899" s="42"/>
    </row>
    <row r="900" ht="15.75" customHeight="1">
      <c r="A900" s="42"/>
      <c r="B900" s="42"/>
      <c r="C900" s="42"/>
      <c r="D900" s="42"/>
      <c r="E900" s="42"/>
      <c r="F900" s="42"/>
      <c r="G900" s="42"/>
      <c r="H900" s="63"/>
      <c r="I900" s="42"/>
      <c r="J900" s="42"/>
      <c r="K900" s="42"/>
      <c r="L900" s="42"/>
      <c r="M900" s="42"/>
      <c r="N900" s="42"/>
      <c r="O900" s="42"/>
      <c r="P900" s="42"/>
      <c r="Q900" s="42"/>
      <c r="R900" s="42"/>
      <c r="S900" s="42"/>
      <c r="T900" s="42"/>
      <c r="U900" s="42"/>
      <c r="V900" s="42"/>
      <c r="W900" s="42"/>
      <c r="X900" s="42"/>
      <c r="Y900" s="42"/>
      <c r="Z900" s="42"/>
    </row>
    <row r="901" ht="15.75" customHeight="1">
      <c r="A901" s="42"/>
      <c r="B901" s="42"/>
      <c r="C901" s="42"/>
      <c r="D901" s="42"/>
      <c r="E901" s="42"/>
      <c r="F901" s="42"/>
      <c r="G901" s="42"/>
      <c r="H901" s="63"/>
      <c r="I901" s="42"/>
      <c r="J901" s="42"/>
      <c r="K901" s="42"/>
      <c r="L901" s="42"/>
      <c r="M901" s="42"/>
      <c r="N901" s="42"/>
      <c r="O901" s="42"/>
      <c r="P901" s="42"/>
      <c r="Q901" s="42"/>
      <c r="R901" s="42"/>
      <c r="S901" s="42"/>
      <c r="T901" s="42"/>
      <c r="U901" s="42"/>
      <c r="V901" s="42"/>
      <c r="W901" s="42"/>
      <c r="X901" s="42"/>
      <c r="Y901" s="42"/>
      <c r="Z901" s="42"/>
    </row>
    <row r="902" ht="15.75" customHeight="1">
      <c r="A902" s="42"/>
      <c r="B902" s="42"/>
      <c r="C902" s="42"/>
      <c r="D902" s="42"/>
      <c r="E902" s="42"/>
      <c r="F902" s="42"/>
      <c r="G902" s="42"/>
      <c r="H902" s="63"/>
      <c r="I902" s="42"/>
      <c r="J902" s="42"/>
      <c r="K902" s="42"/>
      <c r="L902" s="42"/>
      <c r="M902" s="42"/>
      <c r="N902" s="42"/>
      <c r="O902" s="42"/>
      <c r="P902" s="42"/>
      <c r="Q902" s="42"/>
      <c r="R902" s="42"/>
      <c r="S902" s="42"/>
      <c r="T902" s="42"/>
      <c r="U902" s="42"/>
      <c r="V902" s="42"/>
      <c r="W902" s="42"/>
      <c r="X902" s="42"/>
      <c r="Y902" s="42"/>
      <c r="Z902" s="42"/>
    </row>
    <row r="903" ht="15.75" customHeight="1">
      <c r="A903" s="42"/>
      <c r="B903" s="42"/>
      <c r="C903" s="42"/>
      <c r="D903" s="42"/>
      <c r="E903" s="42"/>
      <c r="F903" s="42"/>
      <c r="G903" s="42"/>
      <c r="H903" s="63"/>
      <c r="I903" s="42"/>
      <c r="J903" s="42"/>
      <c r="K903" s="42"/>
      <c r="L903" s="42"/>
      <c r="M903" s="42"/>
      <c r="N903" s="42"/>
      <c r="O903" s="42"/>
      <c r="P903" s="42"/>
      <c r="Q903" s="42"/>
      <c r="R903" s="42"/>
      <c r="S903" s="42"/>
      <c r="T903" s="42"/>
      <c r="U903" s="42"/>
      <c r="V903" s="42"/>
      <c r="W903" s="42"/>
      <c r="X903" s="42"/>
      <c r="Y903" s="42"/>
      <c r="Z903" s="42"/>
    </row>
    <row r="904" ht="15.75" customHeight="1">
      <c r="A904" s="42"/>
      <c r="B904" s="42"/>
      <c r="C904" s="42"/>
      <c r="D904" s="42"/>
      <c r="E904" s="42"/>
      <c r="F904" s="42"/>
      <c r="G904" s="42"/>
      <c r="H904" s="63"/>
      <c r="I904" s="42"/>
      <c r="J904" s="42"/>
      <c r="K904" s="42"/>
      <c r="L904" s="42"/>
      <c r="M904" s="42"/>
      <c r="N904" s="42"/>
      <c r="O904" s="42"/>
      <c r="P904" s="42"/>
      <c r="Q904" s="42"/>
      <c r="R904" s="42"/>
      <c r="S904" s="42"/>
      <c r="T904" s="42"/>
      <c r="U904" s="42"/>
      <c r="V904" s="42"/>
      <c r="W904" s="42"/>
      <c r="X904" s="42"/>
      <c r="Y904" s="42"/>
      <c r="Z904" s="42"/>
    </row>
    <row r="905" ht="15.75" customHeight="1">
      <c r="A905" s="42"/>
      <c r="B905" s="42"/>
      <c r="C905" s="42"/>
      <c r="D905" s="42"/>
      <c r="E905" s="42"/>
      <c r="F905" s="42"/>
      <c r="G905" s="42"/>
      <c r="H905" s="63"/>
      <c r="I905" s="42"/>
      <c r="J905" s="42"/>
      <c r="K905" s="42"/>
      <c r="L905" s="42"/>
      <c r="M905" s="42"/>
      <c r="N905" s="42"/>
      <c r="O905" s="42"/>
      <c r="P905" s="42"/>
      <c r="Q905" s="42"/>
      <c r="R905" s="42"/>
      <c r="S905" s="42"/>
      <c r="T905" s="42"/>
      <c r="U905" s="42"/>
      <c r="V905" s="42"/>
      <c r="W905" s="42"/>
      <c r="X905" s="42"/>
      <c r="Y905" s="42"/>
      <c r="Z905" s="42"/>
    </row>
    <row r="906" ht="15.75" customHeight="1">
      <c r="A906" s="42"/>
      <c r="B906" s="42"/>
      <c r="C906" s="42"/>
      <c r="D906" s="42"/>
      <c r="E906" s="42"/>
      <c r="F906" s="42"/>
      <c r="G906" s="42"/>
      <c r="H906" s="63"/>
      <c r="I906" s="42"/>
      <c r="J906" s="42"/>
      <c r="K906" s="42"/>
      <c r="L906" s="42"/>
      <c r="M906" s="42"/>
      <c r="N906" s="42"/>
      <c r="O906" s="42"/>
      <c r="P906" s="42"/>
      <c r="Q906" s="42"/>
      <c r="R906" s="42"/>
      <c r="S906" s="42"/>
      <c r="T906" s="42"/>
      <c r="U906" s="42"/>
      <c r="V906" s="42"/>
      <c r="W906" s="42"/>
      <c r="X906" s="42"/>
      <c r="Y906" s="42"/>
      <c r="Z906" s="42"/>
    </row>
    <row r="907" ht="15.75" customHeight="1">
      <c r="A907" s="42"/>
      <c r="B907" s="42"/>
      <c r="C907" s="42"/>
      <c r="D907" s="42"/>
      <c r="E907" s="42"/>
      <c r="F907" s="42"/>
      <c r="G907" s="42"/>
      <c r="H907" s="63"/>
      <c r="I907" s="42"/>
      <c r="J907" s="42"/>
      <c r="K907" s="42"/>
      <c r="L907" s="42"/>
      <c r="M907" s="42"/>
      <c r="N907" s="42"/>
      <c r="O907" s="42"/>
      <c r="P907" s="42"/>
      <c r="Q907" s="42"/>
      <c r="R907" s="42"/>
      <c r="S907" s="42"/>
      <c r="T907" s="42"/>
      <c r="U907" s="42"/>
      <c r="V907" s="42"/>
      <c r="W907" s="42"/>
      <c r="X907" s="42"/>
      <c r="Y907" s="42"/>
      <c r="Z907" s="42"/>
    </row>
    <row r="908" ht="15.75" customHeight="1">
      <c r="A908" s="42"/>
      <c r="B908" s="42"/>
      <c r="C908" s="42"/>
      <c r="D908" s="42"/>
      <c r="E908" s="42"/>
      <c r="F908" s="42"/>
      <c r="G908" s="42"/>
      <c r="H908" s="63"/>
      <c r="I908" s="42"/>
      <c r="J908" s="42"/>
      <c r="K908" s="42"/>
      <c r="L908" s="42"/>
      <c r="M908" s="42"/>
      <c r="N908" s="42"/>
      <c r="O908" s="42"/>
      <c r="P908" s="42"/>
      <c r="Q908" s="42"/>
      <c r="R908" s="42"/>
      <c r="S908" s="42"/>
      <c r="T908" s="42"/>
      <c r="U908" s="42"/>
      <c r="V908" s="42"/>
      <c r="W908" s="42"/>
      <c r="X908" s="42"/>
      <c r="Y908" s="42"/>
      <c r="Z908" s="42"/>
    </row>
    <row r="909" ht="15.75" customHeight="1">
      <c r="A909" s="42"/>
      <c r="B909" s="42"/>
      <c r="C909" s="42"/>
      <c r="D909" s="42"/>
      <c r="E909" s="42"/>
      <c r="F909" s="42"/>
      <c r="G909" s="42"/>
      <c r="H909" s="63"/>
      <c r="I909" s="42"/>
      <c r="J909" s="42"/>
      <c r="K909" s="42"/>
      <c r="L909" s="42"/>
      <c r="M909" s="42"/>
      <c r="N909" s="42"/>
      <c r="O909" s="42"/>
      <c r="P909" s="42"/>
      <c r="Q909" s="42"/>
      <c r="R909" s="42"/>
      <c r="S909" s="42"/>
      <c r="T909" s="42"/>
      <c r="U909" s="42"/>
      <c r="V909" s="42"/>
      <c r="W909" s="42"/>
      <c r="X909" s="42"/>
      <c r="Y909" s="42"/>
      <c r="Z909" s="42"/>
    </row>
    <row r="910" ht="15.75" customHeight="1">
      <c r="A910" s="42"/>
      <c r="B910" s="42"/>
      <c r="C910" s="42"/>
      <c r="D910" s="42"/>
      <c r="E910" s="42"/>
      <c r="F910" s="42"/>
      <c r="G910" s="42"/>
      <c r="H910" s="63"/>
      <c r="I910" s="42"/>
      <c r="J910" s="42"/>
      <c r="K910" s="42"/>
      <c r="L910" s="42"/>
      <c r="M910" s="42"/>
      <c r="N910" s="42"/>
      <c r="O910" s="42"/>
      <c r="P910" s="42"/>
      <c r="Q910" s="42"/>
      <c r="R910" s="42"/>
      <c r="S910" s="42"/>
      <c r="T910" s="42"/>
      <c r="U910" s="42"/>
      <c r="V910" s="42"/>
      <c r="W910" s="42"/>
      <c r="X910" s="42"/>
      <c r="Y910" s="42"/>
      <c r="Z910" s="42"/>
    </row>
    <row r="911" ht="15.75" customHeight="1">
      <c r="A911" s="42"/>
      <c r="B911" s="42"/>
      <c r="C911" s="42"/>
      <c r="D911" s="42"/>
      <c r="E911" s="42"/>
      <c r="F911" s="42"/>
      <c r="G911" s="42"/>
      <c r="H911" s="63"/>
      <c r="I911" s="42"/>
      <c r="J911" s="42"/>
      <c r="K911" s="42"/>
      <c r="L911" s="42"/>
      <c r="M911" s="42"/>
      <c r="N911" s="42"/>
      <c r="O911" s="42"/>
      <c r="P911" s="42"/>
      <c r="Q911" s="42"/>
      <c r="R911" s="42"/>
      <c r="S911" s="42"/>
      <c r="T911" s="42"/>
      <c r="U911" s="42"/>
      <c r="V911" s="42"/>
      <c r="W911" s="42"/>
      <c r="X911" s="42"/>
      <c r="Y911" s="42"/>
      <c r="Z911" s="42"/>
    </row>
    <row r="912" ht="15.75" customHeight="1">
      <c r="A912" s="42"/>
      <c r="B912" s="42"/>
      <c r="C912" s="42"/>
      <c r="D912" s="42"/>
      <c r="E912" s="42"/>
      <c r="F912" s="42"/>
      <c r="G912" s="42"/>
      <c r="H912" s="63"/>
      <c r="I912" s="42"/>
      <c r="J912" s="42"/>
      <c r="K912" s="42"/>
      <c r="L912" s="42"/>
      <c r="M912" s="42"/>
      <c r="N912" s="42"/>
      <c r="O912" s="42"/>
      <c r="P912" s="42"/>
      <c r="Q912" s="42"/>
      <c r="R912" s="42"/>
      <c r="S912" s="42"/>
      <c r="T912" s="42"/>
      <c r="U912" s="42"/>
      <c r="V912" s="42"/>
      <c r="W912" s="42"/>
      <c r="X912" s="42"/>
      <c r="Y912" s="42"/>
      <c r="Z912" s="42"/>
    </row>
    <row r="913" ht="15.75" customHeight="1">
      <c r="A913" s="42"/>
      <c r="B913" s="42"/>
      <c r="C913" s="42"/>
      <c r="D913" s="42"/>
      <c r="E913" s="42"/>
      <c r="F913" s="42"/>
      <c r="G913" s="42"/>
      <c r="H913" s="63"/>
      <c r="I913" s="42"/>
      <c r="J913" s="42"/>
      <c r="K913" s="42"/>
      <c r="L913" s="42"/>
      <c r="M913" s="42"/>
      <c r="N913" s="42"/>
      <c r="O913" s="42"/>
      <c r="P913" s="42"/>
      <c r="Q913" s="42"/>
      <c r="R913" s="42"/>
      <c r="S913" s="42"/>
      <c r="T913" s="42"/>
      <c r="U913" s="42"/>
      <c r="V913" s="42"/>
      <c r="W913" s="42"/>
      <c r="X913" s="42"/>
      <c r="Y913" s="42"/>
      <c r="Z913" s="42"/>
    </row>
    <row r="914" ht="15.75" customHeight="1">
      <c r="A914" s="42"/>
      <c r="B914" s="42"/>
      <c r="C914" s="42"/>
      <c r="D914" s="42"/>
      <c r="E914" s="42"/>
      <c r="F914" s="42"/>
      <c r="G914" s="42"/>
      <c r="H914" s="63"/>
      <c r="I914" s="42"/>
      <c r="J914" s="42"/>
      <c r="K914" s="42"/>
      <c r="L914" s="42"/>
      <c r="M914" s="42"/>
      <c r="N914" s="42"/>
      <c r="O914" s="42"/>
      <c r="P914" s="42"/>
      <c r="Q914" s="42"/>
      <c r="R914" s="42"/>
      <c r="S914" s="42"/>
      <c r="T914" s="42"/>
      <c r="U914" s="42"/>
      <c r="V914" s="42"/>
      <c r="W914" s="42"/>
      <c r="X914" s="42"/>
      <c r="Y914" s="42"/>
      <c r="Z914" s="42"/>
    </row>
    <row r="915" ht="15.75" customHeight="1">
      <c r="A915" s="42"/>
      <c r="B915" s="42"/>
      <c r="C915" s="42"/>
      <c r="D915" s="42"/>
      <c r="E915" s="42"/>
      <c r="F915" s="42"/>
      <c r="G915" s="42"/>
      <c r="H915" s="63"/>
      <c r="I915" s="42"/>
      <c r="J915" s="42"/>
      <c r="K915" s="42"/>
      <c r="L915" s="42"/>
      <c r="M915" s="42"/>
      <c r="N915" s="42"/>
      <c r="O915" s="42"/>
      <c r="P915" s="42"/>
      <c r="Q915" s="42"/>
      <c r="R915" s="42"/>
      <c r="S915" s="42"/>
      <c r="T915" s="42"/>
      <c r="U915" s="42"/>
      <c r="V915" s="42"/>
      <c r="W915" s="42"/>
      <c r="X915" s="42"/>
      <c r="Y915" s="42"/>
      <c r="Z915" s="42"/>
    </row>
    <row r="916" ht="15.75" customHeight="1">
      <c r="A916" s="42"/>
      <c r="B916" s="42"/>
      <c r="C916" s="42"/>
      <c r="D916" s="42"/>
      <c r="E916" s="42"/>
      <c r="F916" s="42"/>
      <c r="G916" s="42"/>
      <c r="H916" s="63"/>
      <c r="I916" s="42"/>
      <c r="J916" s="42"/>
      <c r="K916" s="42"/>
      <c r="L916" s="42"/>
      <c r="M916" s="42"/>
      <c r="N916" s="42"/>
      <c r="O916" s="42"/>
      <c r="P916" s="42"/>
      <c r="Q916" s="42"/>
      <c r="R916" s="42"/>
      <c r="S916" s="42"/>
      <c r="T916" s="42"/>
      <c r="U916" s="42"/>
      <c r="V916" s="42"/>
      <c r="W916" s="42"/>
      <c r="X916" s="42"/>
      <c r="Y916" s="42"/>
      <c r="Z916" s="42"/>
    </row>
    <row r="917" ht="15.75" customHeight="1">
      <c r="A917" s="42"/>
      <c r="B917" s="42"/>
      <c r="C917" s="42"/>
      <c r="D917" s="42"/>
      <c r="E917" s="42"/>
      <c r="F917" s="42"/>
      <c r="G917" s="42"/>
      <c r="H917" s="63"/>
      <c r="I917" s="42"/>
      <c r="J917" s="42"/>
      <c r="K917" s="42"/>
      <c r="L917" s="42"/>
      <c r="M917" s="42"/>
      <c r="N917" s="42"/>
      <c r="O917" s="42"/>
      <c r="P917" s="42"/>
      <c r="Q917" s="42"/>
      <c r="R917" s="42"/>
      <c r="S917" s="42"/>
      <c r="T917" s="42"/>
      <c r="U917" s="42"/>
      <c r="V917" s="42"/>
      <c r="W917" s="42"/>
      <c r="X917" s="42"/>
      <c r="Y917" s="42"/>
      <c r="Z917" s="42"/>
    </row>
    <row r="918" ht="15.75" customHeight="1">
      <c r="A918" s="42"/>
      <c r="B918" s="42"/>
      <c r="C918" s="42"/>
      <c r="D918" s="42"/>
      <c r="E918" s="42"/>
      <c r="F918" s="42"/>
      <c r="G918" s="42"/>
      <c r="H918" s="63"/>
      <c r="I918" s="42"/>
      <c r="J918" s="42"/>
      <c r="K918" s="42"/>
      <c r="L918" s="42"/>
      <c r="M918" s="42"/>
      <c r="N918" s="42"/>
      <c r="O918" s="42"/>
      <c r="P918" s="42"/>
      <c r="Q918" s="42"/>
      <c r="R918" s="42"/>
      <c r="S918" s="42"/>
      <c r="T918" s="42"/>
      <c r="U918" s="42"/>
      <c r="V918" s="42"/>
      <c r="W918" s="42"/>
      <c r="X918" s="42"/>
      <c r="Y918" s="42"/>
      <c r="Z918" s="42"/>
    </row>
    <row r="919" ht="15.75" customHeight="1">
      <c r="A919" s="42"/>
      <c r="B919" s="42"/>
      <c r="C919" s="42"/>
      <c r="D919" s="42"/>
      <c r="E919" s="42"/>
      <c r="F919" s="42"/>
      <c r="G919" s="42"/>
      <c r="H919" s="63"/>
      <c r="I919" s="42"/>
      <c r="J919" s="42"/>
      <c r="K919" s="42"/>
      <c r="L919" s="42"/>
      <c r="M919" s="42"/>
      <c r="N919" s="42"/>
      <c r="O919" s="42"/>
      <c r="P919" s="42"/>
      <c r="Q919" s="42"/>
      <c r="R919" s="42"/>
      <c r="S919" s="42"/>
      <c r="T919" s="42"/>
      <c r="U919" s="42"/>
      <c r="V919" s="42"/>
      <c r="W919" s="42"/>
      <c r="X919" s="42"/>
      <c r="Y919" s="42"/>
      <c r="Z919" s="42"/>
    </row>
    <row r="920" ht="15.75" customHeight="1">
      <c r="A920" s="42"/>
      <c r="B920" s="42"/>
      <c r="C920" s="42"/>
      <c r="D920" s="42"/>
      <c r="E920" s="42"/>
      <c r="F920" s="42"/>
      <c r="G920" s="42"/>
      <c r="H920" s="63"/>
      <c r="I920" s="42"/>
      <c r="J920" s="42"/>
      <c r="K920" s="42"/>
      <c r="L920" s="42"/>
      <c r="M920" s="42"/>
      <c r="N920" s="42"/>
      <c r="O920" s="42"/>
      <c r="P920" s="42"/>
      <c r="Q920" s="42"/>
      <c r="R920" s="42"/>
      <c r="S920" s="42"/>
      <c r="T920" s="42"/>
      <c r="U920" s="42"/>
      <c r="V920" s="42"/>
      <c r="W920" s="42"/>
      <c r="X920" s="42"/>
      <c r="Y920" s="42"/>
      <c r="Z920" s="42"/>
    </row>
    <row r="921" ht="15.75" customHeight="1">
      <c r="A921" s="42"/>
      <c r="B921" s="42"/>
      <c r="C921" s="42"/>
      <c r="D921" s="42"/>
      <c r="E921" s="42"/>
      <c r="F921" s="42"/>
      <c r="G921" s="42"/>
      <c r="H921" s="63"/>
      <c r="I921" s="42"/>
      <c r="J921" s="42"/>
      <c r="K921" s="42"/>
      <c r="L921" s="42"/>
      <c r="M921" s="42"/>
      <c r="N921" s="42"/>
      <c r="O921" s="42"/>
      <c r="P921" s="42"/>
      <c r="Q921" s="42"/>
      <c r="R921" s="42"/>
      <c r="S921" s="42"/>
      <c r="T921" s="42"/>
      <c r="U921" s="42"/>
      <c r="V921" s="42"/>
      <c r="W921" s="42"/>
      <c r="X921" s="42"/>
      <c r="Y921" s="42"/>
      <c r="Z921" s="42"/>
    </row>
    <row r="922" ht="15.75" customHeight="1">
      <c r="A922" s="42"/>
      <c r="B922" s="42"/>
      <c r="C922" s="42"/>
      <c r="D922" s="42"/>
      <c r="E922" s="42"/>
      <c r="F922" s="42"/>
      <c r="G922" s="42"/>
      <c r="H922" s="63"/>
      <c r="I922" s="42"/>
      <c r="J922" s="42"/>
      <c r="K922" s="42"/>
      <c r="L922" s="42"/>
      <c r="M922" s="42"/>
      <c r="N922" s="42"/>
      <c r="O922" s="42"/>
      <c r="P922" s="42"/>
      <c r="Q922" s="42"/>
      <c r="R922" s="42"/>
      <c r="S922" s="42"/>
      <c r="T922" s="42"/>
      <c r="U922" s="42"/>
      <c r="V922" s="42"/>
      <c r="W922" s="42"/>
      <c r="X922" s="42"/>
      <c r="Y922" s="42"/>
      <c r="Z922" s="42"/>
    </row>
    <row r="923" ht="15.75" customHeight="1">
      <c r="A923" s="42"/>
      <c r="B923" s="42"/>
      <c r="C923" s="42"/>
      <c r="D923" s="42"/>
      <c r="E923" s="42"/>
      <c r="F923" s="42"/>
      <c r="G923" s="42"/>
      <c r="H923" s="63"/>
      <c r="I923" s="42"/>
      <c r="J923" s="42"/>
      <c r="K923" s="42"/>
      <c r="L923" s="42"/>
      <c r="M923" s="42"/>
      <c r="N923" s="42"/>
      <c r="O923" s="42"/>
      <c r="P923" s="42"/>
      <c r="Q923" s="42"/>
      <c r="R923" s="42"/>
      <c r="S923" s="42"/>
      <c r="T923" s="42"/>
      <c r="U923" s="42"/>
      <c r="V923" s="42"/>
      <c r="W923" s="42"/>
      <c r="X923" s="42"/>
      <c r="Y923" s="42"/>
      <c r="Z923" s="42"/>
    </row>
    <row r="924" ht="15.75" customHeight="1">
      <c r="A924" s="42"/>
      <c r="B924" s="42"/>
      <c r="C924" s="42"/>
      <c r="D924" s="42"/>
      <c r="E924" s="42"/>
      <c r="F924" s="42"/>
      <c r="G924" s="42"/>
      <c r="H924" s="63"/>
      <c r="I924" s="42"/>
      <c r="J924" s="42"/>
      <c r="K924" s="42"/>
      <c r="L924" s="42"/>
      <c r="M924" s="42"/>
      <c r="N924" s="42"/>
      <c r="O924" s="42"/>
      <c r="P924" s="42"/>
      <c r="Q924" s="42"/>
      <c r="R924" s="42"/>
      <c r="S924" s="42"/>
      <c r="T924" s="42"/>
      <c r="U924" s="42"/>
      <c r="V924" s="42"/>
      <c r="W924" s="42"/>
      <c r="X924" s="42"/>
      <c r="Y924" s="42"/>
      <c r="Z924" s="42"/>
    </row>
    <row r="925" ht="15.75" customHeight="1">
      <c r="A925" s="42"/>
      <c r="B925" s="42"/>
      <c r="C925" s="42"/>
      <c r="D925" s="42"/>
      <c r="E925" s="42"/>
      <c r="F925" s="42"/>
      <c r="G925" s="42"/>
      <c r="H925" s="63"/>
      <c r="I925" s="42"/>
      <c r="J925" s="42"/>
      <c r="K925" s="42"/>
      <c r="L925" s="42"/>
      <c r="M925" s="42"/>
      <c r="N925" s="42"/>
      <c r="O925" s="42"/>
      <c r="P925" s="42"/>
      <c r="Q925" s="42"/>
      <c r="R925" s="42"/>
      <c r="S925" s="42"/>
      <c r="T925" s="42"/>
      <c r="U925" s="42"/>
      <c r="V925" s="42"/>
      <c r="W925" s="42"/>
      <c r="X925" s="42"/>
      <c r="Y925" s="42"/>
      <c r="Z925" s="42"/>
    </row>
    <row r="926" ht="15.75" customHeight="1">
      <c r="A926" s="42"/>
      <c r="B926" s="42"/>
      <c r="C926" s="42"/>
      <c r="D926" s="42"/>
      <c r="E926" s="42"/>
      <c r="F926" s="42"/>
      <c r="G926" s="42"/>
      <c r="H926" s="63"/>
      <c r="I926" s="42"/>
      <c r="J926" s="42"/>
      <c r="K926" s="42"/>
      <c r="L926" s="42"/>
      <c r="M926" s="42"/>
      <c r="N926" s="42"/>
      <c r="O926" s="42"/>
      <c r="P926" s="42"/>
      <c r="Q926" s="42"/>
      <c r="R926" s="42"/>
      <c r="S926" s="42"/>
      <c r="T926" s="42"/>
      <c r="U926" s="42"/>
      <c r="V926" s="42"/>
      <c r="W926" s="42"/>
      <c r="X926" s="42"/>
      <c r="Y926" s="42"/>
      <c r="Z926" s="42"/>
    </row>
    <row r="927" ht="15.75" customHeight="1">
      <c r="A927" s="42"/>
      <c r="B927" s="42"/>
      <c r="C927" s="42"/>
      <c r="D927" s="42"/>
      <c r="E927" s="42"/>
      <c r="F927" s="42"/>
      <c r="G927" s="42"/>
      <c r="H927" s="63"/>
      <c r="I927" s="42"/>
      <c r="J927" s="42"/>
      <c r="K927" s="42"/>
      <c r="L927" s="42"/>
      <c r="M927" s="42"/>
      <c r="N927" s="42"/>
      <c r="O927" s="42"/>
      <c r="P927" s="42"/>
      <c r="Q927" s="42"/>
      <c r="R927" s="42"/>
      <c r="S927" s="42"/>
      <c r="T927" s="42"/>
      <c r="U927" s="42"/>
      <c r="V927" s="42"/>
      <c r="W927" s="42"/>
      <c r="X927" s="42"/>
      <c r="Y927" s="42"/>
      <c r="Z927" s="42"/>
    </row>
    <row r="928" ht="15.75" customHeight="1">
      <c r="A928" s="42"/>
      <c r="B928" s="42"/>
      <c r="C928" s="42"/>
      <c r="D928" s="42"/>
      <c r="E928" s="42"/>
      <c r="F928" s="42"/>
      <c r="G928" s="42"/>
      <c r="H928" s="63"/>
      <c r="I928" s="42"/>
      <c r="J928" s="42"/>
      <c r="K928" s="42"/>
      <c r="L928" s="42"/>
      <c r="M928" s="42"/>
      <c r="N928" s="42"/>
      <c r="O928" s="42"/>
      <c r="P928" s="42"/>
      <c r="Q928" s="42"/>
      <c r="R928" s="42"/>
      <c r="S928" s="42"/>
      <c r="T928" s="42"/>
      <c r="U928" s="42"/>
      <c r="V928" s="42"/>
      <c r="W928" s="42"/>
      <c r="X928" s="42"/>
      <c r="Y928" s="42"/>
      <c r="Z928" s="42"/>
    </row>
    <row r="929" ht="15.75" customHeight="1">
      <c r="A929" s="42"/>
      <c r="B929" s="42"/>
      <c r="C929" s="42"/>
      <c r="D929" s="42"/>
      <c r="E929" s="42"/>
      <c r="F929" s="42"/>
      <c r="G929" s="42"/>
      <c r="H929" s="63"/>
      <c r="I929" s="42"/>
      <c r="J929" s="42"/>
      <c r="K929" s="42"/>
      <c r="L929" s="42"/>
      <c r="M929" s="42"/>
      <c r="N929" s="42"/>
      <c r="O929" s="42"/>
      <c r="P929" s="42"/>
      <c r="Q929" s="42"/>
      <c r="R929" s="42"/>
      <c r="S929" s="42"/>
      <c r="T929" s="42"/>
      <c r="U929" s="42"/>
      <c r="V929" s="42"/>
      <c r="W929" s="42"/>
      <c r="X929" s="42"/>
      <c r="Y929" s="42"/>
      <c r="Z929" s="42"/>
    </row>
    <row r="930" ht="15.75" customHeight="1">
      <c r="A930" s="42"/>
      <c r="B930" s="42"/>
      <c r="C930" s="42"/>
      <c r="D930" s="42"/>
      <c r="E930" s="42"/>
      <c r="F930" s="42"/>
      <c r="G930" s="42"/>
      <c r="H930" s="63"/>
      <c r="I930" s="42"/>
      <c r="J930" s="42"/>
      <c r="K930" s="42"/>
      <c r="L930" s="42"/>
      <c r="M930" s="42"/>
      <c r="N930" s="42"/>
      <c r="O930" s="42"/>
      <c r="P930" s="42"/>
      <c r="Q930" s="42"/>
      <c r="R930" s="42"/>
      <c r="S930" s="42"/>
      <c r="T930" s="42"/>
      <c r="U930" s="42"/>
      <c r="V930" s="42"/>
      <c r="W930" s="42"/>
      <c r="X930" s="42"/>
      <c r="Y930" s="42"/>
      <c r="Z930" s="42"/>
    </row>
    <row r="931" ht="15.75" customHeight="1">
      <c r="A931" s="42"/>
      <c r="B931" s="42"/>
      <c r="C931" s="42"/>
      <c r="D931" s="42"/>
      <c r="E931" s="42"/>
      <c r="F931" s="42"/>
      <c r="G931" s="42"/>
      <c r="H931" s="63"/>
      <c r="I931" s="42"/>
      <c r="J931" s="42"/>
      <c r="K931" s="42"/>
      <c r="L931" s="42"/>
      <c r="M931" s="42"/>
      <c r="N931" s="42"/>
      <c r="O931" s="42"/>
      <c r="P931" s="42"/>
      <c r="Q931" s="42"/>
      <c r="R931" s="42"/>
      <c r="S931" s="42"/>
      <c r="T931" s="42"/>
      <c r="U931" s="42"/>
      <c r="V931" s="42"/>
      <c r="W931" s="42"/>
      <c r="X931" s="42"/>
      <c r="Y931" s="42"/>
      <c r="Z931" s="42"/>
    </row>
    <row r="932" ht="15.75" customHeight="1">
      <c r="A932" s="42"/>
      <c r="B932" s="42"/>
      <c r="C932" s="42"/>
      <c r="D932" s="42"/>
      <c r="E932" s="42"/>
      <c r="F932" s="42"/>
      <c r="G932" s="42"/>
      <c r="H932" s="63"/>
      <c r="I932" s="42"/>
      <c r="J932" s="42"/>
      <c r="K932" s="42"/>
      <c r="L932" s="42"/>
      <c r="M932" s="42"/>
      <c r="N932" s="42"/>
      <c r="O932" s="42"/>
      <c r="P932" s="42"/>
      <c r="Q932" s="42"/>
      <c r="R932" s="42"/>
      <c r="S932" s="42"/>
      <c r="T932" s="42"/>
      <c r="U932" s="42"/>
      <c r="V932" s="42"/>
      <c r="W932" s="42"/>
      <c r="X932" s="42"/>
      <c r="Y932" s="42"/>
      <c r="Z932" s="42"/>
    </row>
    <row r="933" ht="15.75" customHeight="1">
      <c r="A933" s="42"/>
      <c r="B933" s="42"/>
      <c r="C933" s="42"/>
      <c r="D933" s="42"/>
      <c r="E933" s="42"/>
      <c r="F933" s="42"/>
      <c r="G933" s="42"/>
      <c r="H933" s="63"/>
      <c r="I933" s="42"/>
      <c r="J933" s="42"/>
      <c r="K933" s="42"/>
      <c r="L933" s="42"/>
      <c r="M933" s="42"/>
      <c r="N933" s="42"/>
      <c r="O933" s="42"/>
      <c r="P933" s="42"/>
      <c r="Q933" s="42"/>
      <c r="R933" s="42"/>
      <c r="S933" s="42"/>
      <c r="T933" s="42"/>
      <c r="U933" s="42"/>
      <c r="V933" s="42"/>
      <c r="W933" s="42"/>
      <c r="X933" s="42"/>
      <c r="Y933" s="42"/>
      <c r="Z933" s="42"/>
    </row>
    <row r="934" ht="15.75" customHeight="1">
      <c r="A934" s="42"/>
      <c r="B934" s="42"/>
      <c r="C934" s="42"/>
      <c r="D934" s="42"/>
      <c r="E934" s="42"/>
      <c r="F934" s="42"/>
      <c r="G934" s="42"/>
      <c r="H934" s="63"/>
      <c r="I934" s="42"/>
      <c r="J934" s="42"/>
      <c r="K934" s="42"/>
      <c r="L934" s="42"/>
      <c r="M934" s="42"/>
      <c r="N934" s="42"/>
      <c r="O934" s="42"/>
      <c r="P934" s="42"/>
      <c r="Q934" s="42"/>
      <c r="R934" s="42"/>
      <c r="S934" s="42"/>
      <c r="T934" s="42"/>
      <c r="U934" s="42"/>
      <c r="V934" s="42"/>
      <c r="W934" s="42"/>
      <c r="X934" s="42"/>
      <c r="Y934" s="42"/>
      <c r="Z934" s="42"/>
    </row>
    <row r="935" ht="15.75" customHeight="1">
      <c r="A935" s="42"/>
      <c r="B935" s="42"/>
      <c r="C935" s="42"/>
      <c r="D935" s="42"/>
      <c r="E935" s="42"/>
      <c r="F935" s="42"/>
      <c r="G935" s="42"/>
      <c r="H935" s="63"/>
      <c r="I935" s="42"/>
      <c r="J935" s="42"/>
      <c r="K935" s="42"/>
      <c r="L935" s="42"/>
      <c r="M935" s="42"/>
      <c r="N935" s="42"/>
      <c r="O935" s="42"/>
      <c r="P935" s="42"/>
      <c r="Q935" s="42"/>
      <c r="R935" s="42"/>
      <c r="S935" s="42"/>
      <c r="T935" s="42"/>
      <c r="U935" s="42"/>
      <c r="V935" s="42"/>
      <c r="W935" s="42"/>
      <c r="X935" s="42"/>
      <c r="Y935" s="42"/>
      <c r="Z935" s="42"/>
    </row>
    <row r="936" ht="15.75" customHeight="1">
      <c r="A936" s="42"/>
      <c r="B936" s="42"/>
      <c r="C936" s="42"/>
      <c r="D936" s="42"/>
      <c r="E936" s="42"/>
      <c r="F936" s="42"/>
      <c r="G936" s="42"/>
      <c r="H936" s="63"/>
      <c r="I936" s="42"/>
      <c r="J936" s="42"/>
      <c r="K936" s="42"/>
      <c r="L936" s="42"/>
      <c r="M936" s="42"/>
      <c r="N936" s="42"/>
      <c r="O936" s="42"/>
      <c r="P936" s="42"/>
      <c r="Q936" s="42"/>
      <c r="R936" s="42"/>
      <c r="S936" s="42"/>
      <c r="T936" s="42"/>
      <c r="U936" s="42"/>
      <c r="V936" s="42"/>
      <c r="W936" s="42"/>
      <c r="X936" s="42"/>
      <c r="Y936" s="42"/>
      <c r="Z936" s="42"/>
    </row>
    <row r="937" ht="15.75" customHeight="1">
      <c r="A937" s="42"/>
      <c r="B937" s="42"/>
      <c r="C937" s="42"/>
      <c r="D937" s="42"/>
      <c r="E937" s="42"/>
      <c r="F937" s="42"/>
      <c r="G937" s="42"/>
      <c r="H937" s="63"/>
      <c r="I937" s="42"/>
      <c r="J937" s="42"/>
      <c r="K937" s="42"/>
      <c r="L937" s="42"/>
      <c r="M937" s="42"/>
      <c r="N937" s="42"/>
      <c r="O937" s="42"/>
      <c r="P937" s="42"/>
      <c r="Q937" s="42"/>
      <c r="R937" s="42"/>
      <c r="S937" s="42"/>
      <c r="T937" s="42"/>
      <c r="U937" s="42"/>
      <c r="V937" s="42"/>
      <c r="W937" s="42"/>
      <c r="X937" s="42"/>
      <c r="Y937" s="42"/>
      <c r="Z937" s="42"/>
    </row>
    <row r="938" ht="15.75" customHeight="1">
      <c r="A938" s="42"/>
      <c r="B938" s="42"/>
      <c r="C938" s="42"/>
      <c r="D938" s="42"/>
      <c r="E938" s="42"/>
      <c r="F938" s="42"/>
      <c r="G938" s="42"/>
      <c r="H938" s="63"/>
      <c r="I938" s="42"/>
      <c r="J938" s="42"/>
      <c r="K938" s="42"/>
      <c r="L938" s="42"/>
      <c r="M938" s="42"/>
      <c r="N938" s="42"/>
      <c r="O938" s="42"/>
      <c r="P938" s="42"/>
      <c r="Q938" s="42"/>
      <c r="R938" s="42"/>
      <c r="S938" s="42"/>
      <c r="T938" s="42"/>
      <c r="U938" s="42"/>
      <c r="V938" s="42"/>
      <c r="W938" s="42"/>
      <c r="X938" s="42"/>
      <c r="Y938" s="42"/>
      <c r="Z938" s="42"/>
    </row>
    <row r="939" ht="15.75" customHeight="1">
      <c r="A939" s="42"/>
      <c r="B939" s="42"/>
      <c r="C939" s="42"/>
      <c r="D939" s="42"/>
      <c r="E939" s="42"/>
      <c r="F939" s="42"/>
      <c r="G939" s="42"/>
      <c r="H939" s="63"/>
      <c r="I939" s="42"/>
      <c r="J939" s="42"/>
      <c r="K939" s="42"/>
      <c r="L939" s="42"/>
      <c r="M939" s="42"/>
      <c r="N939" s="42"/>
      <c r="O939" s="42"/>
      <c r="P939" s="42"/>
      <c r="Q939" s="42"/>
      <c r="R939" s="42"/>
      <c r="S939" s="42"/>
      <c r="T939" s="42"/>
      <c r="U939" s="42"/>
      <c r="V939" s="42"/>
      <c r="W939" s="42"/>
      <c r="X939" s="42"/>
      <c r="Y939" s="42"/>
      <c r="Z939" s="42"/>
    </row>
    <row r="940" ht="15.75" customHeight="1">
      <c r="A940" s="42"/>
      <c r="B940" s="42"/>
      <c r="C940" s="42"/>
      <c r="D940" s="42"/>
      <c r="E940" s="42"/>
      <c r="F940" s="42"/>
      <c r="G940" s="42"/>
      <c r="H940" s="63"/>
      <c r="I940" s="42"/>
      <c r="J940" s="42"/>
      <c r="K940" s="42"/>
      <c r="L940" s="42"/>
      <c r="M940" s="42"/>
      <c r="N940" s="42"/>
      <c r="O940" s="42"/>
      <c r="P940" s="42"/>
      <c r="Q940" s="42"/>
      <c r="R940" s="42"/>
      <c r="S940" s="42"/>
      <c r="T940" s="42"/>
      <c r="U940" s="42"/>
      <c r="V940" s="42"/>
      <c r="W940" s="42"/>
      <c r="X940" s="42"/>
      <c r="Y940" s="42"/>
      <c r="Z940" s="42"/>
    </row>
    <row r="941" ht="15.75" customHeight="1">
      <c r="A941" s="42"/>
      <c r="B941" s="42"/>
      <c r="C941" s="42"/>
      <c r="D941" s="42"/>
      <c r="E941" s="42"/>
      <c r="F941" s="42"/>
      <c r="G941" s="42"/>
      <c r="H941" s="63"/>
      <c r="I941" s="42"/>
      <c r="J941" s="42"/>
      <c r="K941" s="42"/>
      <c r="L941" s="42"/>
      <c r="M941" s="42"/>
      <c r="N941" s="42"/>
      <c r="O941" s="42"/>
      <c r="P941" s="42"/>
      <c r="Q941" s="42"/>
      <c r="R941" s="42"/>
      <c r="S941" s="42"/>
      <c r="T941" s="42"/>
      <c r="U941" s="42"/>
      <c r="V941" s="42"/>
      <c r="W941" s="42"/>
      <c r="X941" s="42"/>
      <c r="Y941" s="42"/>
      <c r="Z941" s="42"/>
    </row>
    <row r="942" ht="15.75" customHeight="1">
      <c r="A942" s="42"/>
      <c r="B942" s="42"/>
      <c r="C942" s="42"/>
      <c r="D942" s="42"/>
      <c r="E942" s="42"/>
      <c r="F942" s="42"/>
      <c r="G942" s="42"/>
      <c r="H942" s="63"/>
      <c r="I942" s="42"/>
      <c r="J942" s="42"/>
      <c r="K942" s="42"/>
      <c r="L942" s="42"/>
      <c r="M942" s="42"/>
      <c r="N942" s="42"/>
      <c r="O942" s="42"/>
      <c r="P942" s="42"/>
      <c r="Q942" s="42"/>
      <c r="R942" s="42"/>
      <c r="S942" s="42"/>
      <c r="T942" s="42"/>
      <c r="U942" s="42"/>
      <c r="V942" s="42"/>
      <c r="W942" s="42"/>
      <c r="X942" s="42"/>
      <c r="Y942" s="42"/>
      <c r="Z942" s="42"/>
    </row>
    <row r="943" ht="15.75" customHeight="1">
      <c r="A943" s="42"/>
      <c r="B943" s="42"/>
      <c r="C943" s="42"/>
      <c r="D943" s="42"/>
      <c r="E943" s="42"/>
      <c r="F943" s="42"/>
      <c r="G943" s="42"/>
      <c r="H943" s="63"/>
      <c r="I943" s="42"/>
      <c r="J943" s="42"/>
      <c r="K943" s="42"/>
      <c r="L943" s="42"/>
      <c r="M943" s="42"/>
      <c r="N943" s="42"/>
      <c r="O943" s="42"/>
      <c r="P943" s="42"/>
      <c r="Q943" s="42"/>
      <c r="R943" s="42"/>
      <c r="S943" s="42"/>
      <c r="T943" s="42"/>
      <c r="U943" s="42"/>
      <c r="V943" s="42"/>
      <c r="W943" s="42"/>
      <c r="X943" s="42"/>
      <c r="Y943" s="42"/>
      <c r="Z943" s="42"/>
    </row>
    <row r="944" ht="15.75" customHeight="1">
      <c r="A944" s="42"/>
      <c r="B944" s="42"/>
      <c r="C944" s="42"/>
      <c r="D944" s="42"/>
      <c r="E944" s="42"/>
      <c r="F944" s="42"/>
      <c r="G944" s="42"/>
      <c r="H944" s="63"/>
      <c r="I944" s="42"/>
      <c r="J944" s="42"/>
      <c r="K944" s="42"/>
      <c r="L944" s="42"/>
      <c r="M944" s="42"/>
      <c r="N944" s="42"/>
      <c r="O944" s="42"/>
      <c r="P944" s="42"/>
      <c r="Q944" s="42"/>
      <c r="R944" s="42"/>
      <c r="S944" s="42"/>
      <c r="T944" s="42"/>
      <c r="U944" s="42"/>
      <c r="V944" s="42"/>
      <c r="W944" s="42"/>
      <c r="X944" s="42"/>
      <c r="Y944" s="42"/>
      <c r="Z944" s="42"/>
    </row>
    <row r="945" ht="15.75" customHeight="1">
      <c r="A945" s="42"/>
      <c r="B945" s="42"/>
      <c r="C945" s="42"/>
      <c r="D945" s="42"/>
      <c r="E945" s="42"/>
      <c r="F945" s="42"/>
      <c r="G945" s="42"/>
      <c r="H945" s="63"/>
      <c r="I945" s="42"/>
      <c r="J945" s="42"/>
      <c r="K945" s="42"/>
      <c r="L945" s="42"/>
      <c r="M945" s="42"/>
      <c r="N945" s="42"/>
      <c r="O945" s="42"/>
      <c r="P945" s="42"/>
      <c r="Q945" s="42"/>
      <c r="R945" s="42"/>
      <c r="S945" s="42"/>
      <c r="T945" s="42"/>
      <c r="U945" s="42"/>
      <c r="V945" s="42"/>
      <c r="W945" s="42"/>
      <c r="X945" s="42"/>
      <c r="Y945" s="42"/>
      <c r="Z945" s="42"/>
    </row>
    <row r="946" ht="15.75" customHeight="1">
      <c r="A946" s="42"/>
      <c r="B946" s="42"/>
      <c r="C946" s="42"/>
      <c r="D946" s="42"/>
      <c r="E946" s="42"/>
      <c r="F946" s="42"/>
      <c r="G946" s="42"/>
      <c r="H946" s="63"/>
      <c r="I946" s="42"/>
      <c r="J946" s="42"/>
      <c r="K946" s="42"/>
      <c r="L946" s="42"/>
      <c r="M946" s="42"/>
      <c r="N946" s="42"/>
      <c r="O946" s="42"/>
      <c r="P946" s="42"/>
      <c r="Q946" s="42"/>
      <c r="R946" s="42"/>
      <c r="S946" s="42"/>
      <c r="T946" s="42"/>
      <c r="U946" s="42"/>
      <c r="V946" s="42"/>
      <c r="W946" s="42"/>
      <c r="X946" s="42"/>
      <c r="Y946" s="42"/>
      <c r="Z946" s="42"/>
    </row>
    <row r="947" ht="15.75" customHeight="1">
      <c r="A947" s="42"/>
      <c r="B947" s="42"/>
      <c r="C947" s="42"/>
      <c r="D947" s="42"/>
      <c r="E947" s="42"/>
      <c r="F947" s="42"/>
      <c r="G947" s="42"/>
      <c r="H947" s="63"/>
      <c r="I947" s="42"/>
      <c r="J947" s="42"/>
      <c r="K947" s="42"/>
      <c r="L947" s="42"/>
      <c r="M947" s="42"/>
      <c r="N947" s="42"/>
      <c r="O947" s="42"/>
      <c r="P947" s="42"/>
      <c r="Q947" s="42"/>
      <c r="R947" s="42"/>
      <c r="S947" s="42"/>
      <c r="T947" s="42"/>
      <c r="U947" s="42"/>
      <c r="V947" s="42"/>
      <c r="W947" s="42"/>
      <c r="X947" s="42"/>
      <c r="Y947" s="42"/>
      <c r="Z947" s="42"/>
    </row>
    <row r="948" ht="15.75" customHeight="1">
      <c r="A948" s="42"/>
      <c r="B948" s="42"/>
      <c r="C948" s="42"/>
      <c r="D948" s="42"/>
      <c r="E948" s="42"/>
      <c r="F948" s="42"/>
      <c r="G948" s="42"/>
      <c r="H948" s="63"/>
      <c r="I948" s="42"/>
      <c r="J948" s="42"/>
      <c r="K948" s="42"/>
      <c r="L948" s="42"/>
      <c r="M948" s="42"/>
      <c r="N948" s="42"/>
      <c r="O948" s="42"/>
      <c r="P948" s="42"/>
      <c r="Q948" s="42"/>
      <c r="R948" s="42"/>
      <c r="S948" s="42"/>
      <c r="T948" s="42"/>
      <c r="U948" s="42"/>
      <c r="V948" s="42"/>
      <c r="W948" s="42"/>
      <c r="X948" s="42"/>
      <c r="Y948" s="42"/>
      <c r="Z948" s="42"/>
    </row>
    <row r="949" ht="15.75" customHeight="1">
      <c r="A949" s="42"/>
      <c r="B949" s="42"/>
      <c r="C949" s="42"/>
      <c r="D949" s="42"/>
      <c r="E949" s="42"/>
      <c r="F949" s="42"/>
      <c r="G949" s="42"/>
      <c r="H949" s="63"/>
      <c r="I949" s="42"/>
      <c r="J949" s="42"/>
      <c r="K949" s="42"/>
      <c r="L949" s="42"/>
      <c r="M949" s="42"/>
      <c r="N949" s="42"/>
      <c r="O949" s="42"/>
      <c r="P949" s="42"/>
      <c r="Q949" s="42"/>
      <c r="R949" s="42"/>
      <c r="S949" s="42"/>
      <c r="T949" s="42"/>
      <c r="U949" s="42"/>
      <c r="V949" s="42"/>
      <c r="W949" s="42"/>
      <c r="X949" s="42"/>
      <c r="Y949" s="42"/>
      <c r="Z949" s="42"/>
    </row>
    <row r="950" ht="15.75" customHeight="1">
      <c r="A950" s="42"/>
      <c r="B950" s="42"/>
      <c r="C950" s="42"/>
      <c r="D950" s="42"/>
      <c r="E950" s="42"/>
      <c r="F950" s="42"/>
      <c r="G950" s="42"/>
      <c r="H950" s="63"/>
      <c r="I950" s="42"/>
      <c r="J950" s="42"/>
      <c r="K950" s="42"/>
      <c r="L950" s="42"/>
      <c r="M950" s="42"/>
      <c r="N950" s="42"/>
      <c r="O950" s="42"/>
      <c r="P950" s="42"/>
      <c r="Q950" s="42"/>
      <c r="R950" s="42"/>
      <c r="S950" s="42"/>
      <c r="T950" s="42"/>
      <c r="U950" s="42"/>
      <c r="V950" s="42"/>
      <c r="W950" s="42"/>
      <c r="X950" s="42"/>
      <c r="Y950" s="42"/>
      <c r="Z950" s="42"/>
    </row>
    <row r="951" ht="15.75" customHeight="1">
      <c r="A951" s="42"/>
      <c r="B951" s="42"/>
      <c r="C951" s="42"/>
      <c r="D951" s="42"/>
      <c r="E951" s="42"/>
      <c r="F951" s="42"/>
      <c r="G951" s="42"/>
      <c r="H951" s="63"/>
      <c r="I951" s="42"/>
      <c r="J951" s="42"/>
      <c r="K951" s="42"/>
      <c r="L951" s="42"/>
      <c r="M951" s="42"/>
      <c r="N951" s="42"/>
      <c r="O951" s="42"/>
      <c r="P951" s="42"/>
      <c r="Q951" s="42"/>
      <c r="R951" s="42"/>
      <c r="S951" s="42"/>
      <c r="T951" s="42"/>
      <c r="U951" s="42"/>
      <c r="V951" s="42"/>
      <c r="W951" s="42"/>
      <c r="X951" s="42"/>
      <c r="Y951" s="42"/>
      <c r="Z951" s="42"/>
    </row>
    <row r="952" ht="15.75" customHeight="1">
      <c r="A952" s="42"/>
      <c r="B952" s="42"/>
      <c r="C952" s="42"/>
      <c r="D952" s="42"/>
      <c r="E952" s="42"/>
      <c r="F952" s="42"/>
      <c r="G952" s="42"/>
      <c r="H952" s="63"/>
      <c r="I952" s="42"/>
      <c r="J952" s="42"/>
      <c r="K952" s="42"/>
      <c r="L952" s="42"/>
      <c r="M952" s="42"/>
      <c r="N952" s="42"/>
      <c r="O952" s="42"/>
      <c r="P952" s="42"/>
      <c r="Q952" s="42"/>
      <c r="R952" s="42"/>
      <c r="S952" s="42"/>
      <c r="T952" s="42"/>
      <c r="U952" s="42"/>
      <c r="V952" s="42"/>
      <c r="W952" s="42"/>
      <c r="X952" s="42"/>
      <c r="Y952" s="42"/>
      <c r="Z952" s="42"/>
    </row>
    <row r="953" ht="15.75" customHeight="1">
      <c r="A953" s="42"/>
      <c r="B953" s="42"/>
      <c r="C953" s="42"/>
      <c r="D953" s="42"/>
      <c r="E953" s="42"/>
      <c r="F953" s="42"/>
      <c r="G953" s="42"/>
      <c r="H953" s="63"/>
      <c r="I953" s="42"/>
      <c r="J953" s="42"/>
      <c r="K953" s="42"/>
      <c r="L953" s="42"/>
      <c r="M953" s="42"/>
      <c r="N953" s="42"/>
      <c r="O953" s="42"/>
      <c r="P953" s="42"/>
      <c r="Q953" s="42"/>
      <c r="R953" s="42"/>
      <c r="S953" s="42"/>
      <c r="T953" s="42"/>
      <c r="U953" s="42"/>
      <c r="V953" s="42"/>
      <c r="W953" s="42"/>
      <c r="X953" s="42"/>
      <c r="Y953" s="42"/>
      <c r="Z953" s="42"/>
    </row>
    <row r="954" ht="15.75" customHeight="1">
      <c r="A954" s="42"/>
      <c r="B954" s="42"/>
      <c r="C954" s="42"/>
      <c r="D954" s="42"/>
      <c r="E954" s="42"/>
      <c r="F954" s="42"/>
      <c r="G954" s="42"/>
      <c r="H954" s="63"/>
      <c r="I954" s="42"/>
      <c r="J954" s="42"/>
      <c r="K954" s="42"/>
      <c r="L954" s="42"/>
      <c r="M954" s="42"/>
      <c r="N954" s="42"/>
      <c r="O954" s="42"/>
      <c r="P954" s="42"/>
      <c r="Q954" s="42"/>
      <c r="R954" s="42"/>
      <c r="S954" s="42"/>
      <c r="T954" s="42"/>
      <c r="U954" s="42"/>
      <c r="V954" s="42"/>
      <c r="W954" s="42"/>
      <c r="X954" s="42"/>
      <c r="Y954" s="42"/>
      <c r="Z954" s="42"/>
    </row>
    <row r="955" ht="15.75" customHeight="1">
      <c r="A955" s="42"/>
      <c r="B955" s="42"/>
      <c r="C955" s="42"/>
      <c r="D955" s="42"/>
      <c r="E955" s="42"/>
      <c r="F955" s="42"/>
      <c r="G955" s="42"/>
      <c r="H955" s="63"/>
      <c r="I955" s="42"/>
      <c r="J955" s="42"/>
      <c r="K955" s="42"/>
      <c r="L955" s="42"/>
      <c r="M955" s="42"/>
      <c r="N955" s="42"/>
      <c r="O955" s="42"/>
      <c r="P955" s="42"/>
      <c r="Q955" s="42"/>
      <c r="R955" s="42"/>
      <c r="S955" s="42"/>
      <c r="T955" s="42"/>
      <c r="U955" s="42"/>
      <c r="V955" s="42"/>
      <c r="W955" s="42"/>
      <c r="X955" s="42"/>
      <c r="Y955" s="42"/>
      <c r="Z955" s="42"/>
    </row>
    <row r="956" ht="15.75" customHeight="1">
      <c r="A956" s="42"/>
      <c r="B956" s="42"/>
      <c r="C956" s="42"/>
      <c r="D956" s="42"/>
      <c r="E956" s="42"/>
      <c r="F956" s="42"/>
      <c r="G956" s="42"/>
      <c r="H956" s="63"/>
      <c r="I956" s="42"/>
      <c r="J956" s="42"/>
      <c r="K956" s="42"/>
      <c r="L956" s="42"/>
      <c r="M956" s="42"/>
      <c r="N956" s="42"/>
      <c r="O956" s="42"/>
      <c r="P956" s="42"/>
      <c r="Q956" s="42"/>
      <c r="R956" s="42"/>
      <c r="S956" s="42"/>
      <c r="T956" s="42"/>
      <c r="U956" s="42"/>
      <c r="V956" s="42"/>
      <c r="W956" s="42"/>
      <c r="X956" s="42"/>
      <c r="Y956" s="42"/>
      <c r="Z956" s="42"/>
    </row>
    <row r="957" ht="15.75" customHeight="1">
      <c r="A957" s="42"/>
      <c r="B957" s="42"/>
      <c r="C957" s="42"/>
      <c r="D957" s="42"/>
      <c r="E957" s="42"/>
      <c r="F957" s="42"/>
      <c r="G957" s="42"/>
      <c r="H957" s="63"/>
      <c r="I957" s="42"/>
      <c r="J957" s="42"/>
      <c r="K957" s="42"/>
      <c r="L957" s="42"/>
      <c r="M957" s="42"/>
      <c r="N957" s="42"/>
      <c r="O957" s="42"/>
      <c r="P957" s="42"/>
      <c r="Q957" s="42"/>
      <c r="R957" s="42"/>
      <c r="S957" s="42"/>
      <c r="T957" s="42"/>
      <c r="U957" s="42"/>
      <c r="V957" s="42"/>
      <c r="W957" s="42"/>
      <c r="X957" s="42"/>
      <c r="Y957" s="42"/>
      <c r="Z957" s="42"/>
    </row>
    <row r="958" ht="15.75" customHeight="1">
      <c r="A958" s="42"/>
      <c r="B958" s="42"/>
      <c r="C958" s="42"/>
      <c r="D958" s="42"/>
      <c r="E958" s="42"/>
      <c r="F958" s="42"/>
      <c r="G958" s="42"/>
      <c r="H958" s="63"/>
      <c r="I958" s="42"/>
      <c r="J958" s="42"/>
      <c r="K958" s="42"/>
      <c r="L958" s="42"/>
      <c r="M958" s="42"/>
      <c r="N958" s="42"/>
      <c r="O958" s="42"/>
      <c r="P958" s="42"/>
      <c r="Q958" s="42"/>
      <c r="R958" s="42"/>
      <c r="S958" s="42"/>
      <c r="T958" s="42"/>
      <c r="U958" s="42"/>
      <c r="V958" s="42"/>
      <c r="W958" s="42"/>
      <c r="X958" s="42"/>
      <c r="Y958" s="42"/>
      <c r="Z958" s="42"/>
    </row>
    <row r="959" ht="15.75" customHeight="1">
      <c r="A959" s="42"/>
      <c r="B959" s="42"/>
      <c r="C959" s="42"/>
      <c r="D959" s="42"/>
      <c r="E959" s="42"/>
      <c r="F959" s="42"/>
      <c r="G959" s="42"/>
      <c r="H959" s="63"/>
      <c r="I959" s="42"/>
      <c r="J959" s="42"/>
      <c r="K959" s="42"/>
      <c r="L959" s="42"/>
      <c r="M959" s="42"/>
      <c r="N959" s="42"/>
      <c r="O959" s="42"/>
      <c r="P959" s="42"/>
      <c r="Q959" s="42"/>
      <c r="R959" s="42"/>
      <c r="S959" s="42"/>
      <c r="T959" s="42"/>
      <c r="U959" s="42"/>
      <c r="V959" s="42"/>
      <c r="W959" s="42"/>
      <c r="X959" s="42"/>
      <c r="Y959" s="42"/>
      <c r="Z959" s="42"/>
    </row>
    <row r="960" ht="15.75" customHeight="1">
      <c r="A960" s="42"/>
      <c r="B960" s="42"/>
      <c r="C960" s="42"/>
      <c r="D960" s="42"/>
      <c r="E960" s="42"/>
      <c r="F960" s="42"/>
      <c r="G960" s="42"/>
      <c r="H960" s="63"/>
      <c r="I960" s="42"/>
      <c r="J960" s="42"/>
      <c r="K960" s="42"/>
      <c r="L960" s="42"/>
      <c r="M960" s="42"/>
      <c r="N960" s="42"/>
      <c r="O960" s="42"/>
      <c r="P960" s="42"/>
      <c r="Q960" s="42"/>
      <c r="R960" s="42"/>
      <c r="S960" s="42"/>
      <c r="T960" s="42"/>
      <c r="U960" s="42"/>
      <c r="V960" s="42"/>
      <c r="W960" s="42"/>
      <c r="X960" s="42"/>
      <c r="Y960" s="42"/>
      <c r="Z960" s="42"/>
    </row>
    <row r="961" ht="15.75" customHeight="1">
      <c r="A961" s="42"/>
      <c r="B961" s="42"/>
      <c r="C961" s="42"/>
      <c r="D961" s="42"/>
      <c r="E961" s="42"/>
      <c r="F961" s="42"/>
      <c r="G961" s="42"/>
      <c r="H961" s="63"/>
      <c r="I961" s="42"/>
      <c r="J961" s="42"/>
      <c r="K961" s="42"/>
      <c r="L961" s="42"/>
      <c r="M961" s="42"/>
      <c r="N961" s="42"/>
      <c r="O961" s="42"/>
      <c r="P961" s="42"/>
      <c r="Q961" s="42"/>
      <c r="R961" s="42"/>
      <c r="S961" s="42"/>
      <c r="T961" s="42"/>
      <c r="U961" s="42"/>
      <c r="V961" s="42"/>
      <c r="W961" s="42"/>
      <c r="X961" s="42"/>
      <c r="Y961" s="42"/>
      <c r="Z961" s="42"/>
    </row>
    <row r="962" ht="15.75" customHeight="1">
      <c r="A962" s="42"/>
      <c r="B962" s="42"/>
      <c r="C962" s="42"/>
      <c r="D962" s="42"/>
      <c r="E962" s="42"/>
      <c r="F962" s="42"/>
      <c r="G962" s="42"/>
      <c r="H962" s="63"/>
      <c r="I962" s="42"/>
      <c r="J962" s="42"/>
      <c r="K962" s="42"/>
      <c r="L962" s="42"/>
      <c r="M962" s="42"/>
      <c r="N962" s="42"/>
      <c r="O962" s="42"/>
      <c r="P962" s="42"/>
      <c r="Q962" s="42"/>
      <c r="R962" s="42"/>
      <c r="S962" s="42"/>
      <c r="T962" s="42"/>
      <c r="U962" s="42"/>
      <c r="V962" s="42"/>
      <c r="W962" s="42"/>
      <c r="X962" s="42"/>
      <c r="Y962" s="42"/>
      <c r="Z962" s="42"/>
    </row>
    <row r="963" ht="15.75" customHeight="1">
      <c r="A963" s="42"/>
      <c r="B963" s="42"/>
      <c r="C963" s="42"/>
      <c r="D963" s="42"/>
      <c r="E963" s="42"/>
      <c r="F963" s="42"/>
      <c r="G963" s="42"/>
      <c r="H963" s="63"/>
      <c r="I963" s="42"/>
      <c r="J963" s="42"/>
      <c r="K963" s="42"/>
      <c r="L963" s="42"/>
      <c r="M963" s="42"/>
      <c r="N963" s="42"/>
      <c r="O963" s="42"/>
      <c r="P963" s="42"/>
      <c r="Q963" s="42"/>
      <c r="R963" s="42"/>
      <c r="S963" s="42"/>
      <c r="T963" s="42"/>
      <c r="U963" s="42"/>
      <c r="V963" s="42"/>
      <c r="W963" s="42"/>
      <c r="X963" s="42"/>
      <c r="Y963" s="42"/>
      <c r="Z963" s="42"/>
    </row>
    <row r="964" ht="15.75" customHeight="1">
      <c r="A964" s="42"/>
      <c r="B964" s="42"/>
      <c r="C964" s="42"/>
      <c r="D964" s="42"/>
      <c r="E964" s="42"/>
      <c r="F964" s="42"/>
      <c r="G964" s="42"/>
      <c r="H964" s="63"/>
      <c r="I964" s="42"/>
      <c r="J964" s="42"/>
      <c r="K964" s="42"/>
      <c r="L964" s="42"/>
      <c r="M964" s="42"/>
      <c r="N964" s="42"/>
      <c r="O964" s="42"/>
      <c r="P964" s="42"/>
      <c r="Q964" s="42"/>
      <c r="R964" s="42"/>
      <c r="S964" s="42"/>
      <c r="T964" s="42"/>
      <c r="U964" s="42"/>
      <c r="V964" s="42"/>
      <c r="W964" s="42"/>
      <c r="X964" s="42"/>
      <c r="Y964" s="42"/>
      <c r="Z964" s="42"/>
    </row>
    <row r="965" ht="15.75" customHeight="1">
      <c r="A965" s="42"/>
      <c r="B965" s="42"/>
      <c r="C965" s="42"/>
      <c r="D965" s="42"/>
      <c r="E965" s="42"/>
      <c r="F965" s="42"/>
      <c r="G965" s="42"/>
      <c r="H965" s="63"/>
      <c r="I965" s="42"/>
      <c r="J965" s="42"/>
      <c r="K965" s="42"/>
      <c r="L965" s="42"/>
      <c r="M965" s="42"/>
      <c r="N965" s="42"/>
      <c r="O965" s="42"/>
      <c r="P965" s="42"/>
      <c r="Q965" s="42"/>
      <c r="R965" s="42"/>
      <c r="S965" s="42"/>
      <c r="T965" s="42"/>
      <c r="U965" s="42"/>
      <c r="V965" s="42"/>
      <c r="W965" s="42"/>
      <c r="X965" s="42"/>
      <c r="Y965" s="42"/>
      <c r="Z965" s="42"/>
    </row>
    <row r="966" ht="15.75" customHeight="1">
      <c r="A966" s="42"/>
      <c r="B966" s="42"/>
      <c r="C966" s="42"/>
      <c r="D966" s="42"/>
      <c r="E966" s="42"/>
      <c r="F966" s="42"/>
      <c r="G966" s="42"/>
      <c r="H966" s="63"/>
      <c r="I966" s="42"/>
      <c r="J966" s="42"/>
      <c r="K966" s="42"/>
      <c r="L966" s="42"/>
      <c r="M966" s="42"/>
      <c r="N966" s="42"/>
      <c r="O966" s="42"/>
      <c r="P966" s="42"/>
      <c r="Q966" s="42"/>
      <c r="R966" s="42"/>
      <c r="S966" s="42"/>
      <c r="T966" s="42"/>
      <c r="U966" s="42"/>
      <c r="V966" s="42"/>
      <c r="W966" s="42"/>
      <c r="X966" s="42"/>
      <c r="Y966" s="42"/>
      <c r="Z966" s="42"/>
    </row>
    <row r="967" ht="15.75" customHeight="1">
      <c r="A967" s="42"/>
      <c r="B967" s="42"/>
      <c r="C967" s="42"/>
      <c r="D967" s="42"/>
      <c r="E967" s="42"/>
      <c r="F967" s="42"/>
      <c r="G967" s="42"/>
      <c r="H967" s="63"/>
      <c r="I967" s="42"/>
      <c r="J967" s="42"/>
      <c r="K967" s="42"/>
      <c r="L967" s="42"/>
      <c r="M967" s="42"/>
      <c r="N967" s="42"/>
      <c r="O967" s="42"/>
      <c r="P967" s="42"/>
      <c r="Q967" s="42"/>
      <c r="R967" s="42"/>
      <c r="S967" s="42"/>
      <c r="T967" s="42"/>
      <c r="U967" s="42"/>
      <c r="V967" s="42"/>
      <c r="W967" s="42"/>
      <c r="X967" s="42"/>
      <c r="Y967" s="42"/>
      <c r="Z967" s="42"/>
    </row>
    <row r="968" ht="15.75" customHeight="1">
      <c r="A968" s="42"/>
      <c r="B968" s="42"/>
      <c r="C968" s="42"/>
      <c r="D968" s="42"/>
      <c r="E968" s="42"/>
      <c r="F968" s="42"/>
      <c r="G968" s="42"/>
      <c r="H968" s="63"/>
      <c r="I968" s="42"/>
      <c r="J968" s="42"/>
      <c r="K968" s="42"/>
      <c r="L968" s="42"/>
      <c r="M968" s="42"/>
      <c r="N968" s="42"/>
      <c r="O968" s="42"/>
      <c r="P968" s="42"/>
      <c r="Q968" s="42"/>
      <c r="R968" s="42"/>
      <c r="S968" s="42"/>
      <c r="T968" s="42"/>
      <c r="U968" s="42"/>
      <c r="V968" s="42"/>
      <c r="W968" s="42"/>
      <c r="X968" s="42"/>
      <c r="Y968" s="42"/>
      <c r="Z968" s="42"/>
    </row>
    <row r="969" ht="15.75" customHeight="1">
      <c r="A969" s="42"/>
      <c r="B969" s="42"/>
      <c r="C969" s="42"/>
      <c r="D969" s="42"/>
      <c r="E969" s="42"/>
      <c r="F969" s="42"/>
      <c r="G969" s="42"/>
      <c r="H969" s="63"/>
      <c r="I969" s="42"/>
      <c r="J969" s="42"/>
      <c r="K969" s="42"/>
      <c r="L969" s="42"/>
      <c r="M969" s="42"/>
      <c r="N969" s="42"/>
      <c r="O969" s="42"/>
      <c r="P969" s="42"/>
      <c r="Q969" s="42"/>
      <c r="R969" s="42"/>
      <c r="S969" s="42"/>
      <c r="T969" s="42"/>
      <c r="U969" s="42"/>
      <c r="V969" s="42"/>
      <c r="W969" s="42"/>
      <c r="X969" s="42"/>
      <c r="Y969" s="42"/>
      <c r="Z969" s="42"/>
    </row>
    <row r="970" ht="15.75" customHeight="1">
      <c r="A970" s="42"/>
      <c r="B970" s="42"/>
      <c r="C970" s="42"/>
      <c r="D970" s="42"/>
      <c r="E970" s="42"/>
      <c r="F970" s="42"/>
      <c r="G970" s="42"/>
      <c r="H970" s="63"/>
      <c r="I970" s="42"/>
      <c r="J970" s="42"/>
      <c r="K970" s="42"/>
      <c r="L970" s="42"/>
      <c r="M970" s="42"/>
      <c r="N970" s="42"/>
      <c r="O970" s="42"/>
      <c r="P970" s="42"/>
      <c r="Q970" s="42"/>
      <c r="R970" s="42"/>
      <c r="S970" s="42"/>
      <c r="T970" s="42"/>
      <c r="U970" s="42"/>
      <c r="V970" s="42"/>
      <c r="W970" s="42"/>
      <c r="X970" s="42"/>
      <c r="Y970" s="42"/>
      <c r="Z970" s="42"/>
    </row>
    <row r="971" ht="15.75" customHeight="1">
      <c r="A971" s="42"/>
      <c r="B971" s="42"/>
      <c r="C971" s="42"/>
      <c r="D971" s="42"/>
      <c r="E971" s="42"/>
      <c r="F971" s="42"/>
      <c r="G971" s="42"/>
      <c r="H971" s="63"/>
      <c r="I971" s="42"/>
      <c r="J971" s="42"/>
      <c r="K971" s="42"/>
      <c r="L971" s="42"/>
      <c r="M971" s="42"/>
      <c r="N971" s="42"/>
      <c r="O971" s="42"/>
      <c r="P971" s="42"/>
      <c r="Q971" s="42"/>
      <c r="R971" s="42"/>
      <c r="S971" s="42"/>
      <c r="T971" s="42"/>
      <c r="U971" s="42"/>
      <c r="V971" s="42"/>
      <c r="W971" s="42"/>
      <c r="X971" s="42"/>
      <c r="Y971" s="42"/>
      <c r="Z971" s="42"/>
    </row>
    <row r="972" ht="15.75" customHeight="1">
      <c r="A972" s="42"/>
      <c r="B972" s="42"/>
      <c r="C972" s="42"/>
      <c r="D972" s="42"/>
      <c r="E972" s="42"/>
      <c r="F972" s="42"/>
      <c r="G972" s="42"/>
      <c r="H972" s="63"/>
      <c r="I972" s="42"/>
      <c r="J972" s="42"/>
      <c r="K972" s="42"/>
      <c r="L972" s="42"/>
      <c r="M972" s="42"/>
      <c r="N972" s="42"/>
      <c r="O972" s="42"/>
      <c r="P972" s="42"/>
      <c r="Q972" s="42"/>
      <c r="R972" s="42"/>
      <c r="S972" s="42"/>
      <c r="T972" s="42"/>
      <c r="U972" s="42"/>
      <c r="V972" s="42"/>
      <c r="W972" s="42"/>
      <c r="X972" s="42"/>
      <c r="Y972" s="42"/>
      <c r="Z972" s="42"/>
    </row>
    <row r="973" ht="15.75" customHeight="1">
      <c r="A973" s="42"/>
      <c r="B973" s="42"/>
      <c r="C973" s="42"/>
      <c r="D973" s="42"/>
      <c r="E973" s="42"/>
      <c r="F973" s="42"/>
      <c r="G973" s="42"/>
      <c r="H973" s="63"/>
      <c r="I973" s="42"/>
      <c r="J973" s="42"/>
      <c r="K973" s="42"/>
      <c r="L973" s="42"/>
      <c r="M973" s="42"/>
      <c r="N973" s="42"/>
      <c r="O973" s="42"/>
      <c r="P973" s="42"/>
      <c r="Q973" s="42"/>
      <c r="R973" s="42"/>
      <c r="S973" s="42"/>
      <c r="T973" s="42"/>
      <c r="U973" s="42"/>
      <c r="V973" s="42"/>
      <c r="W973" s="42"/>
      <c r="X973" s="42"/>
      <c r="Y973" s="42"/>
      <c r="Z973" s="42"/>
    </row>
    <row r="974" ht="15.75" customHeight="1">
      <c r="A974" s="42"/>
      <c r="B974" s="42"/>
      <c r="C974" s="42"/>
      <c r="D974" s="42"/>
      <c r="E974" s="42"/>
      <c r="F974" s="42"/>
      <c r="G974" s="42"/>
      <c r="H974" s="63"/>
      <c r="I974" s="42"/>
      <c r="J974" s="42"/>
      <c r="K974" s="42"/>
      <c r="L974" s="42"/>
      <c r="M974" s="42"/>
      <c r="N974" s="42"/>
      <c r="O974" s="42"/>
      <c r="P974" s="42"/>
      <c r="Q974" s="42"/>
      <c r="R974" s="42"/>
      <c r="S974" s="42"/>
      <c r="T974" s="42"/>
      <c r="U974" s="42"/>
      <c r="V974" s="42"/>
      <c r="W974" s="42"/>
      <c r="X974" s="42"/>
      <c r="Y974" s="42"/>
      <c r="Z974" s="42"/>
    </row>
    <row r="975" ht="15.75" customHeight="1">
      <c r="A975" s="42"/>
      <c r="B975" s="42"/>
      <c r="C975" s="42"/>
      <c r="D975" s="42"/>
      <c r="E975" s="42"/>
      <c r="F975" s="42"/>
      <c r="G975" s="42"/>
      <c r="H975" s="63"/>
      <c r="I975" s="42"/>
      <c r="J975" s="42"/>
      <c r="K975" s="42"/>
      <c r="L975" s="42"/>
      <c r="M975" s="42"/>
      <c r="N975" s="42"/>
      <c r="O975" s="42"/>
      <c r="P975" s="42"/>
      <c r="Q975" s="42"/>
      <c r="R975" s="42"/>
      <c r="S975" s="42"/>
      <c r="T975" s="42"/>
      <c r="U975" s="42"/>
      <c r="V975" s="42"/>
      <c r="W975" s="42"/>
      <c r="X975" s="42"/>
      <c r="Y975" s="42"/>
      <c r="Z975" s="42"/>
    </row>
    <row r="976" ht="15.75" customHeight="1">
      <c r="A976" s="42"/>
      <c r="B976" s="42"/>
      <c r="C976" s="42"/>
      <c r="D976" s="42"/>
      <c r="E976" s="42"/>
      <c r="F976" s="42"/>
      <c r="G976" s="42"/>
      <c r="H976" s="63"/>
      <c r="I976" s="42"/>
      <c r="J976" s="42"/>
      <c r="K976" s="42"/>
      <c r="L976" s="42"/>
      <c r="M976" s="42"/>
      <c r="N976" s="42"/>
      <c r="O976" s="42"/>
      <c r="P976" s="42"/>
      <c r="Q976" s="42"/>
      <c r="R976" s="42"/>
      <c r="S976" s="42"/>
      <c r="T976" s="42"/>
      <c r="U976" s="42"/>
      <c r="V976" s="42"/>
      <c r="W976" s="42"/>
      <c r="X976" s="42"/>
      <c r="Y976" s="42"/>
      <c r="Z976" s="42"/>
    </row>
    <row r="977" ht="15.75" customHeight="1">
      <c r="A977" s="42"/>
      <c r="B977" s="42"/>
      <c r="C977" s="42"/>
      <c r="D977" s="42"/>
      <c r="E977" s="42"/>
      <c r="F977" s="42"/>
      <c r="G977" s="42"/>
      <c r="H977" s="63"/>
      <c r="I977" s="42"/>
      <c r="J977" s="42"/>
      <c r="K977" s="42"/>
      <c r="L977" s="42"/>
      <c r="M977" s="42"/>
      <c r="N977" s="42"/>
      <c r="O977" s="42"/>
      <c r="P977" s="42"/>
      <c r="Q977" s="42"/>
      <c r="R977" s="42"/>
      <c r="S977" s="42"/>
      <c r="T977" s="42"/>
      <c r="U977" s="42"/>
      <c r="V977" s="42"/>
      <c r="W977" s="42"/>
      <c r="X977" s="42"/>
      <c r="Y977" s="42"/>
      <c r="Z977" s="42"/>
    </row>
    <row r="978" ht="15.75" customHeight="1">
      <c r="A978" s="42"/>
      <c r="B978" s="42"/>
      <c r="C978" s="42"/>
      <c r="D978" s="42"/>
      <c r="E978" s="42"/>
      <c r="F978" s="42"/>
      <c r="G978" s="42"/>
      <c r="H978" s="63"/>
      <c r="I978" s="42"/>
      <c r="J978" s="42"/>
      <c r="K978" s="42"/>
      <c r="L978" s="42"/>
      <c r="M978" s="42"/>
      <c r="N978" s="42"/>
      <c r="O978" s="42"/>
      <c r="P978" s="42"/>
      <c r="Q978" s="42"/>
      <c r="R978" s="42"/>
      <c r="S978" s="42"/>
      <c r="T978" s="42"/>
      <c r="U978" s="42"/>
      <c r="V978" s="42"/>
      <c r="W978" s="42"/>
      <c r="X978" s="42"/>
      <c r="Y978" s="42"/>
      <c r="Z978" s="42"/>
    </row>
    <row r="979" ht="15.75" customHeight="1">
      <c r="A979" s="42"/>
      <c r="B979" s="42"/>
      <c r="C979" s="42"/>
      <c r="D979" s="42"/>
      <c r="E979" s="42"/>
      <c r="F979" s="42"/>
      <c r="G979" s="42"/>
      <c r="H979" s="63"/>
      <c r="I979" s="42"/>
      <c r="J979" s="42"/>
      <c r="K979" s="42"/>
      <c r="L979" s="42"/>
      <c r="M979" s="42"/>
      <c r="N979" s="42"/>
      <c r="O979" s="42"/>
      <c r="P979" s="42"/>
      <c r="Q979" s="42"/>
      <c r="R979" s="42"/>
      <c r="S979" s="42"/>
      <c r="T979" s="42"/>
      <c r="U979" s="42"/>
      <c r="V979" s="42"/>
      <c r="W979" s="42"/>
      <c r="X979" s="42"/>
      <c r="Y979" s="42"/>
      <c r="Z979" s="42"/>
    </row>
    <row r="980" ht="15.75" customHeight="1">
      <c r="A980" s="42"/>
      <c r="B980" s="42"/>
      <c r="C980" s="42"/>
      <c r="D980" s="42"/>
      <c r="E980" s="42"/>
      <c r="F980" s="42"/>
      <c r="G980" s="42"/>
      <c r="H980" s="63"/>
      <c r="I980" s="42"/>
      <c r="J980" s="42"/>
      <c r="K980" s="42"/>
      <c r="L980" s="42"/>
      <c r="M980" s="42"/>
      <c r="N980" s="42"/>
      <c r="O980" s="42"/>
      <c r="P980" s="42"/>
      <c r="Q980" s="42"/>
      <c r="R980" s="42"/>
      <c r="S980" s="42"/>
      <c r="T980" s="42"/>
      <c r="U980" s="42"/>
      <c r="V980" s="42"/>
      <c r="W980" s="42"/>
      <c r="X980" s="42"/>
      <c r="Y980" s="42"/>
      <c r="Z980" s="42"/>
    </row>
    <row r="981" ht="15.75" customHeight="1">
      <c r="A981" s="42"/>
      <c r="B981" s="42"/>
      <c r="C981" s="42"/>
      <c r="D981" s="42"/>
      <c r="E981" s="42"/>
      <c r="F981" s="42"/>
      <c r="G981" s="42"/>
      <c r="H981" s="63"/>
      <c r="I981" s="42"/>
      <c r="J981" s="42"/>
      <c r="K981" s="42"/>
      <c r="L981" s="42"/>
      <c r="M981" s="42"/>
      <c r="N981" s="42"/>
      <c r="O981" s="42"/>
      <c r="P981" s="42"/>
      <c r="Q981" s="42"/>
      <c r="R981" s="42"/>
      <c r="S981" s="42"/>
      <c r="T981" s="42"/>
      <c r="U981" s="42"/>
      <c r="V981" s="42"/>
      <c r="W981" s="42"/>
      <c r="X981" s="42"/>
      <c r="Y981" s="42"/>
      <c r="Z981" s="42"/>
    </row>
    <row r="982" ht="15.75" customHeight="1">
      <c r="A982" s="42"/>
      <c r="B982" s="42"/>
      <c r="C982" s="42"/>
      <c r="D982" s="42"/>
      <c r="E982" s="42"/>
      <c r="F982" s="42"/>
      <c r="G982" s="42"/>
      <c r="H982" s="63"/>
      <c r="I982" s="42"/>
      <c r="J982" s="42"/>
      <c r="K982" s="42"/>
      <c r="L982" s="42"/>
      <c r="M982" s="42"/>
      <c r="N982" s="42"/>
      <c r="O982" s="42"/>
      <c r="P982" s="42"/>
      <c r="Q982" s="42"/>
      <c r="R982" s="42"/>
      <c r="S982" s="42"/>
      <c r="T982" s="42"/>
      <c r="U982" s="42"/>
      <c r="V982" s="42"/>
      <c r="W982" s="42"/>
      <c r="X982" s="42"/>
      <c r="Y982" s="42"/>
      <c r="Z982" s="42"/>
    </row>
    <row r="983" ht="15.75" customHeight="1">
      <c r="A983" s="42"/>
      <c r="B983" s="42"/>
      <c r="C983" s="42"/>
      <c r="D983" s="42"/>
      <c r="E983" s="42"/>
      <c r="F983" s="42"/>
      <c r="G983" s="42"/>
      <c r="H983" s="63"/>
      <c r="I983" s="42"/>
      <c r="J983" s="42"/>
      <c r="K983" s="42"/>
      <c r="L983" s="42"/>
      <c r="M983" s="42"/>
      <c r="N983" s="42"/>
      <c r="O983" s="42"/>
      <c r="P983" s="42"/>
      <c r="Q983" s="42"/>
      <c r="R983" s="42"/>
      <c r="S983" s="42"/>
      <c r="T983" s="42"/>
      <c r="U983" s="42"/>
      <c r="V983" s="42"/>
      <c r="W983" s="42"/>
      <c r="X983" s="42"/>
      <c r="Y983" s="42"/>
      <c r="Z983" s="42"/>
    </row>
    <row r="984" ht="15.75" customHeight="1">
      <c r="A984" s="42"/>
      <c r="B984" s="42"/>
      <c r="C984" s="42"/>
      <c r="D984" s="42"/>
      <c r="E984" s="42"/>
      <c r="F984" s="42"/>
      <c r="G984" s="42"/>
      <c r="H984" s="63"/>
      <c r="I984" s="42"/>
      <c r="J984" s="42"/>
      <c r="K984" s="42"/>
      <c r="L984" s="42"/>
      <c r="M984" s="42"/>
      <c r="N984" s="42"/>
      <c r="O984" s="42"/>
      <c r="P984" s="42"/>
      <c r="Q984" s="42"/>
      <c r="R984" s="42"/>
      <c r="S984" s="42"/>
      <c r="T984" s="42"/>
      <c r="U984" s="42"/>
      <c r="V984" s="42"/>
      <c r="W984" s="42"/>
      <c r="X984" s="42"/>
      <c r="Y984" s="42"/>
      <c r="Z984" s="42"/>
    </row>
    <row r="985" ht="15.75" customHeight="1">
      <c r="A985" s="42"/>
      <c r="B985" s="42"/>
      <c r="C985" s="42"/>
      <c r="D985" s="42"/>
      <c r="E985" s="42"/>
      <c r="F985" s="42"/>
      <c r="G985" s="42"/>
      <c r="H985" s="63"/>
      <c r="I985" s="42"/>
      <c r="J985" s="42"/>
      <c r="K985" s="42"/>
      <c r="L985" s="42"/>
      <c r="M985" s="42"/>
      <c r="N985" s="42"/>
      <c r="O985" s="42"/>
      <c r="P985" s="42"/>
      <c r="Q985" s="42"/>
      <c r="R985" s="42"/>
      <c r="S985" s="42"/>
      <c r="T985" s="42"/>
      <c r="U985" s="42"/>
      <c r="V985" s="42"/>
      <c r="W985" s="42"/>
      <c r="X985" s="42"/>
      <c r="Y985" s="42"/>
      <c r="Z985" s="42"/>
    </row>
    <row r="986" ht="15.75" customHeight="1">
      <c r="A986" s="42"/>
      <c r="B986" s="42"/>
      <c r="C986" s="42"/>
      <c r="D986" s="42"/>
      <c r="E986" s="42"/>
      <c r="F986" s="42"/>
      <c r="G986" s="42"/>
      <c r="H986" s="63"/>
      <c r="I986" s="42"/>
      <c r="J986" s="42"/>
      <c r="K986" s="42"/>
      <c r="L986" s="42"/>
      <c r="M986" s="42"/>
      <c r="N986" s="42"/>
      <c r="O986" s="42"/>
      <c r="P986" s="42"/>
      <c r="Q986" s="42"/>
      <c r="R986" s="42"/>
      <c r="S986" s="42"/>
      <c r="T986" s="42"/>
      <c r="U986" s="42"/>
      <c r="V986" s="42"/>
      <c r="W986" s="42"/>
      <c r="X986" s="42"/>
      <c r="Y986" s="42"/>
      <c r="Z986" s="42"/>
    </row>
    <row r="987" ht="15.75" customHeight="1">
      <c r="A987" s="42"/>
      <c r="B987" s="42"/>
      <c r="C987" s="42"/>
      <c r="D987" s="42"/>
      <c r="E987" s="42"/>
      <c r="F987" s="42"/>
      <c r="G987" s="42"/>
      <c r="H987" s="63"/>
      <c r="I987" s="42"/>
      <c r="J987" s="42"/>
      <c r="K987" s="42"/>
      <c r="L987" s="42"/>
      <c r="M987" s="42"/>
      <c r="N987" s="42"/>
      <c r="O987" s="42"/>
      <c r="P987" s="42"/>
      <c r="Q987" s="42"/>
      <c r="R987" s="42"/>
      <c r="S987" s="42"/>
      <c r="T987" s="42"/>
      <c r="U987" s="42"/>
      <c r="V987" s="42"/>
      <c r="W987" s="42"/>
      <c r="X987" s="42"/>
      <c r="Y987" s="42"/>
      <c r="Z987" s="42"/>
    </row>
    <row r="988" ht="15.75" customHeight="1">
      <c r="A988" s="42"/>
      <c r="B988" s="42"/>
      <c r="C988" s="42"/>
      <c r="D988" s="42"/>
      <c r="E988" s="42"/>
      <c r="F988" s="42"/>
      <c r="G988" s="42"/>
      <c r="H988" s="63"/>
      <c r="I988" s="42"/>
      <c r="J988" s="42"/>
      <c r="K988" s="42"/>
      <c r="L988" s="42"/>
      <c r="M988" s="42"/>
      <c r="N988" s="42"/>
      <c r="O988" s="42"/>
      <c r="P988" s="42"/>
      <c r="Q988" s="42"/>
      <c r="R988" s="42"/>
      <c r="S988" s="42"/>
      <c r="T988" s="42"/>
      <c r="U988" s="42"/>
      <c r="V988" s="42"/>
      <c r="W988" s="42"/>
      <c r="X988" s="42"/>
      <c r="Y988" s="42"/>
      <c r="Z988" s="42"/>
    </row>
    <row r="989" ht="15.75" customHeight="1">
      <c r="A989" s="42"/>
      <c r="B989" s="42"/>
      <c r="C989" s="42"/>
      <c r="D989" s="42"/>
      <c r="E989" s="42"/>
      <c r="F989" s="42"/>
      <c r="G989" s="42"/>
      <c r="H989" s="63"/>
      <c r="I989" s="42"/>
      <c r="J989" s="42"/>
      <c r="K989" s="42"/>
      <c r="L989" s="42"/>
      <c r="M989" s="42"/>
      <c r="N989" s="42"/>
      <c r="O989" s="42"/>
      <c r="P989" s="42"/>
      <c r="Q989" s="42"/>
      <c r="R989" s="42"/>
      <c r="S989" s="42"/>
      <c r="T989" s="42"/>
      <c r="U989" s="42"/>
      <c r="V989" s="42"/>
      <c r="W989" s="42"/>
      <c r="X989" s="42"/>
      <c r="Y989" s="42"/>
      <c r="Z989" s="42"/>
    </row>
    <row r="990" ht="15.75" customHeight="1">
      <c r="A990" s="42"/>
      <c r="B990" s="42"/>
      <c r="C990" s="42"/>
      <c r="D990" s="42"/>
      <c r="E990" s="42"/>
      <c r="F990" s="42"/>
      <c r="G990" s="42"/>
      <c r="H990" s="63"/>
      <c r="I990" s="42"/>
      <c r="J990" s="42"/>
      <c r="K990" s="42"/>
      <c r="L990" s="42"/>
      <c r="M990" s="42"/>
      <c r="N990" s="42"/>
      <c r="O990" s="42"/>
      <c r="P990" s="42"/>
      <c r="Q990" s="42"/>
      <c r="R990" s="42"/>
      <c r="S990" s="42"/>
      <c r="T990" s="42"/>
      <c r="U990" s="42"/>
      <c r="V990" s="42"/>
      <c r="W990" s="42"/>
      <c r="X990" s="42"/>
      <c r="Y990" s="42"/>
      <c r="Z990" s="42"/>
    </row>
    <row r="991" ht="15.75" customHeight="1">
      <c r="A991" s="42"/>
      <c r="B991" s="42"/>
      <c r="C991" s="42"/>
      <c r="D991" s="42"/>
      <c r="E991" s="42"/>
      <c r="F991" s="42"/>
      <c r="G991" s="42"/>
      <c r="H991" s="63"/>
      <c r="I991" s="42"/>
      <c r="J991" s="42"/>
      <c r="K991" s="42"/>
      <c r="L991" s="42"/>
      <c r="M991" s="42"/>
      <c r="N991" s="42"/>
      <c r="O991" s="42"/>
      <c r="P991" s="42"/>
      <c r="Q991" s="42"/>
      <c r="R991" s="42"/>
      <c r="S991" s="42"/>
      <c r="T991" s="42"/>
      <c r="U991" s="42"/>
      <c r="V991" s="42"/>
      <c r="W991" s="42"/>
      <c r="X991" s="42"/>
      <c r="Y991" s="42"/>
      <c r="Z991" s="42"/>
    </row>
    <row r="992" ht="15.75" customHeight="1">
      <c r="A992" s="42"/>
      <c r="B992" s="42"/>
      <c r="C992" s="42"/>
      <c r="D992" s="42"/>
      <c r="E992" s="42"/>
      <c r="F992" s="42"/>
      <c r="G992" s="42"/>
      <c r="H992" s="63"/>
      <c r="I992" s="42"/>
      <c r="J992" s="42"/>
      <c r="K992" s="42"/>
      <c r="L992" s="42"/>
      <c r="M992" s="42"/>
      <c r="N992" s="42"/>
      <c r="O992" s="42"/>
      <c r="P992" s="42"/>
      <c r="Q992" s="42"/>
      <c r="R992" s="42"/>
      <c r="S992" s="42"/>
      <c r="T992" s="42"/>
      <c r="U992" s="42"/>
      <c r="V992" s="42"/>
      <c r="W992" s="42"/>
      <c r="X992" s="42"/>
      <c r="Y992" s="42"/>
      <c r="Z992" s="42"/>
    </row>
    <row r="993" ht="15.75" customHeight="1">
      <c r="A993" s="42"/>
      <c r="B993" s="42"/>
      <c r="C993" s="42"/>
      <c r="D993" s="42"/>
      <c r="E993" s="42"/>
      <c r="F993" s="42"/>
      <c r="G993" s="42"/>
      <c r="H993" s="63"/>
      <c r="I993" s="42"/>
      <c r="J993" s="42"/>
      <c r="K993" s="42"/>
      <c r="L993" s="42"/>
      <c r="M993" s="42"/>
      <c r="N993" s="42"/>
      <c r="O993" s="42"/>
      <c r="P993" s="42"/>
      <c r="Q993" s="42"/>
      <c r="R993" s="42"/>
      <c r="S993" s="42"/>
      <c r="T993" s="42"/>
      <c r="U993" s="42"/>
      <c r="V993" s="42"/>
      <c r="W993" s="42"/>
      <c r="X993" s="42"/>
      <c r="Y993" s="42"/>
      <c r="Z993" s="42"/>
    </row>
    <row r="994" ht="15.75" customHeight="1">
      <c r="A994" s="42"/>
      <c r="B994" s="42"/>
      <c r="C994" s="42"/>
      <c r="D994" s="42"/>
      <c r="E994" s="42"/>
      <c r="F994" s="42"/>
      <c r="G994" s="42"/>
      <c r="H994" s="63"/>
      <c r="I994" s="42"/>
      <c r="J994" s="42"/>
      <c r="K994" s="42"/>
      <c r="L994" s="42"/>
      <c r="M994" s="42"/>
      <c r="N994" s="42"/>
      <c r="O994" s="42"/>
      <c r="P994" s="42"/>
      <c r="Q994" s="42"/>
      <c r="R994" s="42"/>
      <c r="S994" s="42"/>
      <c r="T994" s="42"/>
      <c r="U994" s="42"/>
      <c r="V994" s="42"/>
      <c r="W994" s="42"/>
      <c r="X994" s="42"/>
      <c r="Y994" s="42"/>
      <c r="Z994" s="42"/>
    </row>
    <row r="995" ht="15.75" customHeight="1">
      <c r="A995" s="42"/>
      <c r="B995" s="42"/>
      <c r="C995" s="42"/>
      <c r="D995" s="42"/>
      <c r="E995" s="42"/>
      <c r="F995" s="42"/>
      <c r="G995" s="42"/>
      <c r="H995" s="63"/>
      <c r="I995" s="42"/>
      <c r="J995" s="42"/>
      <c r="K995" s="42"/>
      <c r="L995" s="42"/>
      <c r="M995" s="42"/>
      <c r="N995" s="42"/>
      <c r="O995" s="42"/>
      <c r="P995" s="42"/>
      <c r="Q995" s="42"/>
      <c r="R995" s="42"/>
      <c r="S995" s="42"/>
      <c r="T995" s="42"/>
      <c r="U995" s="42"/>
      <c r="V995" s="42"/>
      <c r="W995" s="42"/>
      <c r="X995" s="42"/>
      <c r="Y995" s="42"/>
      <c r="Z995" s="42"/>
    </row>
    <row r="996" ht="15.75" customHeight="1">
      <c r="A996" s="42"/>
      <c r="B996" s="42"/>
      <c r="C996" s="42"/>
      <c r="D996" s="42"/>
      <c r="E996" s="42"/>
      <c r="F996" s="42"/>
      <c r="G996" s="42"/>
      <c r="H996" s="63"/>
      <c r="I996" s="42"/>
      <c r="J996" s="42"/>
      <c r="K996" s="42"/>
      <c r="L996" s="42"/>
      <c r="M996" s="42"/>
      <c r="N996" s="42"/>
      <c r="O996" s="42"/>
      <c r="P996" s="42"/>
      <c r="Q996" s="42"/>
      <c r="R996" s="42"/>
      <c r="S996" s="42"/>
      <c r="T996" s="42"/>
      <c r="U996" s="42"/>
      <c r="V996" s="42"/>
      <c r="W996" s="42"/>
      <c r="X996" s="42"/>
      <c r="Y996" s="42"/>
      <c r="Z996" s="42"/>
    </row>
    <row r="997" ht="15.75" customHeight="1">
      <c r="A997" s="42"/>
      <c r="B997" s="42"/>
      <c r="C997" s="42"/>
      <c r="D997" s="42"/>
      <c r="E997" s="42"/>
      <c r="F997" s="42"/>
      <c r="G997" s="42"/>
      <c r="H997" s="63"/>
      <c r="I997" s="42"/>
      <c r="J997" s="42"/>
      <c r="K997" s="42"/>
      <c r="L997" s="42"/>
      <c r="M997" s="42"/>
      <c r="N997" s="42"/>
      <c r="O997" s="42"/>
      <c r="P997" s="42"/>
      <c r="Q997" s="42"/>
      <c r="R997" s="42"/>
      <c r="S997" s="42"/>
      <c r="T997" s="42"/>
      <c r="U997" s="42"/>
      <c r="V997" s="42"/>
      <c r="W997" s="42"/>
      <c r="X997" s="42"/>
      <c r="Y997" s="42"/>
      <c r="Z997" s="42"/>
    </row>
    <row r="998" ht="15.75" customHeight="1">
      <c r="A998" s="42"/>
      <c r="B998" s="42"/>
      <c r="C998" s="42"/>
      <c r="D998" s="42"/>
      <c r="E998" s="42"/>
      <c r="F998" s="42"/>
      <c r="G998" s="42"/>
      <c r="H998" s="63"/>
      <c r="I998" s="42"/>
      <c r="J998" s="42"/>
      <c r="K998" s="42"/>
      <c r="L998" s="42"/>
      <c r="M998" s="42"/>
      <c r="N998" s="42"/>
      <c r="O998" s="42"/>
      <c r="P998" s="42"/>
      <c r="Q998" s="42"/>
      <c r="R998" s="42"/>
      <c r="S998" s="42"/>
      <c r="T998" s="42"/>
      <c r="U998" s="42"/>
      <c r="V998" s="42"/>
      <c r="W998" s="42"/>
      <c r="X998" s="42"/>
      <c r="Y998" s="42"/>
      <c r="Z998" s="42"/>
    </row>
    <row r="999" ht="15.75" customHeight="1">
      <c r="A999" s="42"/>
      <c r="B999" s="42"/>
      <c r="C999" s="42"/>
      <c r="D999" s="42"/>
      <c r="E999" s="42"/>
      <c r="F999" s="42"/>
      <c r="G999" s="42"/>
      <c r="H999" s="63"/>
      <c r="I999" s="42"/>
      <c r="J999" s="42"/>
      <c r="K999" s="42"/>
      <c r="L999" s="42"/>
      <c r="M999" s="42"/>
      <c r="N999" s="42"/>
      <c r="O999" s="42"/>
      <c r="P999" s="42"/>
      <c r="Q999" s="42"/>
      <c r="R999" s="42"/>
      <c r="S999" s="42"/>
      <c r="T999" s="42"/>
      <c r="U999" s="42"/>
      <c r="V999" s="42"/>
      <c r="W999" s="42"/>
      <c r="X999" s="42"/>
      <c r="Y999" s="42"/>
      <c r="Z999" s="42"/>
    </row>
    <row r="1000" ht="15.75" customHeight="1">
      <c r="A1000" s="42"/>
      <c r="B1000" s="42"/>
      <c r="C1000" s="42"/>
      <c r="D1000" s="42"/>
      <c r="E1000" s="42"/>
      <c r="F1000" s="42"/>
      <c r="G1000" s="42"/>
      <c r="H1000" s="63"/>
      <c r="I1000" s="42"/>
      <c r="J1000" s="42"/>
      <c r="K1000" s="42"/>
      <c r="L1000" s="42"/>
      <c r="M1000" s="42"/>
      <c r="N1000" s="42"/>
      <c r="O1000" s="42"/>
      <c r="P1000" s="42"/>
      <c r="Q1000" s="42"/>
      <c r="R1000" s="42"/>
      <c r="S1000" s="42"/>
      <c r="T1000" s="42"/>
      <c r="U1000" s="42"/>
      <c r="V1000" s="42"/>
      <c r="W1000" s="42"/>
      <c r="X1000" s="42"/>
      <c r="Y1000" s="42"/>
      <c r="Z1000" s="42"/>
    </row>
  </sheetData>
  <mergeCells count="3">
    <mergeCell ref="A3:E3"/>
    <mergeCell ref="A21:D21"/>
    <mergeCell ref="A31:D3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5.0"/>
    <col customWidth="1" min="3" max="3" width="10.13"/>
  </cols>
  <sheetData>
    <row r="1">
      <c r="H1" s="138"/>
    </row>
    <row r="2">
      <c r="E2" s="43" t="s">
        <v>1731</v>
      </c>
      <c r="F2" s="141">
        <f>SUM(D:D)</f>
        <v>106.23</v>
      </c>
      <c r="H2" s="138"/>
    </row>
    <row r="3">
      <c r="A3" s="142">
        <v>45990.0</v>
      </c>
      <c r="B3" s="143"/>
      <c r="C3" s="143"/>
      <c r="D3" s="144">
        <v>500.0</v>
      </c>
      <c r="E3" s="143"/>
      <c r="F3" s="143"/>
      <c r="H3" s="138"/>
    </row>
    <row r="4">
      <c r="A4" s="145"/>
      <c r="B4" s="146" t="s">
        <v>1732</v>
      </c>
      <c r="C4" s="146" t="s">
        <v>1733</v>
      </c>
      <c r="D4" s="146">
        <v>-10.0</v>
      </c>
      <c r="E4" s="145"/>
      <c r="F4" s="145"/>
      <c r="H4" s="138"/>
    </row>
    <row r="5">
      <c r="A5" s="145"/>
      <c r="B5" s="146" t="s">
        <v>1734</v>
      </c>
      <c r="C5" s="146" t="s">
        <v>1735</v>
      </c>
      <c r="D5" s="146">
        <v>-11.0</v>
      </c>
      <c r="E5" s="145"/>
      <c r="F5" s="145"/>
      <c r="H5" s="138"/>
    </row>
    <row r="6">
      <c r="A6" s="145"/>
      <c r="B6" s="146" t="s">
        <v>1736</v>
      </c>
      <c r="C6" s="146" t="s">
        <v>1737</v>
      </c>
      <c r="D6" s="146">
        <v>-10.0</v>
      </c>
      <c r="E6" s="145"/>
      <c r="F6" s="145"/>
      <c r="H6" s="138"/>
    </row>
    <row r="7">
      <c r="A7" s="145"/>
      <c r="B7" s="146" t="s">
        <v>690</v>
      </c>
      <c r="C7" s="146" t="s">
        <v>1735</v>
      </c>
      <c r="D7" s="146">
        <v>-20.0</v>
      </c>
      <c r="E7" s="145"/>
      <c r="F7" s="145"/>
      <c r="H7" s="138"/>
    </row>
    <row r="8">
      <c r="A8" s="145"/>
      <c r="B8" s="146" t="s">
        <v>579</v>
      </c>
      <c r="C8" s="146" t="s">
        <v>1738</v>
      </c>
      <c r="D8" s="146">
        <v>-160.0</v>
      </c>
      <c r="E8" s="146">
        <v>-150.0</v>
      </c>
      <c r="F8" s="146">
        <v>-6.8</v>
      </c>
      <c r="H8" s="138"/>
    </row>
    <row r="9">
      <c r="A9" s="145"/>
      <c r="B9" s="146" t="s">
        <v>579</v>
      </c>
      <c r="C9" s="146" t="s">
        <v>1739</v>
      </c>
      <c r="D9" s="146">
        <v>-215.0</v>
      </c>
      <c r="E9" s="146">
        <v>-200.0</v>
      </c>
      <c r="F9" s="146">
        <v>-13.6</v>
      </c>
      <c r="H9" s="138"/>
    </row>
    <row r="10">
      <c r="A10" s="145"/>
      <c r="B10" s="146" t="s">
        <v>1740</v>
      </c>
      <c r="C10" s="146" t="s">
        <v>1741</v>
      </c>
      <c r="D10" s="146">
        <v>-11.06</v>
      </c>
      <c r="E10" s="145"/>
      <c r="F10" s="145"/>
      <c r="H10" s="138"/>
    </row>
    <row r="11">
      <c r="A11" s="145"/>
      <c r="B11" s="146" t="s">
        <v>578</v>
      </c>
      <c r="C11" s="146" t="s">
        <v>1737</v>
      </c>
      <c r="D11" s="146">
        <v>-10.0</v>
      </c>
      <c r="E11" s="145"/>
      <c r="F11" s="145"/>
      <c r="H11" s="138"/>
    </row>
    <row r="12">
      <c r="A12" s="145"/>
      <c r="B12" s="146" t="s">
        <v>1742</v>
      </c>
      <c r="C12" s="146" t="s">
        <v>1735</v>
      </c>
      <c r="D12" s="146">
        <v>-10.0</v>
      </c>
      <c r="E12" s="145"/>
      <c r="F12" s="145"/>
      <c r="H12" s="138"/>
    </row>
    <row r="13">
      <c r="A13" s="142">
        <v>45994.0</v>
      </c>
      <c r="B13" s="143"/>
      <c r="C13" s="143"/>
      <c r="D13" s="144">
        <v>500.0</v>
      </c>
      <c r="E13" s="143"/>
      <c r="F13" s="143"/>
      <c r="H13" s="138"/>
    </row>
    <row r="14">
      <c r="A14" s="145"/>
      <c r="B14" s="146" t="s">
        <v>1742</v>
      </c>
      <c r="C14" s="146" t="s">
        <v>1743</v>
      </c>
      <c r="D14" s="146">
        <v>-230.0</v>
      </c>
      <c r="E14" s="146">
        <v>-216.0</v>
      </c>
      <c r="F14" s="146">
        <v>-14.47</v>
      </c>
      <c r="H14" s="138"/>
    </row>
    <row r="15">
      <c r="A15" s="145"/>
      <c r="B15" s="146" t="s">
        <v>579</v>
      </c>
      <c r="C15" s="146" t="s">
        <v>1738</v>
      </c>
      <c r="D15" s="146">
        <v>-110.0</v>
      </c>
      <c r="E15" s="146">
        <v>-100.0</v>
      </c>
      <c r="F15" s="146">
        <v>-6.8</v>
      </c>
      <c r="H15" s="138"/>
    </row>
    <row r="16">
      <c r="A16" s="145"/>
      <c r="B16" s="146" t="s">
        <v>1742</v>
      </c>
      <c r="C16" s="146" t="s">
        <v>530</v>
      </c>
      <c r="D16" s="146">
        <v>-22.36</v>
      </c>
      <c r="E16" s="146">
        <v>-20.0</v>
      </c>
      <c r="F16" s="146">
        <v>-2.36</v>
      </c>
      <c r="H16" s="138"/>
    </row>
    <row r="17">
      <c r="A17" s="145"/>
      <c r="B17" s="146" t="s">
        <v>1744</v>
      </c>
      <c r="C17" s="146" t="s">
        <v>1745</v>
      </c>
      <c r="D17" s="146">
        <v>-65.0</v>
      </c>
      <c r="E17" s="146">
        <v>-60.0</v>
      </c>
      <c r="F17" s="146">
        <v>-4.08</v>
      </c>
      <c r="H17" s="138"/>
    </row>
    <row r="18">
      <c r="A18" s="145"/>
      <c r="B18" s="146" t="s">
        <v>578</v>
      </c>
      <c r="C18" s="146" t="s">
        <v>1737</v>
      </c>
      <c r="D18" s="146">
        <v>-25.0</v>
      </c>
      <c r="E18" s="145"/>
      <c r="F18" s="145"/>
      <c r="H18" s="138"/>
    </row>
    <row r="19">
      <c r="A19" s="147">
        <v>45999.0</v>
      </c>
      <c r="B19" s="146" t="s">
        <v>579</v>
      </c>
      <c r="C19" s="146" t="s">
        <v>1738</v>
      </c>
      <c r="D19" s="146">
        <v>-82.0</v>
      </c>
      <c r="E19" s="146">
        <v>-80.0</v>
      </c>
      <c r="F19" s="146">
        <v>-5.44</v>
      </c>
      <c r="H19" s="138"/>
    </row>
    <row r="20">
      <c r="A20" s="142">
        <v>45999.0</v>
      </c>
      <c r="B20" s="143"/>
      <c r="C20" s="143"/>
      <c r="D20" s="143">
        <v>500.0</v>
      </c>
      <c r="E20" s="143"/>
      <c r="F20" s="143"/>
      <c r="H20" s="138"/>
    </row>
    <row r="21">
      <c r="A21" s="147">
        <v>45999.0</v>
      </c>
      <c r="B21" s="146" t="s">
        <v>1742</v>
      </c>
      <c r="C21" s="146" t="s">
        <v>1746</v>
      </c>
      <c r="D21" s="146">
        <v>-203.0</v>
      </c>
      <c r="E21" s="146">
        <v>-190.0</v>
      </c>
      <c r="F21" s="146">
        <v>-12.92</v>
      </c>
      <c r="H21" s="138"/>
    </row>
    <row r="22">
      <c r="A22" s="147"/>
      <c r="B22" s="146" t="s">
        <v>579</v>
      </c>
      <c r="C22" s="146" t="s">
        <v>1747</v>
      </c>
      <c r="D22" s="146">
        <v>-90.0</v>
      </c>
      <c r="E22" s="146"/>
      <c r="F22" s="146"/>
      <c r="H22" s="138"/>
    </row>
    <row r="23">
      <c r="A23" s="147"/>
      <c r="B23" s="146" t="s">
        <v>579</v>
      </c>
      <c r="C23" s="146" t="s">
        <v>1747</v>
      </c>
      <c r="D23" s="146">
        <v>-54.0</v>
      </c>
      <c r="E23" s="146"/>
      <c r="F23" s="146"/>
      <c r="H23" s="138"/>
    </row>
    <row r="24">
      <c r="A24" s="147">
        <v>46006.0</v>
      </c>
      <c r="B24" s="146" t="s">
        <v>1740</v>
      </c>
      <c r="C24" s="146" t="s">
        <v>1741</v>
      </c>
      <c r="D24" s="146">
        <v>-55.35</v>
      </c>
      <c r="E24" s="146"/>
      <c r="F24" s="146"/>
      <c r="H24" s="138"/>
    </row>
    <row r="25">
      <c r="H25" s="138"/>
    </row>
    <row r="26">
      <c r="H26" s="138"/>
    </row>
    <row r="27">
      <c r="H27" s="138"/>
    </row>
    <row r="28">
      <c r="H28" s="138"/>
    </row>
    <row r="29">
      <c r="H29" s="138"/>
    </row>
    <row r="30">
      <c r="H30" s="138"/>
    </row>
    <row r="31">
      <c r="H31" s="138"/>
    </row>
    <row r="32">
      <c r="H32" s="138"/>
    </row>
    <row r="33">
      <c r="H33" s="138"/>
    </row>
    <row r="34">
      <c r="H34" s="138"/>
    </row>
    <row r="35">
      <c r="H35" s="138"/>
    </row>
    <row r="36">
      <c r="H36" s="138"/>
    </row>
    <row r="37">
      <c r="H37" s="138"/>
    </row>
    <row r="38">
      <c r="H38" s="138"/>
    </row>
    <row r="39">
      <c r="H39" s="138"/>
    </row>
    <row r="40">
      <c r="H40" s="138"/>
    </row>
    <row r="41">
      <c r="H41" s="138"/>
    </row>
    <row r="42">
      <c r="H42" s="138"/>
    </row>
    <row r="43">
      <c r="H43" s="138"/>
    </row>
    <row r="44">
      <c r="H44" s="138"/>
    </row>
    <row r="45">
      <c r="H45" s="138"/>
    </row>
    <row r="46">
      <c r="H46" s="138"/>
    </row>
    <row r="47">
      <c r="H47" s="138"/>
    </row>
    <row r="48">
      <c r="H48" s="138"/>
    </row>
    <row r="49">
      <c r="H49" s="138"/>
    </row>
    <row r="50">
      <c r="H50" s="138"/>
    </row>
    <row r="51">
      <c r="H51" s="138"/>
    </row>
    <row r="52">
      <c r="H52" s="138"/>
    </row>
    <row r="53">
      <c r="H53" s="138"/>
    </row>
    <row r="54">
      <c r="H54" s="138"/>
    </row>
    <row r="55">
      <c r="H55" s="138"/>
    </row>
    <row r="56">
      <c r="H56" s="138"/>
    </row>
    <row r="57">
      <c r="H57" s="138"/>
    </row>
    <row r="58">
      <c r="H58" s="138"/>
    </row>
    <row r="59">
      <c r="H59" s="138"/>
    </row>
    <row r="60">
      <c r="H60" s="138"/>
    </row>
    <row r="61">
      <c r="H61" s="138"/>
    </row>
    <row r="62">
      <c r="H62" s="138"/>
    </row>
    <row r="63">
      <c r="H63" s="138"/>
    </row>
    <row r="64">
      <c r="H64" s="138"/>
    </row>
    <row r="65">
      <c r="H65" s="138"/>
    </row>
    <row r="66">
      <c r="H66" s="138"/>
    </row>
    <row r="67">
      <c r="H67" s="138"/>
    </row>
    <row r="68">
      <c r="H68" s="138"/>
    </row>
    <row r="69">
      <c r="H69" s="138"/>
    </row>
    <row r="70">
      <c r="H70" s="138"/>
    </row>
    <row r="71">
      <c r="H71" s="138"/>
    </row>
    <row r="72">
      <c r="H72" s="138"/>
    </row>
    <row r="73">
      <c r="H73" s="138"/>
    </row>
    <row r="74">
      <c r="H74" s="138"/>
    </row>
    <row r="75">
      <c r="H75" s="138"/>
    </row>
    <row r="76">
      <c r="H76" s="138"/>
    </row>
    <row r="77">
      <c r="H77" s="138"/>
    </row>
    <row r="78">
      <c r="H78" s="138"/>
    </row>
    <row r="79">
      <c r="H79" s="138"/>
    </row>
    <row r="80">
      <c r="H80" s="148"/>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13"/>
    <col customWidth="1" min="2" max="2" width="9.38"/>
    <col customWidth="1" min="3" max="3" width="43.38"/>
    <col customWidth="1" min="4" max="4" width="100.13"/>
    <col customWidth="1" min="5" max="9" width="37.63"/>
  </cols>
  <sheetData>
    <row r="1" ht="15.75" customHeight="1">
      <c r="A1" s="48" t="s">
        <v>0</v>
      </c>
      <c r="B1" s="48" t="s">
        <v>16</v>
      </c>
      <c r="C1" s="48" t="s">
        <v>17</v>
      </c>
      <c r="D1" s="48" t="s">
        <v>18</v>
      </c>
      <c r="E1" s="48"/>
      <c r="F1" s="48"/>
      <c r="G1" s="48"/>
      <c r="H1" s="48"/>
      <c r="I1" s="48"/>
      <c r="J1" s="48"/>
      <c r="K1" s="48"/>
      <c r="L1" s="48"/>
      <c r="M1" s="48"/>
      <c r="N1" s="48"/>
      <c r="O1" s="48"/>
      <c r="P1" s="48"/>
      <c r="Q1" s="48"/>
      <c r="R1" s="48"/>
      <c r="S1" s="48"/>
      <c r="T1" s="48"/>
      <c r="U1" s="48"/>
      <c r="V1" s="48"/>
      <c r="W1" s="48"/>
      <c r="X1" s="48"/>
      <c r="Y1" s="48"/>
      <c r="Z1" s="48"/>
    </row>
    <row r="2" ht="26.25" customHeight="1">
      <c r="A2" s="48">
        <v>1.0</v>
      </c>
      <c r="B2" s="149">
        <v>45945.0</v>
      </c>
      <c r="C2" s="150" t="s">
        <v>1748</v>
      </c>
      <c r="D2" s="48" t="s">
        <v>1749</v>
      </c>
      <c r="E2" s="48" t="s">
        <v>937</v>
      </c>
      <c r="F2" s="48"/>
      <c r="G2" s="48"/>
      <c r="H2" s="48"/>
      <c r="I2" s="48"/>
      <c r="J2" s="48"/>
      <c r="K2" s="48"/>
      <c r="L2" s="48"/>
      <c r="M2" s="48"/>
      <c r="N2" s="48"/>
      <c r="O2" s="48"/>
      <c r="P2" s="48"/>
      <c r="Q2" s="48"/>
      <c r="R2" s="48"/>
      <c r="S2" s="48"/>
      <c r="T2" s="48"/>
      <c r="U2" s="48"/>
      <c r="V2" s="48"/>
      <c r="W2" s="48"/>
      <c r="X2" s="48"/>
      <c r="Y2" s="48"/>
      <c r="Z2" s="48"/>
    </row>
    <row r="3" ht="26.25" customHeight="1">
      <c r="A3" s="48">
        <v>2.0</v>
      </c>
      <c r="B3" s="48"/>
      <c r="C3" s="150" t="s">
        <v>1750</v>
      </c>
      <c r="D3" s="48" t="s">
        <v>1751</v>
      </c>
      <c r="E3" s="48"/>
      <c r="F3" s="48"/>
      <c r="G3" s="48"/>
      <c r="H3" s="48"/>
      <c r="I3" s="48"/>
      <c r="J3" s="48"/>
      <c r="K3" s="48"/>
      <c r="L3" s="48"/>
      <c r="M3" s="48"/>
      <c r="N3" s="48"/>
      <c r="O3" s="48"/>
      <c r="P3" s="48"/>
      <c r="Q3" s="48"/>
      <c r="R3" s="48"/>
      <c r="S3" s="48"/>
      <c r="T3" s="48"/>
      <c r="U3" s="48"/>
      <c r="V3" s="48"/>
      <c r="W3" s="48"/>
      <c r="X3" s="48"/>
      <c r="Y3" s="48"/>
      <c r="Z3" s="48"/>
    </row>
    <row r="4" ht="26.25" customHeight="1">
      <c r="A4" s="48">
        <v>3.0</v>
      </c>
      <c r="B4" s="48"/>
      <c r="C4" s="150" t="s">
        <v>1752</v>
      </c>
      <c r="D4" s="48" t="s">
        <v>1753</v>
      </c>
      <c r="E4" s="48"/>
      <c r="F4" s="48"/>
      <c r="G4" s="48"/>
      <c r="H4" s="48"/>
      <c r="I4" s="48"/>
      <c r="J4" s="48"/>
      <c r="K4" s="48"/>
      <c r="L4" s="48"/>
      <c r="M4" s="48"/>
      <c r="N4" s="48"/>
      <c r="O4" s="48"/>
      <c r="P4" s="48"/>
      <c r="Q4" s="48"/>
      <c r="R4" s="48"/>
      <c r="S4" s="48"/>
      <c r="T4" s="48"/>
      <c r="U4" s="48"/>
      <c r="V4" s="48"/>
      <c r="W4" s="48"/>
      <c r="X4" s="48"/>
      <c r="Y4" s="48"/>
      <c r="Z4" s="48"/>
    </row>
    <row r="5" ht="26.25" customHeight="1">
      <c r="A5" s="48">
        <v>4.0</v>
      </c>
      <c r="B5" s="48"/>
      <c r="C5" s="150" t="s">
        <v>1754</v>
      </c>
      <c r="D5" s="48" t="s">
        <v>1755</v>
      </c>
      <c r="E5" s="48"/>
      <c r="F5" s="48"/>
      <c r="G5" s="48"/>
      <c r="H5" s="48"/>
      <c r="I5" s="48"/>
      <c r="J5" s="48"/>
      <c r="K5" s="48"/>
      <c r="L5" s="48"/>
      <c r="M5" s="48"/>
      <c r="N5" s="48"/>
      <c r="O5" s="48"/>
      <c r="P5" s="48"/>
      <c r="Q5" s="48"/>
      <c r="R5" s="48"/>
      <c r="S5" s="48"/>
      <c r="T5" s="48"/>
      <c r="U5" s="48"/>
      <c r="V5" s="48"/>
      <c r="W5" s="48"/>
      <c r="X5" s="48"/>
      <c r="Y5" s="48"/>
      <c r="Z5" s="48"/>
    </row>
    <row r="6" ht="26.25" customHeight="1">
      <c r="A6" s="48">
        <v>5.0</v>
      </c>
      <c r="B6" s="48"/>
      <c r="C6" s="150" t="s">
        <v>1756</v>
      </c>
      <c r="D6" s="48" t="s">
        <v>1757</v>
      </c>
      <c r="E6" s="48"/>
      <c r="F6" s="48"/>
      <c r="G6" s="48"/>
      <c r="H6" s="48"/>
      <c r="I6" s="48"/>
      <c r="J6" s="48"/>
      <c r="K6" s="48"/>
      <c r="L6" s="48"/>
      <c r="M6" s="48"/>
      <c r="N6" s="48"/>
      <c r="O6" s="48"/>
      <c r="P6" s="48"/>
      <c r="Q6" s="48"/>
      <c r="R6" s="48"/>
      <c r="S6" s="48"/>
      <c r="T6" s="48"/>
      <c r="U6" s="48"/>
      <c r="V6" s="48"/>
      <c r="W6" s="48"/>
      <c r="X6" s="48"/>
      <c r="Y6" s="48"/>
      <c r="Z6" s="48"/>
    </row>
    <row r="7" ht="26.25" customHeight="1">
      <c r="A7" s="48">
        <v>6.0</v>
      </c>
      <c r="B7" s="48"/>
      <c r="C7" s="150" t="s">
        <v>1758</v>
      </c>
      <c r="D7" s="48" t="s">
        <v>1759</v>
      </c>
      <c r="E7" s="48"/>
      <c r="F7" s="48"/>
      <c r="G7" s="48"/>
      <c r="H7" s="48"/>
      <c r="I7" s="48"/>
      <c r="J7" s="48"/>
      <c r="K7" s="48"/>
      <c r="L7" s="48"/>
      <c r="M7" s="48"/>
      <c r="N7" s="48"/>
      <c r="O7" s="48"/>
      <c r="P7" s="48"/>
      <c r="Q7" s="48"/>
      <c r="R7" s="48"/>
      <c r="S7" s="48"/>
      <c r="T7" s="48"/>
      <c r="U7" s="48"/>
      <c r="V7" s="48"/>
      <c r="W7" s="48"/>
      <c r="X7" s="48"/>
      <c r="Y7" s="48"/>
      <c r="Z7" s="48"/>
    </row>
    <row r="8" ht="26.25" customHeight="1">
      <c r="A8" s="48">
        <v>7.0</v>
      </c>
      <c r="B8" s="48"/>
      <c r="C8" s="150" t="s">
        <v>1760</v>
      </c>
      <c r="D8" s="48" t="s">
        <v>1761</v>
      </c>
      <c r="E8" s="48"/>
      <c r="F8" s="48"/>
      <c r="G8" s="48"/>
      <c r="H8" s="48"/>
      <c r="I8" s="48"/>
      <c r="J8" s="48"/>
      <c r="K8" s="48"/>
      <c r="L8" s="48"/>
      <c r="M8" s="48"/>
      <c r="N8" s="48"/>
      <c r="O8" s="48"/>
      <c r="P8" s="48"/>
      <c r="Q8" s="48"/>
      <c r="R8" s="48"/>
      <c r="S8" s="48"/>
      <c r="T8" s="48"/>
      <c r="U8" s="48"/>
      <c r="V8" s="48"/>
      <c r="W8" s="48"/>
      <c r="X8" s="48"/>
      <c r="Y8" s="48"/>
      <c r="Z8" s="48"/>
    </row>
    <row r="9" ht="26.25" customHeight="1">
      <c r="A9" s="48">
        <v>8.0</v>
      </c>
      <c r="B9" s="149">
        <v>45946.0</v>
      </c>
      <c r="C9" s="151" t="s">
        <v>1762</v>
      </c>
      <c r="D9" s="48" t="s">
        <v>1763</v>
      </c>
      <c r="E9" s="48" t="s">
        <v>1764</v>
      </c>
      <c r="F9" s="48"/>
      <c r="G9" s="48"/>
      <c r="H9" s="48"/>
      <c r="I9" s="48"/>
      <c r="J9" s="48"/>
      <c r="K9" s="48"/>
      <c r="L9" s="48"/>
      <c r="M9" s="48"/>
      <c r="N9" s="48"/>
      <c r="O9" s="48"/>
      <c r="P9" s="48"/>
      <c r="Q9" s="48"/>
      <c r="R9" s="48"/>
      <c r="S9" s="48"/>
      <c r="T9" s="48"/>
      <c r="U9" s="48"/>
      <c r="V9" s="48"/>
      <c r="W9" s="48"/>
      <c r="X9" s="48"/>
      <c r="Y9" s="48"/>
      <c r="Z9" s="48"/>
    </row>
    <row r="10" ht="26.25" customHeight="1">
      <c r="A10" s="48">
        <v>9.0</v>
      </c>
      <c r="B10" s="48"/>
      <c r="C10" s="150" t="s">
        <v>1765</v>
      </c>
      <c r="D10" s="48" t="s">
        <v>1766</v>
      </c>
      <c r="E10" s="48" t="s">
        <v>1764</v>
      </c>
      <c r="F10" s="48"/>
      <c r="G10" s="48"/>
      <c r="H10" s="48"/>
      <c r="I10" s="48"/>
      <c r="J10" s="48"/>
      <c r="K10" s="48"/>
      <c r="L10" s="48"/>
      <c r="M10" s="48"/>
      <c r="N10" s="48"/>
      <c r="O10" s="48"/>
      <c r="P10" s="48"/>
      <c r="Q10" s="48"/>
      <c r="R10" s="48"/>
      <c r="S10" s="48"/>
      <c r="T10" s="48"/>
      <c r="U10" s="48"/>
      <c r="V10" s="48"/>
      <c r="W10" s="48"/>
      <c r="X10" s="48"/>
      <c r="Y10" s="48"/>
      <c r="Z10" s="48"/>
    </row>
    <row r="11" ht="26.25" customHeight="1">
      <c r="A11" s="48">
        <v>10.0</v>
      </c>
      <c r="B11" s="48"/>
      <c r="C11" s="150" t="s">
        <v>1767</v>
      </c>
      <c r="D11" s="48" t="s">
        <v>1768</v>
      </c>
      <c r="E11" s="48"/>
      <c r="F11" s="48"/>
      <c r="G11" s="48"/>
      <c r="H11" s="48"/>
      <c r="I11" s="48"/>
      <c r="J11" s="48"/>
      <c r="K11" s="48"/>
      <c r="L11" s="48"/>
      <c r="M11" s="48"/>
      <c r="N11" s="48"/>
      <c r="O11" s="48"/>
      <c r="P11" s="48"/>
      <c r="Q11" s="48"/>
      <c r="R11" s="48"/>
      <c r="S11" s="48"/>
      <c r="T11" s="48"/>
      <c r="U11" s="48"/>
      <c r="V11" s="48"/>
      <c r="W11" s="48"/>
      <c r="X11" s="48"/>
      <c r="Y11" s="48"/>
      <c r="Z11" s="48"/>
    </row>
    <row r="12" ht="26.25" customHeight="1">
      <c r="A12" s="48">
        <v>11.0</v>
      </c>
      <c r="B12" s="48"/>
      <c r="C12" s="150" t="s">
        <v>1769</v>
      </c>
      <c r="D12" s="48" t="s">
        <v>1770</v>
      </c>
      <c r="E12" s="48"/>
      <c r="F12" s="48"/>
      <c r="G12" s="48"/>
      <c r="H12" s="48"/>
      <c r="I12" s="48"/>
      <c r="J12" s="48"/>
      <c r="K12" s="48"/>
      <c r="L12" s="48"/>
      <c r="M12" s="48"/>
      <c r="N12" s="48"/>
      <c r="O12" s="48"/>
      <c r="P12" s="48"/>
      <c r="Q12" s="48"/>
      <c r="R12" s="48"/>
      <c r="S12" s="48"/>
      <c r="T12" s="48"/>
      <c r="U12" s="48"/>
      <c r="V12" s="48"/>
      <c r="W12" s="48"/>
      <c r="X12" s="48"/>
      <c r="Y12" s="48"/>
      <c r="Z12" s="48"/>
    </row>
    <row r="13" ht="26.25" customHeight="1">
      <c r="A13" s="48">
        <v>12.0</v>
      </c>
      <c r="B13" s="48"/>
      <c r="C13" s="150" t="s">
        <v>1771</v>
      </c>
      <c r="D13" s="48" t="s">
        <v>1772</v>
      </c>
      <c r="E13" s="48"/>
      <c r="F13" s="48"/>
      <c r="G13" s="48"/>
      <c r="H13" s="48"/>
      <c r="I13" s="48"/>
      <c r="J13" s="48"/>
      <c r="K13" s="48"/>
      <c r="L13" s="48"/>
      <c r="M13" s="48"/>
      <c r="N13" s="48"/>
      <c r="O13" s="48"/>
      <c r="P13" s="48"/>
      <c r="Q13" s="48"/>
      <c r="R13" s="48"/>
      <c r="S13" s="48"/>
      <c r="T13" s="48"/>
      <c r="U13" s="48"/>
      <c r="V13" s="48"/>
      <c r="W13" s="48"/>
      <c r="X13" s="48"/>
      <c r="Y13" s="48"/>
      <c r="Z13" s="48"/>
    </row>
    <row r="14" ht="26.25" customHeight="1">
      <c r="A14" s="48">
        <v>13.0</v>
      </c>
      <c r="B14" s="149">
        <v>45949.0</v>
      </c>
      <c r="C14" s="150" t="s">
        <v>1773</v>
      </c>
      <c r="D14" s="48" t="s">
        <v>1774</v>
      </c>
      <c r="E14" s="48"/>
      <c r="F14" s="48"/>
      <c r="G14" s="48"/>
      <c r="H14" s="48"/>
      <c r="I14" s="48"/>
      <c r="J14" s="48"/>
      <c r="K14" s="48"/>
      <c r="L14" s="48"/>
      <c r="M14" s="48"/>
      <c r="N14" s="48"/>
      <c r="O14" s="48"/>
      <c r="P14" s="48"/>
      <c r="Q14" s="48"/>
      <c r="R14" s="48"/>
      <c r="S14" s="48"/>
      <c r="T14" s="48"/>
      <c r="U14" s="48"/>
      <c r="V14" s="48"/>
      <c r="W14" s="48"/>
      <c r="X14" s="48"/>
      <c r="Y14" s="48"/>
      <c r="Z14" s="48"/>
    </row>
    <row r="15" ht="26.25" customHeight="1">
      <c r="A15" s="48">
        <v>14.0</v>
      </c>
      <c r="B15" s="48"/>
      <c r="C15" s="150" t="s">
        <v>1775</v>
      </c>
      <c r="D15" s="48" t="s">
        <v>1776</v>
      </c>
      <c r="E15" s="48"/>
      <c r="F15" s="48"/>
      <c r="G15" s="48"/>
      <c r="H15" s="48"/>
      <c r="I15" s="48"/>
      <c r="J15" s="48"/>
      <c r="K15" s="48"/>
      <c r="L15" s="48"/>
      <c r="M15" s="48"/>
      <c r="N15" s="48"/>
      <c r="O15" s="48"/>
      <c r="P15" s="48"/>
      <c r="Q15" s="48"/>
      <c r="R15" s="48"/>
      <c r="S15" s="48"/>
      <c r="T15" s="48"/>
      <c r="U15" s="48"/>
      <c r="V15" s="48"/>
      <c r="W15" s="48"/>
      <c r="X15" s="48"/>
      <c r="Y15" s="48"/>
      <c r="Z15" s="48"/>
    </row>
    <row r="16" ht="26.25" customHeight="1">
      <c r="A16" s="48">
        <v>15.0</v>
      </c>
      <c r="C16" s="150" t="s">
        <v>1777</v>
      </c>
      <c r="D16" s="48" t="s">
        <v>1778</v>
      </c>
      <c r="E16" s="48"/>
      <c r="F16" s="48"/>
      <c r="G16" s="48"/>
      <c r="H16" s="48"/>
      <c r="I16" s="48"/>
      <c r="J16" s="48"/>
      <c r="K16" s="48"/>
      <c r="L16" s="48"/>
      <c r="M16" s="48"/>
      <c r="N16" s="48"/>
      <c r="O16" s="48"/>
      <c r="P16" s="48"/>
      <c r="Q16" s="48"/>
      <c r="R16" s="48"/>
      <c r="S16" s="48"/>
      <c r="T16" s="48"/>
      <c r="U16" s="48"/>
      <c r="V16" s="48"/>
      <c r="W16" s="48"/>
      <c r="X16" s="48"/>
      <c r="Y16" s="48"/>
      <c r="Z16" s="48"/>
    </row>
    <row r="17" ht="26.25" customHeight="1">
      <c r="A17" s="48">
        <v>16.0</v>
      </c>
      <c r="B17" s="149">
        <v>45950.0</v>
      </c>
      <c r="C17" s="150" t="s">
        <v>1779</v>
      </c>
      <c r="D17" s="48" t="s">
        <v>1780</v>
      </c>
      <c r="E17" s="48"/>
      <c r="F17" s="48"/>
      <c r="G17" s="48"/>
      <c r="H17" s="48"/>
      <c r="I17" s="48"/>
      <c r="J17" s="48"/>
      <c r="K17" s="48"/>
      <c r="L17" s="48"/>
      <c r="M17" s="48"/>
      <c r="N17" s="48"/>
      <c r="O17" s="48"/>
      <c r="P17" s="48"/>
      <c r="Q17" s="48"/>
      <c r="R17" s="48"/>
      <c r="S17" s="48"/>
      <c r="T17" s="48"/>
      <c r="U17" s="48"/>
      <c r="V17" s="48"/>
      <c r="W17" s="48"/>
      <c r="X17" s="48"/>
      <c r="Y17" s="48"/>
      <c r="Z17" s="48"/>
    </row>
    <row r="18" ht="26.25" customHeight="1">
      <c r="A18" s="48">
        <v>17.0</v>
      </c>
      <c r="B18" s="48"/>
      <c r="C18" s="150" t="s">
        <v>1781</v>
      </c>
      <c r="D18" s="48" t="s">
        <v>1782</v>
      </c>
      <c r="E18" s="48"/>
      <c r="F18" s="48"/>
      <c r="G18" s="48"/>
      <c r="H18" s="48"/>
      <c r="I18" s="48"/>
      <c r="J18" s="48"/>
      <c r="K18" s="48"/>
      <c r="L18" s="48"/>
      <c r="M18" s="48"/>
      <c r="N18" s="48"/>
      <c r="O18" s="48"/>
      <c r="P18" s="48"/>
      <c r="Q18" s="48"/>
      <c r="R18" s="48"/>
      <c r="S18" s="48"/>
      <c r="T18" s="48"/>
      <c r="U18" s="48"/>
      <c r="V18" s="48"/>
      <c r="W18" s="48"/>
      <c r="X18" s="48"/>
      <c r="Y18" s="48"/>
      <c r="Z18" s="48"/>
    </row>
    <row r="19" ht="26.25" customHeight="1">
      <c r="A19" s="48">
        <v>18.0</v>
      </c>
      <c r="B19" s="48"/>
      <c r="C19" s="150" t="s">
        <v>1783</v>
      </c>
      <c r="D19" s="48" t="s">
        <v>1782</v>
      </c>
      <c r="E19" s="48"/>
      <c r="F19" s="48"/>
      <c r="G19" s="48"/>
      <c r="H19" s="48"/>
      <c r="I19" s="48"/>
      <c r="J19" s="48"/>
      <c r="K19" s="48"/>
      <c r="L19" s="48"/>
      <c r="M19" s="48"/>
      <c r="N19" s="48"/>
      <c r="O19" s="48"/>
      <c r="P19" s="48"/>
      <c r="Q19" s="48"/>
      <c r="R19" s="48"/>
      <c r="S19" s="48"/>
      <c r="T19" s="48"/>
      <c r="U19" s="48"/>
      <c r="V19" s="48"/>
      <c r="W19" s="48"/>
      <c r="X19" s="48"/>
      <c r="Y19" s="48"/>
      <c r="Z19" s="48"/>
    </row>
    <row r="20" ht="26.25" customHeight="1">
      <c r="A20" s="48">
        <v>19.0</v>
      </c>
      <c r="B20" s="48"/>
      <c r="C20" s="150" t="s">
        <v>1784</v>
      </c>
      <c r="D20" s="48" t="s">
        <v>1785</v>
      </c>
      <c r="E20" s="48"/>
      <c r="F20" s="48"/>
      <c r="G20" s="48"/>
      <c r="H20" s="48"/>
      <c r="I20" s="48"/>
      <c r="J20" s="48"/>
      <c r="K20" s="48"/>
      <c r="L20" s="48"/>
      <c r="M20" s="48"/>
      <c r="N20" s="48"/>
      <c r="O20" s="48"/>
      <c r="P20" s="48"/>
      <c r="Q20" s="48"/>
      <c r="R20" s="48"/>
      <c r="S20" s="48"/>
      <c r="T20" s="48"/>
      <c r="U20" s="48"/>
      <c r="V20" s="48"/>
      <c r="W20" s="48"/>
      <c r="X20" s="48"/>
      <c r="Y20" s="48"/>
      <c r="Z20" s="48"/>
    </row>
    <row r="21" ht="26.25" customHeight="1">
      <c r="A21" s="48">
        <v>20.0</v>
      </c>
      <c r="B21" s="48"/>
      <c r="C21" s="150" t="s">
        <v>1786</v>
      </c>
      <c r="D21" s="48" t="s">
        <v>1787</v>
      </c>
      <c r="E21" s="48"/>
      <c r="F21" s="48"/>
      <c r="G21" s="48"/>
      <c r="H21" s="48"/>
      <c r="I21" s="48"/>
      <c r="J21" s="48"/>
      <c r="K21" s="48"/>
      <c r="L21" s="48"/>
      <c r="M21" s="48"/>
      <c r="N21" s="48"/>
      <c r="O21" s="48"/>
      <c r="P21" s="48"/>
      <c r="Q21" s="48"/>
      <c r="R21" s="48"/>
      <c r="S21" s="48"/>
      <c r="T21" s="48"/>
      <c r="U21" s="48"/>
      <c r="V21" s="48"/>
      <c r="W21" s="48"/>
      <c r="X21" s="48"/>
      <c r="Y21" s="48"/>
      <c r="Z21" s="48"/>
    </row>
    <row r="22" ht="26.25" customHeight="1">
      <c r="A22" s="48">
        <v>21.0</v>
      </c>
      <c r="B22" s="149">
        <v>45951.0</v>
      </c>
      <c r="C22" s="150" t="s">
        <v>1788</v>
      </c>
      <c r="D22" s="48" t="s">
        <v>1789</v>
      </c>
      <c r="E22" s="48"/>
      <c r="F22" s="48"/>
      <c r="G22" s="48"/>
      <c r="H22" s="48"/>
      <c r="I22" s="48"/>
      <c r="J22" s="48"/>
      <c r="K22" s="48"/>
      <c r="L22" s="48"/>
      <c r="M22" s="48"/>
      <c r="N22" s="48"/>
      <c r="O22" s="48"/>
      <c r="P22" s="48"/>
      <c r="Q22" s="48"/>
      <c r="R22" s="48"/>
      <c r="S22" s="48"/>
      <c r="T22" s="48"/>
      <c r="U22" s="48"/>
      <c r="V22" s="48"/>
      <c r="W22" s="48"/>
      <c r="X22" s="48"/>
      <c r="Y22" s="48"/>
      <c r="Z22" s="48"/>
    </row>
    <row r="23" ht="26.25" customHeight="1">
      <c r="A23" s="48">
        <v>22.0</v>
      </c>
      <c r="B23" s="48"/>
      <c r="C23" s="150" t="s">
        <v>1790</v>
      </c>
      <c r="D23" s="48" t="s">
        <v>1791</v>
      </c>
      <c r="E23" s="48"/>
      <c r="F23" s="48"/>
      <c r="G23" s="48"/>
      <c r="H23" s="48"/>
      <c r="I23" s="48"/>
      <c r="J23" s="48"/>
      <c r="K23" s="48"/>
      <c r="L23" s="48"/>
      <c r="M23" s="48"/>
      <c r="N23" s="48"/>
      <c r="O23" s="48"/>
      <c r="P23" s="48"/>
      <c r="Q23" s="48"/>
      <c r="R23" s="48"/>
      <c r="S23" s="48"/>
      <c r="T23" s="48"/>
      <c r="U23" s="48"/>
      <c r="V23" s="48"/>
      <c r="W23" s="48"/>
      <c r="X23" s="48"/>
      <c r="Y23" s="48"/>
      <c r="Z23" s="48"/>
    </row>
    <row r="24" ht="26.25" customHeight="1">
      <c r="A24" s="48">
        <v>23.0</v>
      </c>
      <c r="B24" s="48"/>
      <c r="C24" s="150" t="s">
        <v>1792</v>
      </c>
      <c r="D24" s="48" t="s">
        <v>1793</v>
      </c>
      <c r="E24" s="48"/>
      <c r="F24" s="48"/>
      <c r="G24" s="48"/>
      <c r="H24" s="48"/>
      <c r="I24" s="48"/>
      <c r="J24" s="48"/>
      <c r="K24" s="48"/>
      <c r="L24" s="48"/>
      <c r="M24" s="48"/>
      <c r="N24" s="48"/>
      <c r="O24" s="48"/>
      <c r="P24" s="48"/>
      <c r="Q24" s="48"/>
      <c r="R24" s="48"/>
      <c r="S24" s="48"/>
      <c r="T24" s="48"/>
      <c r="U24" s="48"/>
      <c r="V24" s="48"/>
      <c r="W24" s="48"/>
      <c r="X24" s="48"/>
      <c r="Y24" s="48"/>
      <c r="Z24" s="48"/>
    </row>
    <row r="25" ht="26.25" customHeight="1">
      <c r="A25" s="48">
        <v>24.0</v>
      </c>
      <c r="B25" s="48"/>
      <c r="C25" s="150" t="s">
        <v>1794</v>
      </c>
      <c r="D25" s="48" t="s">
        <v>1795</v>
      </c>
      <c r="E25" s="48"/>
      <c r="F25" s="48"/>
      <c r="G25" s="48"/>
      <c r="H25" s="48"/>
      <c r="I25" s="48"/>
      <c r="J25" s="48"/>
      <c r="K25" s="48"/>
      <c r="L25" s="48"/>
      <c r="M25" s="48"/>
      <c r="N25" s="48"/>
      <c r="O25" s="48"/>
      <c r="P25" s="48"/>
      <c r="Q25" s="48"/>
      <c r="R25" s="48"/>
      <c r="S25" s="48"/>
      <c r="T25" s="48"/>
      <c r="U25" s="48"/>
      <c r="V25" s="48"/>
      <c r="W25" s="48"/>
      <c r="X25" s="48"/>
      <c r="Y25" s="48"/>
      <c r="Z25" s="48"/>
    </row>
    <row r="26" ht="26.25" customHeight="1">
      <c r="A26" s="48">
        <v>25.0</v>
      </c>
      <c r="B26" s="48"/>
      <c r="C26" s="150" t="s">
        <v>1796</v>
      </c>
      <c r="D26" s="48" t="s">
        <v>1797</v>
      </c>
      <c r="E26" s="48"/>
      <c r="F26" s="48"/>
      <c r="G26" s="48"/>
      <c r="H26" s="48"/>
      <c r="I26" s="48"/>
      <c r="J26" s="48"/>
      <c r="K26" s="48"/>
      <c r="L26" s="48"/>
      <c r="M26" s="48"/>
      <c r="N26" s="48"/>
      <c r="O26" s="48"/>
      <c r="P26" s="48"/>
      <c r="Q26" s="48"/>
      <c r="R26" s="48"/>
      <c r="S26" s="48"/>
      <c r="T26" s="48"/>
      <c r="U26" s="48"/>
      <c r="V26" s="48"/>
      <c r="W26" s="48"/>
      <c r="X26" s="48"/>
      <c r="Y26" s="48"/>
      <c r="Z26" s="48"/>
    </row>
    <row r="27" ht="26.25" customHeight="1">
      <c r="A27" s="48"/>
      <c r="B27" s="149">
        <v>45952.0</v>
      </c>
      <c r="C27" s="150" t="s">
        <v>1798</v>
      </c>
      <c r="D27" s="48" t="s">
        <v>1799</v>
      </c>
      <c r="E27" s="48"/>
      <c r="F27" s="48"/>
      <c r="G27" s="48"/>
      <c r="H27" s="48"/>
      <c r="I27" s="48"/>
      <c r="J27" s="48"/>
      <c r="K27" s="48"/>
      <c r="L27" s="48"/>
      <c r="M27" s="48"/>
      <c r="N27" s="48"/>
      <c r="O27" s="48"/>
      <c r="P27" s="48"/>
      <c r="Q27" s="48"/>
      <c r="R27" s="48"/>
      <c r="S27" s="48"/>
      <c r="T27" s="48"/>
      <c r="U27" s="48"/>
      <c r="V27" s="48"/>
      <c r="W27" s="48"/>
      <c r="X27" s="48"/>
      <c r="Y27" s="48"/>
      <c r="Z27" s="48"/>
    </row>
    <row r="28" ht="26.25" customHeight="1">
      <c r="A28" s="48"/>
      <c r="B28" s="48"/>
      <c r="C28" s="150" t="s">
        <v>1800</v>
      </c>
      <c r="D28" s="48" t="s">
        <v>1801</v>
      </c>
      <c r="E28" s="48"/>
      <c r="F28" s="48"/>
      <c r="G28" s="48"/>
      <c r="H28" s="48"/>
      <c r="I28" s="48"/>
      <c r="J28" s="48"/>
      <c r="K28" s="48"/>
      <c r="L28" s="48"/>
      <c r="M28" s="48"/>
      <c r="N28" s="48"/>
      <c r="O28" s="48"/>
      <c r="P28" s="48"/>
      <c r="Q28" s="48"/>
      <c r="R28" s="48"/>
      <c r="S28" s="48"/>
      <c r="T28" s="48"/>
      <c r="U28" s="48"/>
      <c r="V28" s="48"/>
      <c r="W28" s="48"/>
      <c r="X28" s="48"/>
      <c r="Y28" s="48"/>
      <c r="Z28" s="48"/>
    </row>
    <row r="29" ht="26.25" customHeight="1">
      <c r="A29" s="48"/>
      <c r="B29" s="48"/>
      <c r="C29" s="150" t="s">
        <v>1802</v>
      </c>
      <c r="D29" s="48" t="s">
        <v>1803</v>
      </c>
      <c r="E29" s="48"/>
      <c r="F29" s="48"/>
      <c r="G29" s="48"/>
      <c r="H29" s="48"/>
      <c r="I29" s="48"/>
      <c r="J29" s="48"/>
      <c r="K29" s="48"/>
      <c r="L29" s="48"/>
      <c r="M29" s="48"/>
      <c r="N29" s="48"/>
      <c r="O29" s="48"/>
      <c r="P29" s="48"/>
      <c r="Q29" s="48"/>
      <c r="R29" s="48"/>
      <c r="S29" s="48"/>
      <c r="T29" s="48"/>
      <c r="U29" s="48"/>
      <c r="V29" s="48"/>
      <c r="W29" s="48"/>
      <c r="X29" s="48"/>
      <c r="Y29" s="48"/>
      <c r="Z29" s="48"/>
    </row>
    <row r="30" ht="26.25" customHeight="1">
      <c r="A30" s="48"/>
      <c r="B30" s="48"/>
      <c r="C30" s="150" t="s">
        <v>1804</v>
      </c>
      <c r="D30" s="48" t="s">
        <v>1805</v>
      </c>
      <c r="E30" s="48"/>
      <c r="F30" s="48"/>
      <c r="G30" s="48"/>
      <c r="H30" s="48"/>
      <c r="I30" s="48"/>
      <c r="J30" s="48"/>
      <c r="K30" s="48"/>
      <c r="L30" s="48"/>
      <c r="M30" s="48"/>
      <c r="N30" s="48"/>
      <c r="O30" s="48"/>
      <c r="P30" s="48"/>
      <c r="Q30" s="48"/>
      <c r="R30" s="48"/>
      <c r="S30" s="48"/>
      <c r="T30" s="48"/>
      <c r="U30" s="48"/>
      <c r="V30" s="48"/>
      <c r="W30" s="48"/>
      <c r="X30" s="48"/>
      <c r="Y30" s="48"/>
      <c r="Z30" s="48"/>
    </row>
    <row r="31" ht="26.25" customHeight="1">
      <c r="A31" s="48"/>
      <c r="B31" s="48"/>
      <c r="C31" s="150" t="s">
        <v>1806</v>
      </c>
      <c r="D31" s="48" t="s">
        <v>1807</v>
      </c>
      <c r="E31" s="48"/>
      <c r="F31" s="48"/>
      <c r="G31" s="48"/>
      <c r="H31" s="48"/>
      <c r="I31" s="48"/>
      <c r="J31" s="48"/>
      <c r="K31" s="48"/>
      <c r="L31" s="48"/>
      <c r="M31" s="48"/>
      <c r="N31" s="48"/>
      <c r="O31" s="48"/>
      <c r="P31" s="48"/>
      <c r="Q31" s="48"/>
      <c r="R31" s="48"/>
      <c r="S31" s="48"/>
      <c r="T31" s="48"/>
      <c r="U31" s="48"/>
      <c r="V31" s="48"/>
      <c r="W31" s="48"/>
      <c r="X31" s="48"/>
      <c r="Y31" s="48"/>
      <c r="Z31" s="48"/>
    </row>
    <row r="32" ht="26.25" customHeight="1">
      <c r="A32" s="48"/>
      <c r="B32" s="149">
        <v>45953.0</v>
      </c>
      <c r="C32" s="150" t="s">
        <v>1808</v>
      </c>
      <c r="D32" s="48" t="s">
        <v>1809</v>
      </c>
      <c r="E32" s="48"/>
      <c r="F32" s="48"/>
      <c r="G32" s="48"/>
      <c r="H32" s="48"/>
      <c r="I32" s="48"/>
      <c r="J32" s="48"/>
      <c r="K32" s="48"/>
      <c r="L32" s="48"/>
      <c r="M32" s="48"/>
      <c r="N32" s="48"/>
      <c r="O32" s="48"/>
      <c r="P32" s="48"/>
      <c r="Q32" s="48"/>
      <c r="R32" s="48"/>
      <c r="S32" s="48"/>
      <c r="T32" s="48"/>
      <c r="U32" s="48"/>
      <c r="V32" s="48"/>
      <c r="W32" s="48"/>
      <c r="X32" s="48"/>
      <c r="Y32" s="48"/>
      <c r="Z32" s="48"/>
    </row>
    <row r="33" ht="26.25" customHeight="1">
      <c r="A33" s="48"/>
      <c r="B33" s="48"/>
      <c r="C33" s="150" t="s">
        <v>1810</v>
      </c>
      <c r="D33" s="48" t="s">
        <v>1811</v>
      </c>
      <c r="E33" s="48"/>
      <c r="F33" s="48"/>
      <c r="G33" s="48"/>
      <c r="H33" s="48"/>
      <c r="I33" s="48"/>
      <c r="J33" s="48"/>
      <c r="K33" s="48"/>
      <c r="L33" s="48"/>
      <c r="M33" s="48"/>
      <c r="N33" s="48"/>
      <c r="O33" s="48"/>
      <c r="P33" s="48"/>
      <c r="Q33" s="48"/>
      <c r="R33" s="48"/>
      <c r="S33" s="48"/>
      <c r="T33" s="48"/>
      <c r="U33" s="48"/>
      <c r="V33" s="48"/>
      <c r="W33" s="48"/>
      <c r="X33" s="48"/>
      <c r="Y33" s="48"/>
      <c r="Z33" s="48"/>
    </row>
    <row r="34" ht="26.25" customHeight="1">
      <c r="A34" s="48"/>
      <c r="B34" s="48"/>
      <c r="C34" s="150" t="s">
        <v>1812</v>
      </c>
      <c r="D34" s="48" t="s">
        <v>1813</v>
      </c>
      <c r="E34" s="48"/>
      <c r="F34" s="48"/>
      <c r="G34" s="48"/>
      <c r="H34" s="48"/>
      <c r="I34" s="48"/>
      <c r="J34" s="48"/>
      <c r="K34" s="48"/>
      <c r="L34" s="48"/>
      <c r="M34" s="48"/>
      <c r="N34" s="48"/>
      <c r="O34" s="48"/>
      <c r="P34" s="48"/>
      <c r="Q34" s="48"/>
      <c r="R34" s="48"/>
      <c r="S34" s="48"/>
      <c r="T34" s="48"/>
      <c r="U34" s="48"/>
      <c r="V34" s="48"/>
      <c r="W34" s="48"/>
      <c r="X34" s="48"/>
      <c r="Y34" s="48"/>
      <c r="Z34" s="48"/>
    </row>
    <row r="35" ht="26.25" customHeight="1">
      <c r="A35" s="48"/>
      <c r="B35" s="48"/>
      <c r="C35" s="150" t="s">
        <v>1814</v>
      </c>
      <c r="D35" s="48" t="s">
        <v>1815</v>
      </c>
      <c r="E35" s="48"/>
      <c r="F35" s="48"/>
      <c r="G35" s="48"/>
      <c r="H35" s="48"/>
      <c r="I35" s="48"/>
      <c r="J35" s="48"/>
      <c r="K35" s="48"/>
      <c r="L35" s="48"/>
      <c r="M35" s="48"/>
      <c r="N35" s="48"/>
      <c r="O35" s="48"/>
      <c r="P35" s="48"/>
      <c r="Q35" s="48"/>
      <c r="R35" s="48"/>
      <c r="S35" s="48"/>
      <c r="T35" s="48"/>
      <c r="U35" s="48"/>
      <c r="V35" s="48"/>
      <c r="W35" s="48"/>
      <c r="X35" s="48"/>
      <c r="Y35" s="48"/>
      <c r="Z35" s="48"/>
    </row>
    <row r="36" ht="26.25" customHeight="1">
      <c r="A36" s="48"/>
      <c r="B36" s="48"/>
      <c r="C36" s="150" t="s">
        <v>1816</v>
      </c>
      <c r="D36" s="48" t="s">
        <v>1817</v>
      </c>
      <c r="E36" s="48"/>
      <c r="F36" s="48"/>
      <c r="G36" s="48"/>
      <c r="H36" s="48"/>
      <c r="I36" s="48"/>
      <c r="J36" s="48"/>
      <c r="K36" s="48"/>
      <c r="L36" s="48"/>
      <c r="M36" s="48"/>
      <c r="N36" s="48"/>
      <c r="O36" s="48"/>
      <c r="P36" s="48"/>
      <c r="Q36" s="48"/>
      <c r="R36" s="48"/>
      <c r="S36" s="48"/>
      <c r="T36" s="48"/>
      <c r="U36" s="48"/>
      <c r="V36" s="48"/>
      <c r="W36" s="48"/>
      <c r="X36" s="48"/>
      <c r="Y36" s="48"/>
      <c r="Z36" s="48"/>
    </row>
    <row r="37" ht="26.25" customHeight="1">
      <c r="A37" s="48"/>
      <c r="B37" s="149">
        <v>45954.0</v>
      </c>
      <c r="C37" s="150" t="s">
        <v>1818</v>
      </c>
      <c r="D37" s="48" t="s">
        <v>1819</v>
      </c>
      <c r="E37" s="48"/>
      <c r="F37" s="48"/>
      <c r="G37" s="48"/>
      <c r="H37" s="48"/>
      <c r="I37" s="48"/>
      <c r="J37" s="48"/>
      <c r="K37" s="48"/>
      <c r="L37" s="48"/>
      <c r="M37" s="48"/>
      <c r="N37" s="48"/>
      <c r="O37" s="48"/>
      <c r="P37" s="48"/>
      <c r="Q37" s="48"/>
      <c r="R37" s="48"/>
      <c r="S37" s="48"/>
      <c r="T37" s="48"/>
      <c r="U37" s="48"/>
      <c r="V37" s="48"/>
      <c r="W37" s="48"/>
      <c r="X37" s="48"/>
      <c r="Y37" s="48"/>
      <c r="Z37" s="48"/>
    </row>
    <row r="38" ht="26.25" customHeight="1">
      <c r="A38" s="48"/>
      <c r="B38" s="48"/>
      <c r="C38" s="150" t="s">
        <v>1820</v>
      </c>
      <c r="D38" s="48" t="s">
        <v>1821</v>
      </c>
      <c r="E38" s="48"/>
      <c r="F38" s="48"/>
      <c r="G38" s="48"/>
      <c r="H38" s="48"/>
      <c r="I38" s="48"/>
      <c r="J38" s="48"/>
      <c r="K38" s="48"/>
      <c r="L38" s="48"/>
      <c r="M38" s="48"/>
      <c r="N38" s="48"/>
      <c r="O38" s="48"/>
      <c r="P38" s="48"/>
      <c r="Q38" s="48"/>
      <c r="R38" s="48"/>
      <c r="S38" s="48"/>
      <c r="T38" s="48"/>
      <c r="U38" s="48"/>
      <c r="V38" s="48"/>
      <c r="W38" s="48"/>
      <c r="X38" s="48"/>
      <c r="Y38" s="48"/>
      <c r="Z38" s="48"/>
    </row>
    <row r="39" ht="26.25" customHeight="1">
      <c r="A39" s="48"/>
      <c r="B39" s="48"/>
      <c r="C39" s="150" t="s">
        <v>1822</v>
      </c>
      <c r="D39" s="48" t="s">
        <v>1823</v>
      </c>
      <c r="E39" s="48"/>
      <c r="F39" s="48"/>
      <c r="G39" s="48"/>
      <c r="H39" s="48"/>
      <c r="I39" s="48"/>
      <c r="J39" s="48"/>
      <c r="K39" s="48"/>
      <c r="L39" s="48"/>
      <c r="M39" s="48"/>
      <c r="N39" s="48"/>
      <c r="O39" s="48"/>
      <c r="P39" s="48"/>
      <c r="Q39" s="48"/>
      <c r="R39" s="48"/>
      <c r="S39" s="48"/>
      <c r="T39" s="48"/>
      <c r="U39" s="48"/>
      <c r="V39" s="48"/>
      <c r="W39" s="48"/>
      <c r="X39" s="48"/>
      <c r="Y39" s="48"/>
      <c r="Z39" s="48"/>
    </row>
    <row r="40" ht="26.25" customHeight="1">
      <c r="A40" s="48"/>
      <c r="B40" s="48"/>
      <c r="C40" s="150" t="s">
        <v>1824</v>
      </c>
      <c r="D40" s="48" t="s">
        <v>1825</v>
      </c>
      <c r="E40" s="48"/>
      <c r="F40" s="48"/>
      <c r="G40" s="48"/>
      <c r="H40" s="48"/>
      <c r="I40" s="48"/>
      <c r="J40" s="48"/>
      <c r="K40" s="48"/>
      <c r="L40" s="48"/>
      <c r="M40" s="48"/>
      <c r="N40" s="48"/>
      <c r="O40" s="48"/>
      <c r="P40" s="48"/>
      <c r="Q40" s="48"/>
      <c r="R40" s="48"/>
      <c r="S40" s="48"/>
      <c r="T40" s="48"/>
      <c r="U40" s="48"/>
      <c r="V40" s="48"/>
      <c r="W40" s="48"/>
      <c r="X40" s="48"/>
      <c r="Y40" s="48"/>
      <c r="Z40" s="48"/>
    </row>
    <row r="41" ht="26.25" customHeight="1">
      <c r="A41" s="48"/>
      <c r="B41" s="149">
        <v>45956.0</v>
      </c>
      <c r="C41" s="150" t="s">
        <v>1826</v>
      </c>
      <c r="D41" s="48" t="s">
        <v>1827</v>
      </c>
      <c r="E41" s="48"/>
      <c r="F41" s="48"/>
      <c r="G41" s="48"/>
      <c r="H41" s="48"/>
      <c r="I41" s="48"/>
      <c r="J41" s="48"/>
      <c r="K41" s="48"/>
      <c r="L41" s="48"/>
      <c r="M41" s="48"/>
      <c r="N41" s="48"/>
      <c r="O41" s="48"/>
      <c r="P41" s="48"/>
      <c r="Q41" s="48"/>
      <c r="R41" s="48"/>
      <c r="S41" s="48"/>
      <c r="T41" s="48"/>
      <c r="U41" s="48"/>
      <c r="V41" s="48"/>
      <c r="W41" s="48"/>
      <c r="X41" s="48"/>
      <c r="Y41" s="48"/>
      <c r="Z41" s="48"/>
    </row>
    <row r="42" ht="26.25" customHeight="1">
      <c r="A42" s="48"/>
      <c r="B42" s="149">
        <v>45957.0</v>
      </c>
      <c r="C42" s="150" t="s">
        <v>1828</v>
      </c>
      <c r="D42" s="48" t="s">
        <v>1829</v>
      </c>
      <c r="E42" s="48"/>
      <c r="F42" s="48"/>
      <c r="G42" s="48"/>
      <c r="H42" s="48"/>
      <c r="I42" s="48"/>
      <c r="J42" s="48"/>
      <c r="K42" s="48"/>
      <c r="L42" s="48"/>
      <c r="M42" s="48"/>
      <c r="N42" s="48"/>
      <c r="O42" s="48"/>
      <c r="P42" s="48"/>
      <c r="Q42" s="48"/>
      <c r="R42" s="48"/>
      <c r="S42" s="48"/>
      <c r="T42" s="48"/>
      <c r="U42" s="48"/>
      <c r="V42" s="48"/>
      <c r="W42" s="48"/>
      <c r="X42" s="48"/>
      <c r="Y42" s="48"/>
      <c r="Z42" s="48"/>
    </row>
    <row r="43" ht="26.25" customHeight="1">
      <c r="A43" s="48"/>
      <c r="B43" s="149">
        <v>45958.0</v>
      </c>
      <c r="C43" s="150" t="s">
        <v>1830</v>
      </c>
      <c r="D43" s="48" t="s">
        <v>1831</v>
      </c>
      <c r="E43" s="48"/>
      <c r="F43" s="48"/>
      <c r="G43" s="48"/>
      <c r="H43" s="48"/>
      <c r="I43" s="48"/>
      <c r="J43" s="48"/>
      <c r="K43" s="48"/>
      <c r="L43" s="48"/>
      <c r="M43" s="48"/>
      <c r="N43" s="48"/>
      <c r="O43" s="48"/>
      <c r="P43" s="48"/>
      <c r="Q43" s="48"/>
      <c r="R43" s="48"/>
      <c r="S43" s="48"/>
      <c r="T43" s="48"/>
      <c r="U43" s="48"/>
      <c r="V43" s="48"/>
      <c r="W43" s="48"/>
      <c r="X43" s="48"/>
      <c r="Y43" s="48"/>
      <c r="Z43" s="48"/>
    </row>
    <row r="44" ht="26.25" customHeight="1">
      <c r="A44" s="48"/>
      <c r="B44" s="48"/>
      <c r="C44" s="150" t="s">
        <v>1832</v>
      </c>
      <c r="D44" s="48" t="s">
        <v>1833</v>
      </c>
      <c r="E44" s="48"/>
      <c r="F44" s="48"/>
      <c r="G44" s="48"/>
      <c r="H44" s="48"/>
      <c r="I44" s="48"/>
      <c r="J44" s="48"/>
      <c r="K44" s="48"/>
      <c r="L44" s="48"/>
      <c r="M44" s="48"/>
      <c r="N44" s="48"/>
      <c r="O44" s="48"/>
      <c r="P44" s="48"/>
      <c r="Q44" s="48"/>
      <c r="R44" s="48"/>
      <c r="S44" s="48"/>
      <c r="T44" s="48"/>
      <c r="U44" s="48"/>
      <c r="V44" s="48"/>
      <c r="W44" s="48"/>
      <c r="X44" s="48"/>
      <c r="Y44" s="48"/>
      <c r="Z44" s="48"/>
    </row>
    <row r="45" ht="26.25" customHeight="1">
      <c r="C45" s="150" t="s">
        <v>1834</v>
      </c>
      <c r="D45" s="152" t="s">
        <v>1835</v>
      </c>
      <c r="E45" s="48"/>
      <c r="F45" s="48"/>
      <c r="G45" s="48"/>
      <c r="H45" s="48"/>
      <c r="I45" s="48"/>
      <c r="J45" s="48"/>
      <c r="K45" s="48"/>
      <c r="L45" s="48"/>
      <c r="M45" s="48"/>
      <c r="N45" s="48"/>
      <c r="O45" s="48"/>
      <c r="P45" s="48"/>
      <c r="Q45" s="48"/>
      <c r="R45" s="48"/>
      <c r="S45" s="48"/>
      <c r="T45" s="48"/>
      <c r="U45" s="48"/>
      <c r="V45" s="48"/>
      <c r="W45" s="48"/>
      <c r="X45" s="48"/>
      <c r="Y45" s="48"/>
      <c r="Z45" s="48"/>
    </row>
    <row r="46" ht="26.25" customHeight="1">
      <c r="A46" s="48"/>
      <c r="B46" s="48"/>
      <c r="C46" s="150" t="s">
        <v>1836</v>
      </c>
      <c r="D46" s="48" t="s">
        <v>1837</v>
      </c>
      <c r="E46" s="48"/>
      <c r="F46" s="48"/>
      <c r="G46" s="48"/>
      <c r="H46" s="48"/>
      <c r="I46" s="48"/>
      <c r="J46" s="48"/>
      <c r="K46" s="48"/>
      <c r="L46" s="48"/>
      <c r="M46" s="48"/>
      <c r="N46" s="48"/>
      <c r="O46" s="48"/>
      <c r="P46" s="48"/>
      <c r="Q46" s="48"/>
      <c r="R46" s="48"/>
      <c r="S46" s="48"/>
      <c r="T46" s="48"/>
      <c r="U46" s="48"/>
      <c r="V46" s="48"/>
      <c r="W46" s="48"/>
      <c r="X46" s="48"/>
      <c r="Y46" s="48"/>
      <c r="Z46" s="48"/>
    </row>
    <row r="47" ht="26.25" customHeight="1">
      <c r="A47" s="48"/>
      <c r="B47" s="48"/>
      <c r="C47" s="150" t="s">
        <v>1838</v>
      </c>
      <c r="D47" s="48" t="s">
        <v>1839</v>
      </c>
      <c r="E47" s="48"/>
      <c r="F47" s="48"/>
      <c r="G47" s="48"/>
      <c r="H47" s="48"/>
      <c r="I47" s="48"/>
      <c r="J47" s="48"/>
      <c r="K47" s="48"/>
      <c r="L47" s="48"/>
      <c r="M47" s="48"/>
      <c r="N47" s="48"/>
      <c r="O47" s="48"/>
      <c r="P47" s="48"/>
      <c r="Q47" s="48"/>
      <c r="R47" s="48"/>
      <c r="S47" s="48"/>
      <c r="T47" s="48"/>
      <c r="U47" s="48"/>
      <c r="V47" s="48"/>
      <c r="W47" s="48"/>
      <c r="X47" s="48"/>
      <c r="Y47" s="48"/>
      <c r="Z47" s="48"/>
    </row>
    <row r="48" ht="26.25" customHeight="1">
      <c r="A48" s="48"/>
      <c r="B48" s="48"/>
      <c r="C48" s="150" t="s">
        <v>1840</v>
      </c>
      <c r="D48" s="48" t="s">
        <v>1841</v>
      </c>
      <c r="E48" s="48"/>
      <c r="F48" s="48"/>
      <c r="G48" s="48"/>
      <c r="H48" s="48"/>
      <c r="I48" s="48"/>
      <c r="J48" s="48"/>
      <c r="K48" s="48"/>
      <c r="L48" s="48"/>
      <c r="M48" s="48"/>
      <c r="N48" s="48"/>
      <c r="O48" s="48"/>
      <c r="P48" s="48"/>
      <c r="Q48" s="48"/>
      <c r="R48" s="48"/>
      <c r="S48" s="48"/>
      <c r="T48" s="48"/>
      <c r="U48" s="48"/>
      <c r="V48" s="48"/>
      <c r="W48" s="48"/>
      <c r="X48" s="48"/>
      <c r="Y48" s="48"/>
      <c r="Z48" s="48"/>
    </row>
    <row r="49" ht="26.25" customHeight="1">
      <c r="A49" s="48"/>
      <c r="B49" s="149">
        <v>45959.0</v>
      </c>
      <c r="C49" s="150" t="s">
        <v>1842</v>
      </c>
      <c r="D49" s="48" t="s">
        <v>1843</v>
      </c>
      <c r="E49" s="48"/>
      <c r="F49" s="48"/>
      <c r="G49" s="48"/>
      <c r="H49" s="48"/>
      <c r="I49" s="48"/>
      <c r="J49" s="48"/>
      <c r="K49" s="48"/>
      <c r="L49" s="48"/>
      <c r="M49" s="48"/>
      <c r="N49" s="48"/>
      <c r="O49" s="48"/>
      <c r="P49" s="48"/>
      <c r="Q49" s="48"/>
      <c r="R49" s="48"/>
      <c r="S49" s="48"/>
      <c r="T49" s="48"/>
      <c r="U49" s="48"/>
      <c r="V49" s="48"/>
      <c r="W49" s="48"/>
      <c r="X49" s="48"/>
      <c r="Y49" s="48"/>
      <c r="Z49" s="48"/>
    </row>
    <row r="50" ht="26.25" customHeight="1">
      <c r="A50" s="48"/>
      <c r="B50" s="48"/>
      <c r="C50" s="150" t="s">
        <v>1844</v>
      </c>
      <c r="D50" s="150" t="s">
        <v>1845</v>
      </c>
      <c r="E50" s="48"/>
      <c r="F50" s="48"/>
      <c r="G50" s="48"/>
      <c r="H50" s="48"/>
      <c r="I50" s="48"/>
      <c r="J50" s="48"/>
      <c r="K50" s="48"/>
      <c r="L50" s="48"/>
      <c r="M50" s="48"/>
      <c r="N50" s="48"/>
      <c r="O50" s="48"/>
      <c r="P50" s="48"/>
      <c r="Q50" s="48"/>
      <c r="R50" s="48"/>
      <c r="S50" s="48"/>
      <c r="T50" s="48"/>
      <c r="U50" s="48"/>
      <c r="V50" s="48"/>
      <c r="W50" s="48"/>
      <c r="X50" s="48"/>
      <c r="Y50" s="48"/>
      <c r="Z50" s="48"/>
    </row>
    <row r="51" ht="26.25" customHeight="1">
      <c r="A51" s="48"/>
      <c r="B51" s="48"/>
      <c r="C51" s="150" t="s">
        <v>1846</v>
      </c>
      <c r="D51" s="150" t="s">
        <v>1847</v>
      </c>
      <c r="E51" s="48"/>
      <c r="F51" s="48"/>
      <c r="G51" s="48"/>
      <c r="H51" s="48"/>
      <c r="I51" s="48"/>
      <c r="J51" s="48"/>
      <c r="K51" s="48"/>
      <c r="L51" s="48"/>
      <c r="M51" s="48"/>
      <c r="N51" s="48"/>
      <c r="O51" s="48"/>
      <c r="P51" s="48"/>
      <c r="Q51" s="48"/>
      <c r="R51" s="48"/>
      <c r="S51" s="48"/>
      <c r="T51" s="48"/>
      <c r="U51" s="48"/>
      <c r="V51" s="48"/>
      <c r="W51" s="48"/>
      <c r="X51" s="48"/>
      <c r="Y51" s="48"/>
      <c r="Z51" s="48"/>
    </row>
    <row r="52" ht="26.25" customHeight="1">
      <c r="A52" s="48"/>
      <c r="B52" s="48"/>
      <c r="C52" s="150" t="s">
        <v>1848</v>
      </c>
      <c r="D52" s="48" t="s">
        <v>1849</v>
      </c>
      <c r="E52" s="48"/>
      <c r="F52" s="48"/>
      <c r="G52" s="48"/>
      <c r="H52" s="48"/>
      <c r="I52" s="48"/>
      <c r="J52" s="48"/>
      <c r="K52" s="48"/>
      <c r="L52" s="48"/>
      <c r="M52" s="48"/>
      <c r="N52" s="48"/>
      <c r="O52" s="48"/>
      <c r="P52" s="48"/>
      <c r="Q52" s="48"/>
      <c r="R52" s="48"/>
      <c r="S52" s="48"/>
      <c r="T52" s="48"/>
      <c r="U52" s="48"/>
      <c r="V52" s="48"/>
      <c r="W52" s="48"/>
      <c r="X52" s="48"/>
      <c r="Y52" s="48"/>
      <c r="Z52" s="48"/>
    </row>
    <row r="53" ht="26.25" customHeight="1">
      <c r="A53" s="48"/>
      <c r="B53" s="48"/>
      <c r="C53" s="150" t="s">
        <v>1850</v>
      </c>
      <c r="D53" s="150" t="s">
        <v>1851</v>
      </c>
      <c r="E53" s="48"/>
      <c r="F53" s="48"/>
      <c r="G53" s="48"/>
      <c r="H53" s="48"/>
      <c r="I53" s="48"/>
      <c r="J53" s="48"/>
      <c r="K53" s="48"/>
      <c r="L53" s="48"/>
      <c r="M53" s="48"/>
      <c r="N53" s="48"/>
      <c r="O53" s="48"/>
      <c r="P53" s="48"/>
      <c r="Q53" s="48"/>
      <c r="R53" s="48"/>
      <c r="S53" s="48"/>
      <c r="T53" s="48"/>
      <c r="U53" s="48"/>
      <c r="V53" s="48"/>
      <c r="W53" s="48"/>
      <c r="X53" s="48"/>
      <c r="Y53" s="48"/>
      <c r="Z53" s="48"/>
    </row>
    <row r="54" ht="26.25" customHeight="1">
      <c r="A54" s="48"/>
      <c r="B54" s="48"/>
      <c r="C54" s="150" t="s">
        <v>1852</v>
      </c>
      <c r="D54" s="48" t="s">
        <v>1853</v>
      </c>
      <c r="E54" s="48"/>
      <c r="F54" s="48"/>
      <c r="G54" s="48"/>
      <c r="H54" s="48"/>
      <c r="I54" s="48"/>
      <c r="J54" s="48"/>
      <c r="K54" s="48"/>
      <c r="L54" s="48"/>
      <c r="M54" s="48"/>
      <c r="N54" s="48"/>
      <c r="O54" s="48"/>
      <c r="P54" s="48"/>
      <c r="Q54" s="48"/>
      <c r="R54" s="48"/>
      <c r="S54" s="48"/>
      <c r="T54" s="48"/>
      <c r="U54" s="48"/>
      <c r="V54" s="48"/>
      <c r="W54" s="48"/>
      <c r="X54" s="48"/>
      <c r="Y54" s="48"/>
      <c r="Z54" s="48"/>
    </row>
    <row r="55" ht="26.25" customHeight="1">
      <c r="A55" s="48"/>
      <c r="B55" s="149">
        <v>45960.0</v>
      </c>
      <c r="C55" s="150" t="s">
        <v>1854</v>
      </c>
      <c r="D55" s="48" t="s">
        <v>1855</v>
      </c>
      <c r="E55" s="48"/>
      <c r="F55" s="48"/>
      <c r="G55" s="48"/>
      <c r="H55" s="48"/>
      <c r="I55" s="48"/>
      <c r="J55" s="48"/>
      <c r="K55" s="48"/>
      <c r="L55" s="48"/>
      <c r="M55" s="48"/>
      <c r="N55" s="48"/>
      <c r="O55" s="48"/>
      <c r="P55" s="48"/>
      <c r="Q55" s="48"/>
      <c r="R55" s="48"/>
      <c r="S55" s="48"/>
      <c r="T55" s="48"/>
      <c r="U55" s="48"/>
      <c r="V55" s="48"/>
      <c r="W55" s="48"/>
      <c r="X55" s="48"/>
      <c r="Y55" s="48"/>
      <c r="Z55" s="48"/>
    </row>
    <row r="56" ht="26.25" customHeight="1">
      <c r="A56" s="48"/>
      <c r="B56" s="48"/>
      <c r="C56" s="150" t="s">
        <v>1856</v>
      </c>
      <c r="D56" s="48" t="s">
        <v>1857</v>
      </c>
      <c r="E56" s="48"/>
      <c r="F56" s="48"/>
      <c r="G56" s="48"/>
      <c r="H56" s="48"/>
      <c r="I56" s="48"/>
      <c r="J56" s="48"/>
      <c r="K56" s="48"/>
      <c r="L56" s="48"/>
      <c r="M56" s="48"/>
      <c r="N56" s="48"/>
      <c r="O56" s="48"/>
      <c r="P56" s="48"/>
      <c r="Q56" s="48"/>
      <c r="R56" s="48"/>
      <c r="S56" s="48"/>
      <c r="T56" s="48"/>
      <c r="U56" s="48"/>
      <c r="V56" s="48"/>
      <c r="W56" s="48"/>
      <c r="X56" s="48"/>
      <c r="Y56" s="48"/>
      <c r="Z56" s="48"/>
    </row>
    <row r="57" ht="26.25" customHeight="1">
      <c r="A57" s="48"/>
      <c r="B57" s="149">
        <v>45961.0</v>
      </c>
      <c r="C57" s="150" t="s">
        <v>1858</v>
      </c>
      <c r="D57" s="48" t="s">
        <v>1859</v>
      </c>
      <c r="E57" s="48"/>
      <c r="F57" s="48"/>
      <c r="G57" s="48"/>
      <c r="H57" s="48"/>
      <c r="I57" s="48"/>
      <c r="J57" s="48"/>
      <c r="K57" s="48"/>
      <c r="L57" s="48"/>
      <c r="M57" s="48"/>
      <c r="N57" s="48"/>
      <c r="O57" s="48"/>
      <c r="P57" s="48"/>
      <c r="Q57" s="48"/>
      <c r="R57" s="48"/>
      <c r="S57" s="48"/>
      <c r="T57" s="48"/>
      <c r="U57" s="48"/>
      <c r="V57" s="48"/>
      <c r="W57" s="48"/>
      <c r="X57" s="48"/>
      <c r="Y57" s="48"/>
      <c r="Z57" s="48"/>
    </row>
    <row r="58" ht="26.25" customHeight="1">
      <c r="A58" s="48"/>
      <c r="B58" s="48"/>
      <c r="C58" s="150" t="s">
        <v>1860</v>
      </c>
      <c r="D58" s="48" t="s">
        <v>1861</v>
      </c>
      <c r="E58" s="48"/>
      <c r="F58" s="48"/>
      <c r="G58" s="48"/>
      <c r="H58" s="48"/>
      <c r="I58" s="48"/>
      <c r="J58" s="48"/>
      <c r="K58" s="48"/>
      <c r="L58" s="48"/>
      <c r="M58" s="48"/>
      <c r="N58" s="48"/>
      <c r="O58" s="48"/>
      <c r="P58" s="48"/>
      <c r="Q58" s="48"/>
      <c r="R58" s="48"/>
      <c r="S58" s="48"/>
      <c r="T58" s="48"/>
      <c r="U58" s="48"/>
      <c r="V58" s="48"/>
      <c r="W58" s="48"/>
      <c r="X58" s="48"/>
      <c r="Y58" s="48"/>
      <c r="Z58" s="48"/>
    </row>
    <row r="59" ht="26.25" customHeight="1">
      <c r="A59" s="48"/>
      <c r="B59" s="48"/>
      <c r="C59" s="150" t="s">
        <v>1862</v>
      </c>
      <c r="D59" s="48" t="s">
        <v>1863</v>
      </c>
      <c r="E59" s="48"/>
      <c r="F59" s="48"/>
      <c r="G59" s="48"/>
      <c r="H59" s="48"/>
      <c r="I59" s="48"/>
      <c r="J59" s="48"/>
      <c r="K59" s="48"/>
      <c r="L59" s="48"/>
      <c r="M59" s="48"/>
      <c r="N59" s="48"/>
      <c r="O59" s="48"/>
      <c r="P59" s="48"/>
      <c r="Q59" s="48"/>
      <c r="R59" s="48"/>
      <c r="S59" s="48"/>
      <c r="T59" s="48"/>
      <c r="U59" s="48"/>
      <c r="V59" s="48"/>
      <c r="W59" s="48"/>
      <c r="X59" s="48"/>
      <c r="Y59" s="48"/>
      <c r="Z59" s="48"/>
    </row>
    <row r="60" ht="26.25" customHeight="1">
      <c r="A60" s="48"/>
      <c r="B60" s="48"/>
      <c r="C60" s="150" t="s">
        <v>1864</v>
      </c>
      <c r="D60" s="38" t="s">
        <v>1865</v>
      </c>
      <c r="E60" s="48"/>
      <c r="F60" s="48"/>
      <c r="G60" s="48"/>
      <c r="H60" s="48"/>
      <c r="I60" s="48"/>
      <c r="J60" s="48"/>
      <c r="K60" s="48"/>
      <c r="L60" s="48"/>
      <c r="M60" s="48"/>
      <c r="N60" s="48"/>
      <c r="O60" s="48"/>
      <c r="P60" s="48"/>
      <c r="Q60" s="48"/>
      <c r="R60" s="48"/>
      <c r="S60" s="48"/>
      <c r="T60" s="48"/>
      <c r="U60" s="48"/>
      <c r="V60" s="48"/>
      <c r="W60" s="48"/>
      <c r="X60" s="48"/>
      <c r="Y60" s="48"/>
      <c r="Z60" s="48"/>
    </row>
    <row r="61" ht="26.25" customHeight="1">
      <c r="A61" s="48"/>
      <c r="B61" s="153">
        <v>45963.0</v>
      </c>
      <c r="C61" s="150" t="s">
        <v>1866</v>
      </c>
      <c r="D61" s="38" t="s">
        <v>1867</v>
      </c>
      <c r="E61" s="48"/>
      <c r="F61" s="48"/>
      <c r="G61" s="48"/>
      <c r="H61" s="48"/>
      <c r="I61" s="48"/>
      <c r="J61" s="48"/>
      <c r="K61" s="48"/>
      <c r="L61" s="48"/>
      <c r="M61" s="48"/>
      <c r="N61" s="48"/>
      <c r="O61" s="48"/>
      <c r="P61" s="48"/>
      <c r="Q61" s="48"/>
      <c r="R61" s="48"/>
      <c r="S61" s="48"/>
      <c r="T61" s="48"/>
      <c r="U61" s="48"/>
      <c r="V61" s="48"/>
      <c r="W61" s="48"/>
      <c r="X61" s="48"/>
      <c r="Y61" s="48"/>
      <c r="Z61" s="48"/>
    </row>
    <row r="62" ht="26.25" customHeight="1">
      <c r="A62" s="38">
        <v>1.0</v>
      </c>
      <c r="B62" s="153">
        <v>45964.0</v>
      </c>
      <c r="C62" s="150" t="s">
        <v>1868</v>
      </c>
      <c r="D62" s="38" t="s">
        <v>1869</v>
      </c>
      <c r="E62" s="48"/>
      <c r="F62" s="48"/>
      <c r="G62" s="48"/>
      <c r="H62" s="48"/>
      <c r="I62" s="48"/>
      <c r="J62" s="48"/>
      <c r="K62" s="48"/>
      <c r="L62" s="48"/>
      <c r="M62" s="48"/>
      <c r="N62" s="48"/>
      <c r="O62" s="48"/>
      <c r="P62" s="48"/>
      <c r="Q62" s="48"/>
      <c r="R62" s="48"/>
      <c r="S62" s="48"/>
      <c r="T62" s="48"/>
      <c r="U62" s="48"/>
      <c r="V62" s="48"/>
      <c r="W62" s="48"/>
      <c r="X62" s="48"/>
      <c r="Y62" s="48"/>
      <c r="Z62" s="48"/>
    </row>
    <row r="63" ht="26.25" customHeight="1">
      <c r="A63" s="38">
        <v>2.0</v>
      </c>
      <c r="B63" s="48"/>
      <c r="C63" s="129" t="s">
        <v>1870</v>
      </c>
      <c r="D63" s="38" t="s">
        <v>1871</v>
      </c>
      <c r="E63" s="38" t="s">
        <v>1872</v>
      </c>
      <c r="F63" s="38" t="s">
        <v>1873</v>
      </c>
      <c r="G63" s="38" t="s">
        <v>1874</v>
      </c>
      <c r="H63" s="38" t="s">
        <v>1875</v>
      </c>
      <c r="I63" s="38" t="s">
        <v>1876</v>
      </c>
      <c r="J63" s="48"/>
      <c r="K63" s="48"/>
      <c r="L63" s="48"/>
      <c r="M63" s="48"/>
      <c r="N63" s="48"/>
      <c r="O63" s="48"/>
      <c r="P63" s="48"/>
      <c r="Q63" s="48"/>
      <c r="R63" s="48"/>
      <c r="S63" s="48"/>
      <c r="T63" s="48"/>
      <c r="U63" s="48"/>
      <c r="V63" s="48"/>
      <c r="W63" s="48"/>
      <c r="X63" s="48"/>
      <c r="Y63" s="48"/>
      <c r="Z63" s="48"/>
    </row>
    <row r="64" ht="26.25" customHeight="1">
      <c r="A64" s="38">
        <v>3.0</v>
      </c>
      <c r="B64" s="48"/>
      <c r="C64" s="129" t="s">
        <v>1877</v>
      </c>
      <c r="D64" s="38" t="s">
        <v>1878</v>
      </c>
      <c r="E64" s="48"/>
      <c r="F64" s="48"/>
      <c r="G64" s="48"/>
      <c r="H64" s="48"/>
      <c r="I64" s="48"/>
      <c r="J64" s="48"/>
      <c r="K64" s="48"/>
      <c r="L64" s="48"/>
      <c r="M64" s="48"/>
      <c r="N64" s="48"/>
      <c r="O64" s="48"/>
      <c r="P64" s="48"/>
      <c r="Q64" s="48"/>
      <c r="R64" s="48"/>
      <c r="S64" s="48"/>
      <c r="T64" s="48"/>
      <c r="U64" s="48"/>
      <c r="V64" s="48"/>
      <c r="W64" s="48"/>
      <c r="X64" s="48"/>
      <c r="Y64" s="48"/>
      <c r="Z64" s="48"/>
    </row>
    <row r="65" ht="26.25" customHeight="1">
      <c r="A65" s="38">
        <v>4.0</v>
      </c>
      <c r="B65" s="48"/>
      <c r="C65" s="129" t="s">
        <v>1879</v>
      </c>
      <c r="D65" s="154" t="s">
        <v>1880</v>
      </c>
      <c r="E65" s="48"/>
      <c r="F65" s="48"/>
      <c r="G65" s="48"/>
      <c r="H65" s="48"/>
      <c r="I65" s="48"/>
      <c r="J65" s="48"/>
      <c r="K65" s="48"/>
      <c r="L65" s="48"/>
      <c r="M65" s="48"/>
      <c r="N65" s="48"/>
      <c r="O65" s="48"/>
      <c r="P65" s="48"/>
      <c r="Q65" s="48"/>
      <c r="R65" s="48"/>
      <c r="S65" s="48"/>
      <c r="T65" s="48"/>
      <c r="U65" s="48"/>
      <c r="V65" s="48"/>
      <c r="W65" s="48"/>
      <c r="X65" s="48"/>
      <c r="Y65" s="48"/>
      <c r="Z65" s="48"/>
    </row>
    <row r="66" ht="26.25" customHeight="1">
      <c r="A66" s="38">
        <v>5.0</v>
      </c>
      <c r="B66" s="48"/>
      <c r="C66" s="129" t="s">
        <v>1881</v>
      </c>
      <c r="D66" s="38" t="s">
        <v>1882</v>
      </c>
      <c r="E66" s="48"/>
      <c r="F66" s="48"/>
      <c r="G66" s="48"/>
      <c r="H66" s="48"/>
      <c r="I66" s="48"/>
      <c r="J66" s="48"/>
      <c r="K66" s="48"/>
      <c r="L66" s="48"/>
      <c r="M66" s="48"/>
      <c r="N66" s="48"/>
      <c r="O66" s="48"/>
      <c r="P66" s="48"/>
      <c r="Q66" s="48"/>
      <c r="R66" s="48"/>
      <c r="S66" s="48"/>
      <c r="T66" s="48"/>
      <c r="U66" s="48"/>
      <c r="V66" s="48"/>
      <c r="W66" s="48"/>
      <c r="X66" s="48"/>
      <c r="Y66" s="48"/>
      <c r="Z66" s="48"/>
    </row>
    <row r="67" ht="26.25" customHeight="1">
      <c r="A67" s="38">
        <v>6.0</v>
      </c>
      <c r="B67" s="153">
        <v>45965.0</v>
      </c>
      <c r="C67" s="129" t="s">
        <v>1883</v>
      </c>
      <c r="D67" s="38" t="s">
        <v>1884</v>
      </c>
      <c r="E67" s="48"/>
      <c r="F67" s="48"/>
      <c r="G67" s="48"/>
      <c r="H67" s="48"/>
      <c r="I67" s="48"/>
      <c r="J67" s="48"/>
      <c r="K67" s="48"/>
      <c r="L67" s="48"/>
      <c r="M67" s="48"/>
      <c r="N67" s="48"/>
      <c r="O67" s="48"/>
      <c r="P67" s="48"/>
      <c r="Q67" s="48"/>
      <c r="R67" s="48"/>
      <c r="S67" s="48"/>
      <c r="T67" s="48"/>
      <c r="U67" s="48"/>
      <c r="V67" s="48"/>
      <c r="W67" s="48"/>
      <c r="X67" s="48"/>
      <c r="Y67" s="48"/>
      <c r="Z67" s="48"/>
    </row>
    <row r="68" ht="26.25" customHeight="1">
      <c r="A68" s="38">
        <v>7.0</v>
      </c>
      <c r="B68" s="48"/>
      <c r="C68" s="129" t="s">
        <v>1885</v>
      </c>
      <c r="D68" s="38" t="s">
        <v>1886</v>
      </c>
      <c r="E68" s="48"/>
      <c r="F68" s="48"/>
      <c r="G68" s="48"/>
      <c r="H68" s="48"/>
      <c r="I68" s="48"/>
      <c r="J68" s="48"/>
      <c r="K68" s="48"/>
      <c r="L68" s="48"/>
      <c r="M68" s="48"/>
      <c r="N68" s="48"/>
      <c r="O68" s="48"/>
      <c r="P68" s="48"/>
      <c r="Q68" s="48"/>
      <c r="R68" s="48"/>
      <c r="S68" s="48"/>
      <c r="T68" s="48"/>
      <c r="U68" s="48"/>
      <c r="V68" s="48"/>
      <c r="W68" s="48"/>
      <c r="X68" s="48"/>
      <c r="Y68" s="48"/>
      <c r="Z68" s="48"/>
    </row>
    <row r="69" ht="26.25" customHeight="1">
      <c r="A69" s="38">
        <v>8.0</v>
      </c>
      <c r="B69" s="48"/>
      <c r="C69" s="129" t="s">
        <v>1887</v>
      </c>
      <c r="D69" s="38" t="s">
        <v>1888</v>
      </c>
      <c r="E69" s="48"/>
      <c r="F69" s="48"/>
      <c r="G69" s="48"/>
      <c r="H69" s="48"/>
      <c r="I69" s="48"/>
      <c r="J69" s="48"/>
      <c r="K69" s="48"/>
      <c r="L69" s="48"/>
      <c r="M69" s="48"/>
      <c r="N69" s="48"/>
      <c r="O69" s="48"/>
      <c r="P69" s="48"/>
      <c r="Q69" s="48"/>
      <c r="R69" s="48"/>
      <c r="S69" s="48"/>
      <c r="T69" s="48"/>
      <c r="U69" s="48"/>
      <c r="V69" s="48"/>
      <c r="W69" s="48"/>
      <c r="X69" s="48"/>
      <c r="Y69" s="48"/>
      <c r="Z69" s="48"/>
    </row>
    <row r="70" ht="26.25" customHeight="1">
      <c r="A70" s="38">
        <v>9.0</v>
      </c>
      <c r="B70" s="48"/>
      <c r="C70" s="129" t="s">
        <v>1889</v>
      </c>
      <c r="D70" s="38" t="s">
        <v>1890</v>
      </c>
      <c r="E70" s="48"/>
      <c r="F70" s="48"/>
      <c r="G70" s="48"/>
      <c r="H70" s="48"/>
      <c r="I70" s="48"/>
      <c r="J70" s="48"/>
      <c r="K70" s="48"/>
      <c r="L70" s="48"/>
      <c r="M70" s="48"/>
      <c r="N70" s="48"/>
      <c r="O70" s="48"/>
      <c r="P70" s="48"/>
      <c r="Q70" s="48"/>
      <c r="R70" s="48"/>
      <c r="S70" s="48"/>
      <c r="T70" s="48"/>
      <c r="U70" s="48"/>
      <c r="V70" s="48"/>
      <c r="W70" s="48"/>
      <c r="X70" s="48"/>
      <c r="Y70" s="48"/>
      <c r="Z70" s="48"/>
    </row>
    <row r="71" ht="26.25" customHeight="1">
      <c r="A71" s="38">
        <v>10.0</v>
      </c>
      <c r="B71" s="48"/>
      <c r="C71" s="129" t="s">
        <v>1891</v>
      </c>
      <c r="D71" s="38" t="s">
        <v>1892</v>
      </c>
      <c r="E71" s="48"/>
      <c r="F71" s="48"/>
      <c r="G71" s="48"/>
      <c r="H71" s="48"/>
      <c r="I71" s="48"/>
      <c r="J71" s="48"/>
      <c r="K71" s="48"/>
      <c r="L71" s="48"/>
      <c r="M71" s="48"/>
      <c r="N71" s="48"/>
      <c r="O71" s="48"/>
      <c r="P71" s="48"/>
      <c r="Q71" s="48"/>
      <c r="R71" s="48"/>
      <c r="S71" s="48"/>
      <c r="T71" s="48"/>
      <c r="U71" s="48"/>
      <c r="V71" s="48"/>
      <c r="W71" s="48"/>
      <c r="X71" s="48"/>
      <c r="Y71" s="48"/>
      <c r="Z71" s="48"/>
    </row>
    <row r="72" ht="26.25" customHeight="1">
      <c r="A72" s="38">
        <v>11.0</v>
      </c>
      <c r="B72" s="153">
        <v>45966.0</v>
      </c>
      <c r="C72" s="129" t="s">
        <v>1893</v>
      </c>
      <c r="D72" s="38" t="s">
        <v>1894</v>
      </c>
      <c r="E72" s="48"/>
      <c r="F72" s="48"/>
      <c r="G72" s="48"/>
      <c r="H72" s="48"/>
      <c r="I72" s="48"/>
      <c r="J72" s="48"/>
      <c r="K72" s="48"/>
      <c r="L72" s="48"/>
      <c r="M72" s="48"/>
      <c r="N72" s="48"/>
      <c r="O72" s="48"/>
      <c r="P72" s="48"/>
      <c r="Q72" s="48"/>
      <c r="R72" s="48"/>
      <c r="S72" s="48"/>
      <c r="T72" s="48"/>
      <c r="U72" s="48"/>
      <c r="V72" s="48"/>
      <c r="W72" s="48"/>
      <c r="X72" s="48"/>
      <c r="Y72" s="48"/>
      <c r="Z72" s="48"/>
    </row>
    <row r="73" ht="26.25" customHeight="1">
      <c r="A73" s="38">
        <v>12.0</v>
      </c>
      <c r="B73" s="48"/>
      <c r="C73" s="129" t="s">
        <v>1895</v>
      </c>
      <c r="D73" s="155" t="s">
        <v>1896</v>
      </c>
      <c r="E73" s="48"/>
      <c r="F73" s="69"/>
      <c r="G73" s="48"/>
      <c r="H73" s="48"/>
      <c r="I73" s="48"/>
      <c r="J73" s="48"/>
      <c r="K73" s="48"/>
      <c r="L73" s="48"/>
      <c r="M73" s="48"/>
      <c r="N73" s="48"/>
      <c r="O73" s="48"/>
      <c r="P73" s="48"/>
      <c r="Q73" s="48"/>
      <c r="R73" s="48"/>
      <c r="S73" s="48"/>
      <c r="T73" s="48"/>
      <c r="U73" s="48"/>
      <c r="V73" s="48"/>
      <c r="W73" s="48"/>
      <c r="X73" s="48"/>
      <c r="Y73" s="48"/>
      <c r="Z73" s="48"/>
    </row>
    <row r="74" ht="26.25" customHeight="1">
      <c r="A74" s="38">
        <v>13.0</v>
      </c>
      <c r="B74" s="48"/>
      <c r="C74" s="129" t="s">
        <v>1897</v>
      </c>
      <c r="D74" s="38" t="s">
        <v>1898</v>
      </c>
      <c r="E74" s="48"/>
      <c r="F74" s="99"/>
      <c r="G74" s="48"/>
      <c r="H74" s="48"/>
      <c r="I74" s="48"/>
      <c r="J74" s="48"/>
      <c r="K74" s="48"/>
      <c r="L74" s="48"/>
      <c r="M74" s="48"/>
      <c r="N74" s="48"/>
      <c r="O74" s="48"/>
      <c r="P74" s="48"/>
      <c r="Q74" s="48"/>
      <c r="R74" s="48"/>
      <c r="S74" s="48"/>
      <c r="T74" s="48"/>
      <c r="U74" s="48"/>
      <c r="V74" s="48"/>
      <c r="W74" s="48"/>
      <c r="X74" s="48"/>
      <c r="Y74" s="48"/>
      <c r="Z74" s="48"/>
    </row>
    <row r="75" ht="26.25" customHeight="1">
      <c r="A75" s="38">
        <v>14.0</v>
      </c>
      <c r="B75" s="48"/>
      <c r="C75" s="129" t="s">
        <v>1899</v>
      </c>
      <c r="D75" s="38" t="s">
        <v>1900</v>
      </c>
      <c r="E75" s="48"/>
      <c r="F75" s="156"/>
      <c r="G75" s="48"/>
      <c r="H75" s="48"/>
      <c r="I75" s="48"/>
      <c r="J75" s="48"/>
      <c r="K75" s="48"/>
      <c r="L75" s="48"/>
      <c r="M75" s="48"/>
      <c r="N75" s="48"/>
      <c r="O75" s="48"/>
      <c r="P75" s="48"/>
      <c r="Q75" s="48"/>
      <c r="R75" s="48"/>
      <c r="S75" s="48"/>
      <c r="T75" s="48"/>
      <c r="U75" s="48"/>
      <c r="V75" s="48"/>
      <c r="W75" s="48"/>
      <c r="X75" s="48"/>
      <c r="Y75" s="48"/>
      <c r="Z75" s="48"/>
    </row>
    <row r="76" ht="26.25" customHeight="1">
      <c r="A76" s="38">
        <v>15.0</v>
      </c>
      <c r="B76" s="48"/>
      <c r="C76" s="129" t="s">
        <v>1901</v>
      </c>
      <c r="D76" s="38" t="s">
        <v>1902</v>
      </c>
      <c r="E76" s="48"/>
      <c r="F76" s="69"/>
      <c r="G76" s="48"/>
      <c r="H76" s="48"/>
      <c r="I76" s="48"/>
      <c r="J76" s="48"/>
      <c r="K76" s="48"/>
      <c r="L76" s="48"/>
      <c r="M76" s="48"/>
      <c r="N76" s="48"/>
      <c r="O76" s="48"/>
      <c r="P76" s="48"/>
      <c r="Q76" s="48"/>
      <c r="R76" s="48"/>
      <c r="S76" s="48"/>
      <c r="T76" s="48"/>
      <c r="U76" s="48"/>
      <c r="V76" s="48"/>
      <c r="W76" s="48"/>
      <c r="X76" s="48"/>
      <c r="Y76" s="48"/>
      <c r="Z76" s="48"/>
    </row>
    <row r="77" ht="26.25" customHeight="1">
      <c r="A77" s="38">
        <v>16.0</v>
      </c>
      <c r="B77" s="153">
        <v>45967.0</v>
      </c>
      <c r="C77" s="129" t="s">
        <v>1903</v>
      </c>
      <c r="D77" s="155" t="s">
        <v>1904</v>
      </c>
      <c r="E77" s="69" t="s">
        <v>1905</v>
      </c>
      <c r="F77" s="69" t="s">
        <v>1906</v>
      </c>
      <c r="G77" s="69" t="s">
        <v>1907</v>
      </c>
      <c r="H77" s="69" t="s">
        <v>1908</v>
      </c>
      <c r="I77" s="69" t="s">
        <v>1909</v>
      </c>
      <c r="J77" s="48"/>
      <c r="K77" s="48"/>
      <c r="L77" s="48"/>
      <c r="M77" s="48"/>
      <c r="N77" s="48"/>
      <c r="O77" s="48"/>
      <c r="P77" s="48"/>
      <c r="Q77" s="48"/>
      <c r="R77" s="48"/>
      <c r="S77" s="48"/>
      <c r="T77" s="48"/>
      <c r="U77" s="48"/>
      <c r="V77" s="48"/>
      <c r="W77" s="48"/>
      <c r="X77" s="48"/>
      <c r="Y77" s="48"/>
      <c r="Z77" s="48"/>
    </row>
    <row r="78" ht="26.25" customHeight="1">
      <c r="A78" s="38">
        <v>17.0</v>
      </c>
      <c r="B78" s="48"/>
      <c r="C78" s="129" t="s">
        <v>1910</v>
      </c>
      <c r="D78" s="155" t="s">
        <v>1911</v>
      </c>
      <c r="E78" s="38" t="s">
        <v>1912</v>
      </c>
      <c r="F78" s="156"/>
      <c r="G78" s="99"/>
      <c r="H78" s="48"/>
      <c r="I78" s="48"/>
      <c r="J78" s="48"/>
      <c r="K78" s="48"/>
      <c r="L78" s="48"/>
      <c r="M78" s="48"/>
      <c r="N78" s="48"/>
      <c r="O78" s="48"/>
      <c r="P78" s="48"/>
      <c r="Q78" s="48"/>
      <c r="R78" s="48"/>
      <c r="S78" s="48"/>
      <c r="T78" s="48"/>
      <c r="U78" s="48"/>
      <c r="V78" s="48"/>
      <c r="W78" s="48"/>
      <c r="X78" s="48"/>
      <c r="Y78" s="48"/>
      <c r="Z78" s="48"/>
    </row>
    <row r="79" ht="26.25" customHeight="1">
      <c r="A79" s="38">
        <v>18.0</v>
      </c>
      <c r="B79" s="48"/>
      <c r="C79" s="129" t="s">
        <v>1913</v>
      </c>
      <c r="D79" s="155" t="s">
        <v>1914</v>
      </c>
      <c r="E79" s="48"/>
      <c r="F79" s="69"/>
      <c r="G79" s="48"/>
      <c r="H79" s="48"/>
      <c r="I79" s="48"/>
      <c r="J79" s="48"/>
      <c r="K79" s="48"/>
      <c r="L79" s="48"/>
      <c r="M79" s="48"/>
      <c r="N79" s="48"/>
      <c r="O79" s="48"/>
      <c r="P79" s="48"/>
      <c r="Q79" s="48"/>
      <c r="R79" s="48"/>
      <c r="S79" s="48"/>
      <c r="T79" s="48"/>
      <c r="U79" s="48"/>
      <c r="V79" s="48"/>
      <c r="W79" s="48"/>
      <c r="X79" s="48"/>
      <c r="Y79" s="48"/>
      <c r="Z79" s="48"/>
    </row>
    <row r="80" ht="26.25" customHeight="1">
      <c r="A80" s="38">
        <v>19.0</v>
      </c>
      <c r="B80" s="48"/>
      <c r="C80" s="129" t="s">
        <v>1915</v>
      </c>
      <c r="D80" s="38" t="s">
        <v>1916</v>
      </c>
      <c r="E80" s="48"/>
      <c r="F80" s="99"/>
      <c r="G80" s="48"/>
      <c r="H80" s="48"/>
      <c r="I80" s="48"/>
      <c r="J80" s="48"/>
      <c r="K80" s="48"/>
      <c r="L80" s="48"/>
      <c r="M80" s="48"/>
      <c r="N80" s="48"/>
      <c r="O80" s="48"/>
      <c r="P80" s="48"/>
      <c r="Q80" s="48"/>
      <c r="R80" s="48"/>
      <c r="S80" s="48"/>
      <c r="T80" s="48"/>
      <c r="U80" s="48"/>
      <c r="V80" s="48"/>
      <c r="W80" s="48"/>
      <c r="X80" s="48"/>
      <c r="Y80" s="48"/>
      <c r="Z80" s="48"/>
    </row>
    <row r="81" ht="26.25" customHeight="1">
      <c r="A81" s="38">
        <v>20.0</v>
      </c>
      <c r="B81" s="48"/>
      <c r="C81" s="129" t="s">
        <v>1917</v>
      </c>
      <c r="D81" s="38" t="s">
        <v>1918</v>
      </c>
      <c r="E81" s="48"/>
      <c r="F81" s="156"/>
      <c r="G81" s="48"/>
      <c r="H81" s="48"/>
      <c r="I81" s="48"/>
      <c r="J81" s="48"/>
      <c r="K81" s="48"/>
      <c r="L81" s="48"/>
      <c r="M81" s="48"/>
      <c r="N81" s="48"/>
      <c r="O81" s="48"/>
      <c r="P81" s="48"/>
      <c r="Q81" s="48"/>
      <c r="R81" s="48"/>
      <c r="S81" s="48"/>
      <c r="T81" s="48"/>
      <c r="U81" s="48"/>
      <c r="V81" s="48"/>
      <c r="W81" s="48"/>
      <c r="X81" s="48"/>
      <c r="Y81" s="48"/>
      <c r="Z81" s="48"/>
    </row>
    <row r="82" ht="26.25" customHeight="1">
      <c r="A82" s="38">
        <v>21.0</v>
      </c>
      <c r="B82" s="153">
        <v>45968.0</v>
      </c>
      <c r="C82" s="129" t="s">
        <v>1919</v>
      </c>
      <c r="D82" s="38" t="s">
        <v>1920</v>
      </c>
      <c r="E82" s="48"/>
      <c r="F82" s="69"/>
      <c r="G82" s="48"/>
      <c r="H82" s="48"/>
      <c r="I82" s="48"/>
      <c r="J82" s="48"/>
      <c r="K82" s="48"/>
      <c r="L82" s="48"/>
      <c r="M82" s="48"/>
      <c r="N82" s="48"/>
      <c r="O82" s="48"/>
      <c r="P82" s="48"/>
      <c r="Q82" s="48"/>
      <c r="R82" s="48"/>
      <c r="S82" s="48"/>
      <c r="T82" s="48"/>
      <c r="U82" s="48"/>
      <c r="V82" s="48"/>
      <c r="W82" s="48"/>
      <c r="X82" s="48"/>
      <c r="Y82" s="48"/>
      <c r="Z82" s="48"/>
    </row>
    <row r="83" ht="26.25" customHeight="1">
      <c r="A83" s="48"/>
      <c r="B83" s="153">
        <v>45971.0</v>
      </c>
      <c r="C83" s="129" t="s">
        <v>1921</v>
      </c>
      <c r="D83" s="155" t="s">
        <v>1922</v>
      </c>
      <c r="E83" s="48"/>
      <c r="F83" s="99"/>
      <c r="G83" s="48"/>
      <c r="H83" s="48"/>
      <c r="I83" s="48"/>
      <c r="J83" s="48"/>
      <c r="K83" s="48"/>
      <c r="L83" s="48"/>
      <c r="M83" s="48"/>
      <c r="N83" s="48"/>
      <c r="O83" s="48"/>
      <c r="P83" s="48"/>
      <c r="Q83" s="48"/>
      <c r="R83" s="48"/>
      <c r="S83" s="48"/>
      <c r="T83" s="48"/>
      <c r="U83" s="48"/>
      <c r="V83" s="48"/>
      <c r="W83" s="48"/>
      <c r="X83" s="48"/>
      <c r="Y83" s="48"/>
      <c r="Z83" s="48"/>
    </row>
    <row r="84" ht="26.25" customHeight="1">
      <c r="A84" s="48"/>
      <c r="B84" s="48"/>
      <c r="C84" s="129" t="s">
        <v>1923</v>
      </c>
      <c r="D84" s="38" t="s">
        <v>1924</v>
      </c>
      <c r="E84" s="48"/>
      <c r="F84" s="156"/>
      <c r="G84" s="48"/>
      <c r="H84" s="48"/>
      <c r="I84" s="48"/>
      <c r="J84" s="48"/>
      <c r="K84" s="48"/>
      <c r="L84" s="48"/>
      <c r="M84" s="48"/>
      <c r="N84" s="48"/>
      <c r="O84" s="48"/>
      <c r="P84" s="48"/>
      <c r="Q84" s="48"/>
      <c r="R84" s="48"/>
      <c r="S84" s="48"/>
      <c r="T84" s="48"/>
      <c r="U84" s="48"/>
      <c r="V84" s="48"/>
      <c r="W84" s="48"/>
      <c r="X84" s="48"/>
      <c r="Y84" s="48"/>
      <c r="Z84" s="48"/>
    </row>
    <row r="85" ht="26.25" customHeight="1">
      <c r="A85" s="48"/>
      <c r="B85" s="48"/>
      <c r="C85" s="129" t="s">
        <v>1925</v>
      </c>
      <c r="D85" s="155" t="s">
        <v>1926</v>
      </c>
      <c r="E85" s="48"/>
      <c r="F85" s="69"/>
      <c r="G85" s="48"/>
      <c r="H85" s="48"/>
      <c r="I85" s="48"/>
      <c r="J85" s="48"/>
      <c r="K85" s="48"/>
      <c r="L85" s="48"/>
      <c r="M85" s="48"/>
      <c r="N85" s="48"/>
      <c r="O85" s="48"/>
      <c r="P85" s="48"/>
      <c r="Q85" s="48"/>
      <c r="R85" s="48"/>
      <c r="S85" s="48"/>
      <c r="T85" s="48"/>
      <c r="U85" s="48"/>
      <c r="V85" s="48"/>
      <c r="W85" s="48"/>
      <c r="X85" s="48"/>
      <c r="Y85" s="48"/>
      <c r="Z85" s="48"/>
    </row>
    <row r="86" ht="26.25" customHeight="1">
      <c r="A86" s="48"/>
      <c r="B86" s="48"/>
      <c r="C86" s="129" t="s">
        <v>1927</v>
      </c>
      <c r="D86" s="155" t="s">
        <v>1928</v>
      </c>
      <c r="E86" s="48"/>
      <c r="F86" s="99"/>
      <c r="G86" s="48"/>
      <c r="H86" s="48"/>
      <c r="I86" s="48"/>
      <c r="J86" s="48"/>
      <c r="K86" s="48"/>
      <c r="L86" s="48"/>
      <c r="M86" s="48"/>
      <c r="N86" s="48"/>
      <c r="O86" s="48"/>
      <c r="P86" s="48"/>
      <c r="Q86" s="48"/>
      <c r="R86" s="48"/>
      <c r="S86" s="48"/>
      <c r="T86" s="48"/>
      <c r="U86" s="48"/>
      <c r="V86" s="48"/>
      <c r="W86" s="48"/>
      <c r="X86" s="48"/>
      <c r="Y86" s="48"/>
      <c r="Z86" s="48"/>
    </row>
    <row r="87" ht="26.25" customHeight="1">
      <c r="A87" s="48"/>
      <c r="B87" s="48"/>
      <c r="C87" s="129" t="s">
        <v>1929</v>
      </c>
      <c r="D87" s="38" t="s">
        <v>1930</v>
      </c>
      <c r="E87" s="48"/>
      <c r="F87" s="48"/>
      <c r="G87" s="48"/>
      <c r="H87" s="48"/>
      <c r="I87" s="48"/>
      <c r="J87" s="48"/>
      <c r="K87" s="48"/>
      <c r="L87" s="48"/>
      <c r="M87" s="48"/>
      <c r="N87" s="48"/>
      <c r="O87" s="48"/>
      <c r="P87" s="48"/>
      <c r="Q87" s="48"/>
      <c r="R87" s="48"/>
      <c r="S87" s="48"/>
      <c r="T87" s="48"/>
      <c r="U87" s="48"/>
      <c r="V87" s="48"/>
      <c r="W87" s="48"/>
      <c r="X87" s="48"/>
      <c r="Y87" s="48"/>
      <c r="Z87" s="48"/>
    </row>
    <row r="88" ht="26.25" customHeight="1">
      <c r="A88" s="48"/>
      <c r="B88" s="48"/>
      <c r="C88" s="129" t="s">
        <v>1931</v>
      </c>
      <c r="D88" s="38" t="s">
        <v>1932</v>
      </c>
      <c r="E88" s="38" t="s">
        <v>1933</v>
      </c>
      <c r="F88" s="38" t="s">
        <v>1934</v>
      </c>
      <c r="G88" s="38" t="s">
        <v>1935</v>
      </c>
      <c r="H88" s="38" t="s">
        <v>1936</v>
      </c>
      <c r="I88" s="48"/>
      <c r="J88" s="48"/>
      <c r="K88" s="48"/>
      <c r="L88" s="48"/>
      <c r="M88" s="48"/>
      <c r="N88" s="48"/>
      <c r="O88" s="48"/>
      <c r="P88" s="48"/>
      <c r="Q88" s="48"/>
      <c r="R88" s="48"/>
      <c r="S88" s="48"/>
      <c r="T88" s="48"/>
      <c r="U88" s="48"/>
      <c r="V88" s="48"/>
      <c r="W88" s="48"/>
      <c r="X88" s="48"/>
      <c r="Y88" s="48"/>
      <c r="Z88" s="48"/>
    </row>
    <row r="89" ht="26.25" customHeight="1">
      <c r="A89" s="48"/>
      <c r="B89" s="153">
        <v>45972.0</v>
      </c>
      <c r="C89" s="129" t="s">
        <v>1937</v>
      </c>
      <c r="D89" s="38" t="s">
        <v>1938</v>
      </c>
      <c r="E89" s="38" t="s">
        <v>1939</v>
      </c>
      <c r="F89" s="48"/>
      <c r="G89" s="48"/>
      <c r="H89" s="48"/>
      <c r="I89" s="48"/>
      <c r="J89" s="48"/>
      <c r="K89" s="48"/>
      <c r="L89" s="48"/>
      <c r="M89" s="48"/>
      <c r="N89" s="48"/>
      <c r="O89" s="48"/>
      <c r="P89" s="48"/>
      <c r="Q89" s="48"/>
      <c r="R89" s="48"/>
      <c r="S89" s="48"/>
      <c r="T89" s="48"/>
      <c r="U89" s="48"/>
      <c r="V89" s="48"/>
      <c r="W89" s="48"/>
      <c r="X89" s="48"/>
      <c r="Y89" s="48"/>
      <c r="Z89" s="48"/>
    </row>
    <row r="90" ht="26.25" customHeight="1">
      <c r="A90" s="48"/>
      <c r="B90" s="48"/>
      <c r="C90" s="129" t="s">
        <v>1940</v>
      </c>
      <c r="D90" s="38" t="s">
        <v>1941</v>
      </c>
      <c r="E90" s="48"/>
      <c r="F90" s="48"/>
      <c r="G90" s="48"/>
      <c r="H90" s="48"/>
      <c r="I90" s="48"/>
      <c r="J90" s="48"/>
      <c r="K90" s="48"/>
      <c r="L90" s="48"/>
      <c r="M90" s="48"/>
      <c r="N90" s="48"/>
      <c r="O90" s="48"/>
      <c r="P90" s="48"/>
      <c r="Q90" s="48"/>
      <c r="R90" s="48"/>
      <c r="S90" s="48"/>
      <c r="T90" s="48"/>
      <c r="U90" s="48"/>
      <c r="V90" s="48"/>
      <c r="W90" s="48"/>
      <c r="X90" s="48"/>
      <c r="Y90" s="48"/>
      <c r="Z90" s="48"/>
    </row>
    <row r="91" ht="26.25" customHeight="1">
      <c r="A91" s="48"/>
      <c r="B91" s="48"/>
      <c r="C91" s="129" t="s">
        <v>1942</v>
      </c>
      <c r="D91" s="38" t="s">
        <v>1943</v>
      </c>
      <c r="E91" s="48"/>
      <c r="F91" s="48"/>
      <c r="G91" s="48"/>
      <c r="H91" s="48"/>
      <c r="I91" s="48"/>
      <c r="J91" s="48"/>
      <c r="K91" s="48"/>
      <c r="L91" s="48"/>
      <c r="M91" s="48"/>
      <c r="N91" s="48"/>
      <c r="O91" s="48"/>
      <c r="P91" s="48"/>
      <c r="Q91" s="48"/>
      <c r="R91" s="48"/>
      <c r="S91" s="48"/>
      <c r="T91" s="48"/>
      <c r="U91" s="48"/>
      <c r="V91" s="48"/>
      <c r="W91" s="48"/>
      <c r="X91" s="48"/>
      <c r="Y91" s="48"/>
      <c r="Z91" s="48"/>
    </row>
    <row r="92" ht="26.25" customHeight="1">
      <c r="A92" s="48"/>
      <c r="B92" s="48"/>
      <c r="C92" s="129" t="s">
        <v>1944</v>
      </c>
      <c r="D92" s="38" t="s">
        <v>1945</v>
      </c>
      <c r="E92" s="48"/>
      <c r="F92" s="48"/>
      <c r="G92" s="48"/>
      <c r="H92" s="48"/>
      <c r="I92" s="48"/>
      <c r="J92" s="48"/>
      <c r="K92" s="48"/>
      <c r="L92" s="48"/>
      <c r="M92" s="48"/>
      <c r="N92" s="48"/>
      <c r="O92" s="48"/>
      <c r="P92" s="48"/>
      <c r="Q92" s="48"/>
      <c r="R92" s="48"/>
      <c r="S92" s="48"/>
      <c r="T92" s="48"/>
      <c r="U92" s="48"/>
      <c r="V92" s="48"/>
      <c r="W92" s="48"/>
      <c r="X92" s="48"/>
      <c r="Y92" s="48"/>
      <c r="Z92" s="48"/>
    </row>
    <row r="93" ht="26.25" customHeight="1">
      <c r="A93" s="48"/>
      <c r="B93" s="48"/>
      <c r="C93" s="157" t="s">
        <v>50</v>
      </c>
      <c r="D93" s="38" t="s">
        <v>1946</v>
      </c>
      <c r="E93" s="48"/>
      <c r="F93" s="48"/>
      <c r="G93" s="48"/>
      <c r="H93" s="48"/>
      <c r="I93" s="48"/>
      <c r="J93" s="48"/>
      <c r="K93" s="48"/>
      <c r="L93" s="48"/>
      <c r="M93" s="48"/>
      <c r="N93" s="48"/>
      <c r="O93" s="48"/>
      <c r="P93" s="48"/>
      <c r="Q93" s="48"/>
      <c r="R93" s="48"/>
      <c r="S93" s="48"/>
      <c r="T93" s="48"/>
      <c r="U93" s="48"/>
      <c r="V93" s="48"/>
      <c r="W93" s="48"/>
      <c r="X93" s="48"/>
      <c r="Y93" s="48"/>
      <c r="Z93" s="48"/>
    </row>
    <row r="94" ht="26.25" customHeight="1">
      <c r="A94" s="48"/>
      <c r="B94" s="48"/>
      <c r="C94" s="129" t="s">
        <v>1947</v>
      </c>
      <c r="D94" s="38" t="s">
        <v>1948</v>
      </c>
      <c r="E94" s="48"/>
      <c r="F94" s="48"/>
      <c r="G94" s="48"/>
      <c r="H94" s="48"/>
      <c r="I94" s="48"/>
      <c r="J94" s="48"/>
      <c r="K94" s="48"/>
      <c r="L94" s="48"/>
      <c r="M94" s="48"/>
      <c r="N94" s="48"/>
      <c r="O94" s="48"/>
      <c r="P94" s="48"/>
      <c r="Q94" s="48"/>
      <c r="R94" s="48"/>
      <c r="S94" s="48"/>
      <c r="T94" s="48"/>
      <c r="U94" s="48"/>
      <c r="V94" s="48"/>
      <c r="W94" s="48"/>
      <c r="X94" s="48"/>
      <c r="Y94" s="48"/>
      <c r="Z94" s="48"/>
    </row>
    <row r="95" ht="26.25" customHeight="1">
      <c r="A95" s="48"/>
      <c r="B95" s="48"/>
      <c r="C95" s="157" t="s">
        <v>1949</v>
      </c>
      <c r="D95" s="38" t="s">
        <v>1950</v>
      </c>
      <c r="E95" s="48"/>
      <c r="F95" s="48"/>
      <c r="G95" s="48"/>
      <c r="H95" s="48"/>
      <c r="I95" s="48"/>
      <c r="J95" s="48"/>
      <c r="K95" s="48"/>
      <c r="L95" s="48"/>
      <c r="M95" s="48"/>
      <c r="N95" s="48"/>
      <c r="O95" s="48"/>
      <c r="P95" s="48"/>
      <c r="Q95" s="48"/>
      <c r="R95" s="48"/>
      <c r="S95" s="48"/>
      <c r="T95" s="48"/>
      <c r="U95" s="48"/>
      <c r="V95" s="48"/>
      <c r="W95" s="48"/>
      <c r="X95" s="48"/>
      <c r="Y95" s="48"/>
      <c r="Z95" s="48"/>
    </row>
    <row r="96" ht="26.25" customHeight="1">
      <c r="A96" s="48"/>
      <c r="B96" s="153">
        <v>45973.0</v>
      </c>
      <c r="C96" s="129" t="s">
        <v>1951</v>
      </c>
      <c r="D96" s="38" t="s">
        <v>1952</v>
      </c>
      <c r="E96" s="48"/>
      <c r="F96" s="48"/>
      <c r="G96" s="48"/>
      <c r="H96" s="48"/>
      <c r="I96" s="48"/>
      <c r="J96" s="48"/>
      <c r="K96" s="48"/>
      <c r="L96" s="48"/>
      <c r="M96" s="48"/>
      <c r="N96" s="48"/>
      <c r="O96" s="48"/>
      <c r="P96" s="48"/>
      <c r="Q96" s="48"/>
      <c r="R96" s="48"/>
      <c r="S96" s="48"/>
      <c r="T96" s="48"/>
      <c r="U96" s="48"/>
      <c r="V96" s="48"/>
      <c r="W96" s="48"/>
      <c r="X96" s="48"/>
      <c r="Y96" s="48"/>
      <c r="Z96" s="48"/>
    </row>
    <row r="97" ht="26.25" customHeight="1">
      <c r="A97" s="48"/>
      <c r="B97" s="48"/>
      <c r="C97" s="129" t="s">
        <v>1953</v>
      </c>
      <c r="D97" s="38" t="s">
        <v>1954</v>
      </c>
      <c r="E97" s="48"/>
      <c r="F97" s="48"/>
      <c r="G97" s="48"/>
      <c r="H97" s="48"/>
      <c r="I97" s="48"/>
      <c r="J97" s="48"/>
      <c r="K97" s="48"/>
      <c r="L97" s="48"/>
      <c r="M97" s="48"/>
      <c r="N97" s="48"/>
      <c r="O97" s="48"/>
      <c r="P97" s="48"/>
      <c r="Q97" s="48"/>
      <c r="R97" s="48"/>
      <c r="S97" s="48"/>
      <c r="T97" s="48"/>
      <c r="U97" s="48"/>
      <c r="V97" s="48"/>
      <c r="W97" s="48"/>
      <c r="X97" s="48"/>
      <c r="Y97" s="48"/>
      <c r="Z97" s="48"/>
    </row>
    <row r="98" ht="26.25" customHeight="1">
      <c r="A98" s="48"/>
      <c r="B98" s="48"/>
      <c r="C98" s="129" t="s">
        <v>1955</v>
      </c>
      <c r="D98" s="158" t="s">
        <v>1956</v>
      </c>
      <c r="E98" s="48"/>
      <c r="F98" s="48"/>
      <c r="G98" s="48"/>
      <c r="H98" s="48"/>
      <c r="I98" s="48"/>
      <c r="J98" s="48"/>
      <c r="K98" s="48"/>
      <c r="L98" s="48"/>
      <c r="M98" s="48"/>
      <c r="N98" s="48"/>
      <c r="O98" s="48"/>
      <c r="P98" s="48"/>
      <c r="Q98" s="48"/>
      <c r="R98" s="48"/>
      <c r="S98" s="48"/>
      <c r="T98" s="48"/>
      <c r="U98" s="48"/>
      <c r="V98" s="48"/>
      <c r="W98" s="48"/>
      <c r="X98" s="48"/>
      <c r="Y98" s="48"/>
      <c r="Z98" s="48"/>
    </row>
    <row r="99" ht="26.25" customHeight="1">
      <c r="A99" s="48"/>
      <c r="B99" s="48"/>
      <c r="C99" s="129" t="s">
        <v>1957</v>
      </c>
      <c r="D99" s="38" t="s">
        <v>1958</v>
      </c>
      <c r="E99" s="38" t="s">
        <v>1959</v>
      </c>
      <c r="F99" s="38"/>
      <c r="G99" s="155" t="s">
        <v>1960</v>
      </c>
      <c r="H99" s="38" t="s">
        <v>1961</v>
      </c>
      <c r="I99" s="48"/>
      <c r="J99" s="48"/>
      <c r="K99" s="48"/>
      <c r="L99" s="48"/>
      <c r="M99" s="48"/>
      <c r="N99" s="48"/>
      <c r="O99" s="48"/>
      <c r="P99" s="48"/>
      <c r="Q99" s="48"/>
      <c r="R99" s="48"/>
      <c r="S99" s="48"/>
      <c r="T99" s="48"/>
      <c r="U99" s="48"/>
      <c r="V99" s="48"/>
      <c r="W99" s="48"/>
      <c r="X99" s="48"/>
      <c r="Y99" s="48"/>
      <c r="Z99" s="48"/>
    </row>
    <row r="100" ht="26.25" customHeight="1">
      <c r="A100" s="48"/>
      <c r="B100" s="48"/>
      <c r="C100" s="157" t="s">
        <v>62</v>
      </c>
      <c r="D100" s="38" t="s">
        <v>1962</v>
      </c>
      <c r="E100" s="48"/>
      <c r="F100" s="48"/>
      <c r="G100" s="48"/>
      <c r="H100" s="48"/>
      <c r="I100" s="48"/>
      <c r="J100" s="48"/>
      <c r="K100" s="48"/>
      <c r="L100" s="48"/>
      <c r="M100" s="48"/>
      <c r="N100" s="48"/>
      <c r="O100" s="48"/>
      <c r="P100" s="48"/>
      <c r="Q100" s="48"/>
      <c r="R100" s="48"/>
      <c r="S100" s="48"/>
      <c r="T100" s="48"/>
      <c r="U100" s="48"/>
      <c r="V100" s="48"/>
      <c r="W100" s="48"/>
      <c r="X100" s="48"/>
      <c r="Y100" s="48"/>
      <c r="Z100" s="48"/>
    </row>
    <row r="101" ht="26.25" customHeight="1">
      <c r="A101" s="48"/>
      <c r="B101" s="48"/>
      <c r="C101" s="129" t="s">
        <v>1963</v>
      </c>
      <c r="D101" s="38" t="s">
        <v>1964</v>
      </c>
      <c r="E101" s="48"/>
      <c r="F101" s="48"/>
      <c r="G101" s="48"/>
      <c r="H101" s="48"/>
      <c r="I101" s="48"/>
      <c r="J101" s="48"/>
      <c r="K101" s="48"/>
      <c r="L101" s="48"/>
      <c r="M101" s="48"/>
      <c r="N101" s="48"/>
      <c r="O101" s="48"/>
      <c r="P101" s="48"/>
      <c r="Q101" s="48"/>
      <c r="R101" s="48"/>
      <c r="S101" s="48"/>
      <c r="T101" s="48"/>
      <c r="U101" s="48"/>
      <c r="V101" s="48"/>
      <c r="W101" s="48"/>
      <c r="X101" s="48"/>
      <c r="Y101" s="48"/>
      <c r="Z101" s="48"/>
    </row>
    <row r="102" ht="26.25" customHeight="1">
      <c r="A102" s="48"/>
      <c r="B102" s="153">
        <v>45974.0</v>
      </c>
      <c r="C102" s="129" t="s">
        <v>1965</v>
      </c>
      <c r="D102" s="38" t="s">
        <v>1966</v>
      </c>
      <c r="E102" s="48"/>
      <c r="F102" s="48"/>
      <c r="G102" s="48"/>
      <c r="H102" s="48"/>
      <c r="I102" s="48"/>
      <c r="J102" s="48"/>
      <c r="K102" s="48"/>
      <c r="L102" s="48"/>
      <c r="M102" s="48"/>
      <c r="N102" s="48"/>
      <c r="O102" s="48"/>
      <c r="P102" s="48"/>
      <c r="Q102" s="48"/>
      <c r="R102" s="48"/>
      <c r="S102" s="48"/>
      <c r="T102" s="48"/>
      <c r="U102" s="48"/>
      <c r="V102" s="48"/>
      <c r="W102" s="48"/>
      <c r="X102" s="48"/>
      <c r="Y102" s="48"/>
      <c r="Z102" s="48"/>
    </row>
    <row r="103" ht="26.25" customHeight="1">
      <c r="A103" s="48"/>
      <c r="B103" s="48"/>
      <c r="C103" s="125"/>
      <c r="D103" s="38" t="s">
        <v>1967</v>
      </c>
      <c r="E103" s="48"/>
      <c r="F103" s="48"/>
      <c r="G103" s="48"/>
      <c r="H103" s="48"/>
      <c r="I103" s="48"/>
      <c r="J103" s="48"/>
      <c r="K103" s="48"/>
      <c r="L103" s="48"/>
      <c r="M103" s="48"/>
      <c r="N103" s="48"/>
      <c r="O103" s="48"/>
      <c r="P103" s="48"/>
      <c r="Q103" s="48"/>
      <c r="R103" s="48"/>
      <c r="S103" s="48"/>
      <c r="T103" s="48"/>
      <c r="U103" s="48"/>
      <c r="V103" s="48"/>
      <c r="W103" s="48"/>
      <c r="X103" s="48"/>
      <c r="Y103" s="48"/>
      <c r="Z103" s="48"/>
    </row>
    <row r="104" ht="26.25" customHeight="1">
      <c r="A104" s="38">
        <v>1.0</v>
      </c>
      <c r="B104" s="153">
        <v>45978.0</v>
      </c>
      <c r="C104" s="129" t="s">
        <v>1968</v>
      </c>
      <c r="D104" s="38" t="s">
        <v>1969</v>
      </c>
      <c r="E104" s="48"/>
      <c r="F104" s="48"/>
      <c r="G104" s="48"/>
      <c r="H104" s="48"/>
      <c r="I104" s="48"/>
      <c r="J104" s="48"/>
      <c r="K104" s="48"/>
      <c r="L104" s="48"/>
      <c r="M104" s="48"/>
      <c r="N104" s="48"/>
      <c r="O104" s="48"/>
      <c r="P104" s="48"/>
      <c r="Q104" s="48"/>
      <c r="R104" s="48"/>
      <c r="S104" s="48"/>
      <c r="T104" s="48"/>
      <c r="U104" s="48"/>
      <c r="V104" s="48"/>
      <c r="W104" s="48"/>
      <c r="X104" s="48"/>
      <c r="Y104" s="48"/>
      <c r="Z104" s="48"/>
    </row>
    <row r="105" ht="26.25" customHeight="1">
      <c r="A105" s="38">
        <v>2.0</v>
      </c>
      <c r="B105" s="48"/>
      <c r="C105" s="129" t="s">
        <v>1970</v>
      </c>
      <c r="D105" s="38" t="s">
        <v>1969</v>
      </c>
      <c r="E105" s="48"/>
      <c r="F105" s="48"/>
      <c r="G105" s="48"/>
      <c r="H105" s="48"/>
      <c r="I105" s="48"/>
      <c r="J105" s="48"/>
      <c r="K105" s="48"/>
      <c r="L105" s="48"/>
      <c r="M105" s="48"/>
      <c r="N105" s="48"/>
      <c r="O105" s="48"/>
      <c r="P105" s="48"/>
      <c r="Q105" s="48"/>
      <c r="R105" s="48"/>
      <c r="S105" s="48"/>
      <c r="T105" s="48"/>
      <c r="U105" s="48"/>
      <c r="V105" s="48"/>
      <c r="W105" s="48"/>
      <c r="X105" s="48"/>
      <c r="Y105" s="48"/>
      <c r="Z105" s="48"/>
    </row>
    <row r="106" ht="26.25" customHeight="1">
      <c r="A106" s="38">
        <v>3.0</v>
      </c>
      <c r="B106" s="48"/>
      <c r="C106" s="129" t="s">
        <v>1971</v>
      </c>
      <c r="D106" s="38" t="s">
        <v>1972</v>
      </c>
      <c r="E106" s="48"/>
      <c r="F106" s="48"/>
      <c r="G106" s="48"/>
      <c r="H106" s="48"/>
      <c r="I106" s="48"/>
      <c r="J106" s="48"/>
      <c r="K106" s="48"/>
      <c r="L106" s="48"/>
      <c r="M106" s="48"/>
      <c r="N106" s="48"/>
      <c r="O106" s="48"/>
      <c r="P106" s="48"/>
      <c r="Q106" s="48"/>
      <c r="R106" s="48"/>
      <c r="S106" s="48"/>
      <c r="T106" s="48"/>
      <c r="U106" s="48"/>
      <c r="V106" s="48"/>
      <c r="W106" s="48"/>
      <c r="X106" s="48"/>
      <c r="Y106" s="48"/>
      <c r="Z106" s="48"/>
    </row>
    <row r="107" ht="26.25" customHeight="1">
      <c r="A107" s="38">
        <v>4.0</v>
      </c>
      <c r="B107" s="48"/>
      <c r="C107" s="129" t="s">
        <v>1973</v>
      </c>
      <c r="D107" s="38" t="s">
        <v>1974</v>
      </c>
      <c r="E107" s="38"/>
      <c r="F107" s="38"/>
      <c r="G107" s="38"/>
      <c r="H107" s="38"/>
      <c r="I107" s="38"/>
      <c r="J107" s="48"/>
      <c r="K107" s="48"/>
      <c r="L107" s="48"/>
      <c r="M107" s="48"/>
      <c r="N107" s="48"/>
      <c r="O107" s="48"/>
      <c r="P107" s="48"/>
      <c r="Q107" s="48"/>
      <c r="R107" s="48"/>
      <c r="S107" s="48"/>
      <c r="T107" s="48"/>
      <c r="U107" s="48"/>
      <c r="V107" s="48"/>
      <c r="W107" s="48"/>
      <c r="X107" s="48"/>
      <c r="Y107" s="48"/>
      <c r="Z107" s="48"/>
    </row>
    <row r="108" ht="26.25" customHeight="1">
      <c r="A108" s="38">
        <v>5.0</v>
      </c>
      <c r="B108" s="48"/>
      <c r="C108" s="129" t="s">
        <v>1975</v>
      </c>
      <c r="D108" s="38" t="s">
        <v>1976</v>
      </c>
      <c r="E108" s="48"/>
      <c r="F108" s="48"/>
      <c r="G108" s="48"/>
      <c r="H108" s="48"/>
      <c r="I108" s="48"/>
      <c r="J108" s="48"/>
      <c r="K108" s="48"/>
      <c r="L108" s="48"/>
      <c r="M108" s="48"/>
      <c r="N108" s="48"/>
      <c r="O108" s="48"/>
      <c r="P108" s="48"/>
      <c r="Q108" s="48"/>
      <c r="R108" s="48"/>
      <c r="S108" s="48"/>
      <c r="T108" s="48"/>
      <c r="U108" s="48"/>
      <c r="V108" s="48"/>
      <c r="W108" s="48"/>
      <c r="X108" s="48"/>
      <c r="Y108" s="48"/>
      <c r="Z108" s="48"/>
    </row>
    <row r="109" ht="26.25" customHeight="1">
      <c r="A109" s="38">
        <v>6.0</v>
      </c>
      <c r="B109" s="48"/>
      <c r="C109" s="129" t="s">
        <v>1977</v>
      </c>
      <c r="D109" s="38" t="s">
        <v>1978</v>
      </c>
      <c r="E109" s="48"/>
      <c r="F109" s="48"/>
      <c r="G109" s="48"/>
      <c r="H109" s="48"/>
      <c r="I109" s="48"/>
      <c r="J109" s="48"/>
      <c r="K109" s="48"/>
      <c r="L109" s="48"/>
      <c r="M109" s="48"/>
      <c r="N109" s="48"/>
      <c r="O109" s="48"/>
      <c r="P109" s="48"/>
      <c r="Q109" s="48"/>
      <c r="R109" s="48"/>
      <c r="S109" s="48"/>
      <c r="T109" s="48"/>
      <c r="U109" s="48"/>
      <c r="V109" s="48"/>
      <c r="W109" s="48"/>
      <c r="X109" s="48"/>
      <c r="Y109" s="48"/>
      <c r="Z109" s="48"/>
    </row>
    <row r="110" ht="26.25" customHeight="1">
      <c r="A110" s="38">
        <v>7.0</v>
      </c>
      <c r="B110" s="153">
        <v>45979.0</v>
      </c>
      <c r="C110" s="129" t="s">
        <v>1979</v>
      </c>
      <c r="D110" s="38" t="s">
        <v>1980</v>
      </c>
      <c r="E110" s="48"/>
      <c r="F110" s="48"/>
      <c r="G110" s="48"/>
      <c r="H110" s="48"/>
      <c r="I110" s="48"/>
      <c r="J110" s="48"/>
      <c r="K110" s="48"/>
      <c r="L110" s="48"/>
      <c r="M110" s="48"/>
      <c r="N110" s="48"/>
      <c r="O110" s="48"/>
      <c r="P110" s="48"/>
      <c r="Q110" s="48"/>
      <c r="R110" s="48"/>
      <c r="S110" s="48"/>
      <c r="T110" s="48"/>
      <c r="U110" s="48"/>
      <c r="V110" s="48"/>
      <c r="W110" s="48"/>
      <c r="X110" s="48"/>
      <c r="Y110" s="48"/>
      <c r="Z110" s="48"/>
    </row>
    <row r="111" ht="26.25" customHeight="1">
      <c r="A111" s="38">
        <v>8.0</v>
      </c>
      <c r="B111" s="48"/>
      <c r="C111" s="129" t="s">
        <v>1981</v>
      </c>
      <c r="D111" s="38" t="s">
        <v>1982</v>
      </c>
      <c r="E111" s="48"/>
      <c r="F111" s="48"/>
      <c r="G111" s="48"/>
      <c r="H111" s="48"/>
      <c r="I111" s="48"/>
      <c r="J111" s="48"/>
      <c r="K111" s="48"/>
      <c r="L111" s="48"/>
      <c r="M111" s="48"/>
      <c r="N111" s="48"/>
      <c r="O111" s="48"/>
      <c r="P111" s="48"/>
      <c r="Q111" s="48"/>
      <c r="R111" s="48"/>
      <c r="S111" s="48"/>
      <c r="T111" s="48"/>
      <c r="U111" s="48"/>
      <c r="V111" s="48"/>
      <c r="W111" s="48"/>
      <c r="X111" s="48"/>
      <c r="Y111" s="48"/>
      <c r="Z111" s="48"/>
    </row>
    <row r="112" ht="26.25" customHeight="1">
      <c r="A112" s="38">
        <v>9.0</v>
      </c>
      <c r="B112" s="48"/>
      <c r="C112" s="129" t="s">
        <v>1983</v>
      </c>
      <c r="D112" s="68" t="s">
        <v>1984</v>
      </c>
      <c r="E112" s="48"/>
      <c r="F112" s="48"/>
      <c r="G112" s="48"/>
      <c r="H112" s="48"/>
      <c r="I112" s="48"/>
      <c r="J112" s="48"/>
      <c r="K112" s="48"/>
      <c r="L112" s="48"/>
      <c r="M112" s="48"/>
      <c r="N112" s="48"/>
      <c r="O112" s="48"/>
      <c r="P112" s="48"/>
      <c r="Q112" s="48"/>
      <c r="R112" s="48"/>
      <c r="S112" s="48"/>
      <c r="T112" s="48"/>
      <c r="U112" s="48"/>
      <c r="V112" s="48"/>
      <c r="W112" s="48"/>
      <c r="X112" s="48"/>
      <c r="Y112" s="48"/>
      <c r="Z112" s="48"/>
    </row>
    <row r="113" ht="26.25" customHeight="1">
      <c r="A113" s="38">
        <v>10.0</v>
      </c>
      <c r="B113" s="48"/>
      <c r="C113" s="129" t="s">
        <v>1985</v>
      </c>
      <c r="D113" s="38" t="s">
        <v>1986</v>
      </c>
      <c r="E113" s="48"/>
      <c r="F113" s="48"/>
      <c r="G113" s="48"/>
      <c r="H113" s="48"/>
      <c r="I113" s="48"/>
      <c r="J113" s="48"/>
      <c r="K113" s="48"/>
      <c r="L113" s="48"/>
      <c r="M113" s="48"/>
      <c r="N113" s="48"/>
      <c r="O113" s="48"/>
      <c r="P113" s="48"/>
      <c r="Q113" s="48"/>
      <c r="R113" s="48"/>
      <c r="S113" s="48"/>
      <c r="T113" s="48"/>
      <c r="U113" s="48"/>
      <c r="V113" s="48"/>
      <c r="W113" s="48"/>
      <c r="X113" s="48"/>
      <c r="Y113" s="48"/>
      <c r="Z113" s="48"/>
    </row>
    <row r="114" ht="26.25" customHeight="1">
      <c r="A114" s="38">
        <v>11.0</v>
      </c>
      <c r="B114" s="48"/>
      <c r="C114" s="129" t="s">
        <v>1987</v>
      </c>
      <c r="D114" s="38" t="s">
        <v>1988</v>
      </c>
      <c r="E114" s="48"/>
      <c r="F114" s="48"/>
      <c r="G114" s="48"/>
      <c r="H114" s="48"/>
      <c r="I114" s="48"/>
      <c r="J114" s="48"/>
      <c r="K114" s="48"/>
      <c r="L114" s="48"/>
      <c r="M114" s="48"/>
      <c r="N114" s="48"/>
      <c r="O114" s="48"/>
      <c r="P114" s="48"/>
      <c r="Q114" s="48"/>
      <c r="R114" s="48"/>
      <c r="S114" s="48"/>
      <c r="T114" s="48"/>
      <c r="U114" s="48"/>
      <c r="V114" s="48"/>
      <c r="W114" s="48"/>
      <c r="X114" s="48"/>
      <c r="Y114" s="48"/>
      <c r="Z114" s="48"/>
    </row>
    <row r="115" ht="26.25" customHeight="1">
      <c r="A115" s="38">
        <v>12.0</v>
      </c>
      <c r="B115" s="153">
        <v>45980.0</v>
      </c>
      <c r="C115" s="129" t="s">
        <v>1989</v>
      </c>
      <c r="D115" s="154" t="s">
        <v>1990</v>
      </c>
      <c r="E115" s="48"/>
      <c r="F115" s="48"/>
      <c r="G115" s="48"/>
      <c r="H115" s="48"/>
      <c r="I115" s="48"/>
      <c r="J115" s="48"/>
      <c r="K115" s="48"/>
      <c r="L115" s="48"/>
      <c r="M115" s="48"/>
      <c r="N115" s="48"/>
      <c r="O115" s="48"/>
      <c r="P115" s="48"/>
      <c r="Q115" s="48"/>
      <c r="R115" s="48"/>
      <c r="S115" s="48"/>
      <c r="T115" s="48"/>
      <c r="U115" s="48"/>
      <c r="V115" s="48"/>
      <c r="W115" s="48"/>
      <c r="X115" s="48"/>
      <c r="Y115" s="48"/>
      <c r="Z115" s="48"/>
    </row>
    <row r="116" ht="26.25" customHeight="1">
      <c r="A116" s="38">
        <v>13.0</v>
      </c>
      <c r="B116" s="48"/>
      <c r="C116" s="129" t="s">
        <v>1991</v>
      </c>
      <c r="D116" s="38" t="s">
        <v>1992</v>
      </c>
      <c r="E116" s="48"/>
      <c r="F116" s="48"/>
      <c r="G116" s="48"/>
      <c r="H116" s="48"/>
      <c r="I116" s="48"/>
      <c r="J116" s="48"/>
      <c r="K116" s="48"/>
      <c r="L116" s="48"/>
      <c r="M116" s="48"/>
      <c r="N116" s="48"/>
      <c r="O116" s="48"/>
      <c r="P116" s="48"/>
      <c r="Q116" s="48"/>
      <c r="R116" s="48"/>
      <c r="S116" s="48"/>
      <c r="T116" s="48"/>
      <c r="U116" s="48"/>
      <c r="V116" s="48"/>
      <c r="W116" s="48"/>
      <c r="X116" s="48"/>
      <c r="Y116" s="48"/>
      <c r="Z116" s="48"/>
    </row>
    <row r="117" ht="26.25" customHeight="1">
      <c r="A117" s="38">
        <v>14.0</v>
      </c>
      <c r="B117" s="48"/>
      <c r="C117" s="129" t="s">
        <v>1993</v>
      </c>
      <c r="D117" s="38" t="s">
        <v>1994</v>
      </c>
      <c r="E117" s="38" t="s">
        <v>1995</v>
      </c>
      <c r="F117" s="38" t="s">
        <v>1996</v>
      </c>
      <c r="G117" s="48"/>
      <c r="H117" s="48"/>
      <c r="I117" s="48"/>
      <c r="J117" s="48"/>
      <c r="K117" s="48"/>
      <c r="L117" s="48"/>
      <c r="M117" s="48"/>
      <c r="N117" s="48"/>
      <c r="O117" s="48"/>
      <c r="P117" s="48"/>
      <c r="Q117" s="48"/>
      <c r="R117" s="48"/>
      <c r="S117" s="48"/>
      <c r="T117" s="48"/>
      <c r="U117" s="48"/>
      <c r="V117" s="48"/>
      <c r="W117" s="48"/>
      <c r="X117" s="48"/>
      <c r="Y117" s="48"/>
      <c r="Z117" s="48"/>
    </row>
    <row r="118" ht="26.25" customHeight="1">
      <c r="A118" s="38">
        <v>15.0</v>
      </c>
      <c r="B118" s="48"/>
      <c r="C118" s="129" t="s">
        <v>1997</v>
      </c>
      <c r="D118" s="38" t="s">
        <v>1998</v>
      </c>
      <c r="E118" s="48"/>
      <c r="F118" s="48"/>
      <c r="G118" s="48"/>
      <c r="H118" s="48"/>
      <c r="I118" s="48"/>
      <c r="J118" s="48"/>
      <c r="K118" s="48"/>
      <c r="L118" s="48"/>
      <c r="M118" s="48"/>
      <c r="N118" s="48"/>
      <c r="O118" s="48"/>
      <c r="P118" s="48"/>
      <c r="Q118" s="48"/>
      <c r="R118" s="48"/>
      <c r="S118" s="48"/>
      <c r="T118" s="48"/>
      <c r="U118" s="48"/>
      <c r="V118" s="48"/>
      <c r="W118" s="48"/>
      <c r="X118" s="48"/>
      <c r="Y118" s="48"/>
      <c r="Z118" s="48"/>
    </row>
    <row r="119" ht="26.25" customHeight="1">
      <c r="A119" s="38">
        <v>16.0</v>
      </c>
      <c r="B119" s="48"/>
      <c r="C119" s="129" t="s">
        <v>1999</v>
      </c>
      <c r="D119" s="53" t="s">
        <v>2000</v>
      </c>
      <c r="E119" s="48"/>
      <c r="F119" s="48"/>
      <c r="G119" s="48"/>
      <c r="H119" s="48"/>
      <c r="I119" s="48"/>
      <c r="J119" s="48"/>
      <c r="K119" s="48"/>
      <c r="L119" s="48"/>
      <c r="M119" s="48"/>
      <c r="N119" s="48"/>
      <c r="O119" s="48"/>
      <c r="P119" s="48"/>
      <c r="Q119" s="48"/>
      <c r="R119" s="48"/>
      <c r="S119" s="48"/>
      <c r="T119" s="48"/>
      <c r="U119" s="48"/>
      <c r="V119" s="48"/>
      <c r="W119" s="48"/>
      <c r="X119" s="48"/>
      <c r="Y119" s="48"/>
      <c r="Z119" s="48"/>
    </row>
    <row r="120" ht="26.25" customHeight="1">
      <c r="A120" s="38">
        <v>17.0</v>
      </c>
      <c r="B120" s="48"/>
      <c r="C120" s="129" t="s">
        <v>2001</v>
      </c>
      <c r="D120" s="38" t="s">
        <v>2002</v>
      </c>
      <c r="E120" s="48"/>
      <c r="F120" s="48"/>
      <c r="G120" s="48"/>
      <c r="H120" s="48"/>
      <c r="I120" s="48"/>
      <c r="J120" s="48"/>
      <c r="K120" s="48"/>
      <c r="L120" s="48"/>
      <c r="M120" s="48"/>
      <c r="N120" s="48"/>
      <c r="O120" s="48"/>
      <c r="P120" s="48"/>
      <c r="Q120" s="48"/>
      <c r="R120" s="48"/>
      <c r="S120" s="48"/>
      <c r="T120" s="48"/>
      <c r="U120" s="48"/>
      <c r="V120" s="48"/>
      <c r="W120" s="48"/>
      <c r="X120" s="48"/>
      <c r="Y120" s="48"/>
      <c r="Z120" s="48"/>
    </row>
    <row r="121" ht="26.25" customHeight="1">
      <c r="A121" s="38">
        <v>18.0</v>
      </c>
      <c r="B121" s="153">
        <v>45981.0</v>
      </c>
      <c r="C121" s="129" t="s">
        <v>2003</v>
      </c>
      <c r="D121" s="154" t="s">
        <v>2004</v>
      </c>
      <c r="E121" s="48"/>
      <c r="F121" s="48"/>
      <c r="G121" s="48"/>
      <c r="H121" s="48"/>
      <c r="I121" s="48"/>
      <c r="J121" s="48"/>
      <c r="K121" s="48"/>
      <c r="L121" s="48"/>
      <c r="M121" s="48"/>
      <c r="N121" s="48"/>
      <c r="O121" s="48"/>
      <c r="P121" s="48"/>
      <c r="Q121" s="48"/>
      <c r="R121" s="48"/>
      <c r="S121" s="48"/>
      <c r="T121" s="48"/>
      <c r="U121" s="48"/>
      <c r="V121" s="48"/>
      <c r="W121" s="48"/>
      <c r="X121" s="48"/>
      <c r="Y121" s="48"/>
      <c r="Z121" s="48"/>
    </row>
    <row r="122" ht="26.25" customHeight="1">
      <c r="A122" s="38">
        <v>19.0</v>
      </c>
      <c r="B122" s="48"/>
      <c r="C122" s="129" t="s">
        <v>2005</v>
      </c>
      <c r="D122" s="38" t="s">
        <v>2006</v>
      </c>
      <c r="E122" s="48"/>
      <c r="F122" s="48"/>
      <c r="G122" s="48"/>
      <c r="H122" s="48"/>
      <c r="I122" s="48"/>
      <c r="J122" s="48"/>
      <c r="K122" s="48"/>
      <c r="L122" s="48"/>
      <c r="M122" s="48"/>
      <c r="N122" s="48"/>
      <c r="O122" s="48"/>
      <c r="P122" s="48"/>
      <c r="Q122" s="48"/>
      <c r="R122" s="48"/>
      <c r="S122" s="48"/>
      <c r="T122" s="48"/>
      <c r="U122" s="48"/>
      <c r="V122" s="48"/>
      <c r="W122" s="48"/>
      <c r="X122" s="48"/>
      <c r="Y122" s="48"/>
      <c r="Z122" s="48"/>
    </row>
    <row r="123" ht="26.25" customHeight="1">
      <c r="A123" s="38">
        <v>20.0</v>
      </c>
      <c r="B123" s="48"/>
      <c r="C123" s="129" t="s">
        <v>2007</v>
      </c>
      <c r="D123" s="154" t="s">
        <v>2008</v>
      </c>
      <c r="E123" s="48"/>
      <c r="F123" s="48"/>
      <c r="G123" s="48"/>
      <c r="H123" s="48"/>
      <c r="I123" s="48"/>
      <c r="J123" s="48"/>
      <c r="K123" s="48"/>
      <c r="L123" s="48"/>
      <c r="M123" s="48"/>
      <c r="N123" s="48"/>
      <c r="O123" s="48"/>
      <c r="P123" s="48"/>
      <c r="Q123" s="48"/>
      <c r="R123" s="48"/>
      <c r="S123" s="48"/>
      <c r="T123" s="48"/>
      <c r="U123" s="48"/>
      <c r="V123" s="48"/>
      <c r="W123" s="48"/>
      <c r="X123" s="48"/>
      <c r="Y123" s="48"/>
      <c r="Z123" s="48"/>
    </row>
    <row r="124" ht="26.25" customHeight="1">
      <c r="A124" s="38">
        <v>21.0</v>
      </c>
      <c r="B124" s="48"/>
      <c r="C124" s="129" t="s">
        <v>2009</v>
      </c>
      <c r="D124" s="154" t="s">
        <v>2010</v>
      </c>
      <c r="E124" s="48"/>
      <c r="F124" s="48"/>
      <c r="G124" s="48"/>
      <c r="H124" s="48"/>
      <c r="I124" s="48"/>
      <c r="J124" s="48"/>
      <c r="K124" s="48"/>
      <c r="L124" s="48"/>
      <c r="M124" s="48"/>
      <c r="N124" s="48"/>
      <c r="O124" s="48"/>
      <c r="P124" s="48"/>
      <c r="Q124" s="48"/>
      <c r="R124" s="48"/>
      <c r="S124" s="48"/>
      <c r="T124" s="48"/>
      <c r="U124" s="48"/>
      <c r="V124" s="48"/>
      <c r="W124" s="48"/>
      <c r="X124" s="48"/>
      <c r="Y124" s="48"/>
      <c r="Z124" s="48"/>
    </row>
    <row r="125" ht="26.25" customHeight="1">
      <c r="A125" s="38">
        <v>22.0</v>
      </c>
      <c r="B125" s="48"/>
      <c r="C125" s="129" t="s">
        <v>2011</v>
      </c>
      <c r="D125" s="154" t="s">
        <v>2012</v>
      </c>
      <c r="E125" s="48"/>
      <c r="F125" s="48"/>
      <c r="G125" s="48"/>
      <c r="H125" s="48"/>
      <c r="I125" s="48"/>
      <c r="J125" s="48"/>
      <c r="K125" s="48"/>
      <c r="L125" s="48"/>
      <c r="M125" s="48"/>
      <c r="N125" s="48"/>
      <c r="O125" s="48"/>
      <c r="P125" s="48"/>
      <c r="Q125" s="48"/>
      <c r="R125" s="48"/>
      <c r="S125" s="48"/>
      <c r="T125" s="48"/>
      <c r="U125" s="48"/>
      <c r="V125" s="48"/>
      <c r="W125" s="48"/>
      <c r="X125" s="48"/>
      <c r="Y125" s="48"/>
      <c r="Z125" s="48"/>
    </row>
    <row r="126" ht="26.25" customHeight="1">
      <c r="A126" s="38">
        <v>23.0</v>
      </c>
      <c r="B126" s="48"/>
      <c r="C126" s="129" t="s">
        <v>2013</v>
      </c>
      <c r="D126" s="159" t="s">
        <v>2014</v>
      </c>
      <c r="E126" s="38" t="s">
        <v>2015</v>
      </c>
      <c r="F126" s="38" t="s">
        <v>2016</v>
      </c>
      <c r="G126" s="38" t="s">
        <v>2017</v>
      </c>
      <c r="H126" s="160" t="s">
        <v>2018</v>
      </c>
      <c r="I126" s="48"/>
      <c r="J126" s="48"/>
      <c r="K126" s="48"/>
      <c r="L126" s="48"/>
      <c r="M126" s="48"/>
      <c r="N126" s="48"/>
      <c r="O126" s="48"/>
      <c r="P126" s="48"/>
      <c r="Q126" s="48"/>
      <c r="R126" s="48"/>
      <c r="S126" s="48"/>
      <c r="T126" s="48"/>
      <c r="U126" s="48"/>
      <c r="V126" s="48"/>
      <c r="W126" s="48"/>
      <c r="X126" s="48"/>
      <c r="Y126" s="48"/>
      <c r="Z126" s="48"/>
    </row>
    <row r="127" ht="26.25" customHeight="1">
      <c r="A127" s="38">
        <v>24.0</v>
      </c>
      <c r="B127" s="48"/>
      <c r="C127" s="129" t="s">
        <v>2019</v>
      </c>
      <c r="D127" s="38" t="s">
        <v>2020</v>
      </c>
      <c r="E127" s="48"/>
      <c r="F127" s="48"/>
      <c r="G127" s="48"/>
      <c r="H127" s="48"/>
      <c r="I127" s="48"/>
      <c r="J127" s="48"/>
      <c r="K127" s="48"/>
      <c r="L127" s="48"/>
      <c r="M127" s="48"/>
      <c r="N127" s="48"/>
      <c r="O127" s="48"/>
      <c r="P127" s="48"/>
      <c r="Q127" s="48"/>
      <c r="R127" s="48"/>
      <c r="S127" s="48"/>
      <c r="T127" s="48"/>
      <c r="U127" s="48"/>
      <c r="V127" s="48"/>
      <c r="W127" s="48"/>
      <c r="X127" s="48"/>
      <c r="Y127" s="48"/>
      <c r="Z127" s="48"/>
    </row>
    <row r="128" ht="26.25" customHeight="1">
      <c r="A128" s="38">
        <v>25.0</v>
      </c>
      <c r="B128" s="153">
        <v>45982.0</v>
      </c>
      <c r="C128" s="129" t="s">
        <v>2021</v>
      </c>
      <c r="D128" s="38" t="s">
        <v>2022</v>
      </c>
      <c r="E128" s="48"/>
      <c r="F128" s="48"/>
      <c r="G128" s="48"/>
      <c r="H128" s="48"/>
      <c r="I128" s="48"/>
      <c r="J128" s="48"/>
      <c r="K128" s="48"/>
      <c r="L128" s="48"/>
      <c r="M128" s="48"/>
      <c r="N128" s="48"/>
      <c r="O128" s="48"/>
      <c r="P128" s="48"/>
      <c r="Q128" s="48"/>
      <c r="R128" s="48"/>
      <c r="S128" s="48"/>
      <c r="T128" s="48"/>
      <c r="U128" s="48"/>
      <c r="V128" s="48"/>
      <c r="W128" s="48"/>
      <c r="X128" s="48"/>
      <c r="Y128" s="48"/>
      <c r="Z128" s="48"/>
    </row>
    <row r="129" ht="26.25" customHeight="1">
      <c r="A129" s="38">
        <v>26.0</v>
      </c>
      <c r="B129" s="48"/>
      <c r="C129" s="129" t="s">
        <v>2023</v>
      </c>
      <c r="D129" s="38" t="s">
        <v>2024</v>
      </c>
      <c r="E129" s="48"/>
      <c r="F129" s="48"/>
      <c r="G129" s="48"/>
      <c r="H129" s="48"/>
      <c r="I129" s="48"/>
      <c r="J129" s="48"/>
      <c r="K129" s="48"/>
      <c r="L129" s="48"/>
      <c r="M129" s="48"/>
      <c r="N129" s="48"/>
      <c r="O129" s="48"/>
      <c r="P129" s="48"/>
      <c r="Q129" s="48"/>
      <c r="R129" s="48"/>
      <c r="S129" s="48"/>
      <c r="T129" s="48"/>
      <c r="U129" s="48"/>
      <c r="V129" s="48"/>
      <c r="W129" s="48"/>
      <c r="X129" s="48"/>
      <c r="Y129" s="48"/>
      <c r="Z129" s="48"/>
    </row>
    <row r="130" ht="26.25" customHeight="1">
      <c r="A130" s="38">
        <v>27.0</v>
      </c>
      <c r="B130" s="48"/>
      <c r="C130" s="129" t="s">
        <v>2025</v>
      </c>
      <c r="D130" s="38" t="s">
        <v>2026</v>
      </c>
      <c r="E130" s="48"/>
      <c r="F130" s="48"/>
      <c r="G130" s="48"/>
      <c r="H130" s="48"/>
      <c r="I130" s="48"/>
      <c r="J130" s="48"/>
      <c r="K130" s="48"/>
      <c r="L130" s="48"/>
      <c r="M130" s="48"/>
      <c r="N130" s="48"/>
      <c r="O130" s="48"/>
      <c r="P130" s="48"/>
      <c r="Q130" s="48"/>
      <c r="R130" s="48"/>
      <c r="S130" s="48"/>
      <c r="T130" s="48"/>
      <c r="U130" s="48"/>
      <c r="V130" s="48"/>
      <c r="W130" s="48"/>
      <c r="X130" s="48"/>
      <c r="Y130" s="48"/>
      <c r="Z130" s="48"/>
    </row>
    <row r="131" ht="26.25" customHeight="1">
      <c r="A131" s="38">
        <v>28.0</v>
      </c>
      <c r="B131" s="48"/>
      <c r="C131" s="129" t="s">
        <v>2027</v>
      </c>
      <c r="D131" s="38" t="s">
        <v>2028</v>
      </c>
      <c r="E131" s="48"/>
      <c r="F131" s="48"/>
      <c r="G131" s="48"/>
      <c r="H131" s="48"/>
      <c r="I131" s="48"/>
      <c r="J131" s="48"/>
      <c r="K131" s="48"/>
      <c r="L131" s="48"/>
      <c r="M131" s="48"/>
      <c r="N131" s="48"/>
      <c r="O131" s="48"/>
      <c r="P131" s="48"/>
      <c r="Q131" s="48"/>
      <c r="R131" s="48"/>
      <c r="S131" s="48"/>
      <c r="T131" s="48"/>
      <c r="U131" s="48"/>
      <c r="V131" s="48"/>
      <c r="W131" s="48"/>
      <c r="X131" s="48"/>
      <c r="Y131" s="48"/>
      <c r="Z131" s="48"/>
    </row>
    <row r="132" ht="26.25" customHeight="1">
      <c r="A132" s="161">
        <v>1.0</v>
      </c>
      <c r="B132" s="153">
        <v>45985.0</v>
      </c>
      <c r="C132" s="129" t="s">
        <v>2029</v>
      </c>
      <c r="D132" s="154" t="s">
        <v>2030</v>
      </c>
      <c r="E132" s="48"/>
      <c r="F132" s="48"/>
      <c r="G132" s="48"/>
      <c r="H132" s="48"/>
      <c r="I132" s="48"/>
      <c r="J132" s="48"/>
      <c r="K132" s="48"/>
      <c r="L132" s="48"/>
      <c r="M132" s="48"/>
      <c r="N132" s="48"/>
      <c r="O132" s="48"/>
      <c r="P132" s="48"/>
      <c r="Q132" s="48"/>
      <c r="R132" s="48"/>
      <c r="S132" s="48"/>
      <c r="T132" s="48"/>
      <c r="U132" s="48"/>
      <c r="V132" s="48"/>
      <c r="W132" s="48"/>
      <c r="X132" s="48"/>
      <c r="Y132" s="48"/>
      <c r="Z132" s="48"/>
    </row>
    <row r="133" ht="26.25" customHeight="1">
      <c r="A133" s="161"/>
      <c r="B133" s="48"/>
      <c r="C133" s="129" t="s">
        <v>2031</v>
      </c>
      <c r="D133" s="38" t="s">
        <v>2032</v>
      </c>
      <c r="E133" s="155" t="s">
        <v>2033</v>
      </c>
      <c r="F133" s="38" t="s">
        <v>2034</v>
      </c>
      <c r="G133" s="48"/>
      <c r="H133" s="48"/>
      <c r="I133" s="48"/>
      <c r="J133" s="48"/>
      <c r="K133" s="48"/>
      <c r="L133" s="48"/>
      <c r="M133" s="48"/>
      <c r="N133" s="48"/>
      <c r="O133" s="48"/>
      <c r="P133" s="48"/>
      <c r="Q133" s="48"/>
      <c r="R133" s="48"/>
      <c r="S133" s="48"/>
      <c r="T133" s="48"/>
      <c r="U133" s="48"/>
      <c r="V133" s="48"/>
      <c r="W133" s="48"/>
      <c r="X133" s="48"/>
      <c r="Y133" s="48"/>
      <c r="Z133" s="48"/>
    </row>
    <row r="134" ht="26.25" customHeight="1">
      <c r="A134" s="162"/>
      <c r="B134" s="48"/>
      <c r="C134" s="129" t="s">
        <v>2035</v>
      </c>
      <c r="D134" s="38" t="s">
        <v>2036</v>
      </c>
      <c r="E134" s="48"/>
      <c r="F134" s="48"/>
      <c r="G134" s="48"/>
      <c r="H134" s="48"/>
      <c r="I134" s="48"/>
      <c r="J134" s="48"/>
      <c r="K134" s="48"/>
      <c r="L134" s="48"/>
      <c r="M134" s="48"/>
      <c r="N134" s="48"/>
      <c r="O134" s="48"/>
      <c r="P134" s="48"/>
      <c r="Q134" s="48"/>
      <c r="R134" s="48"/>
      <c r="S134" s="48"/>
      <c r="T134" s="48"/>
      <c r="U134" s="48"/>
      <c r="V134" s="48"/>
      <c r="W134" s="48"/>
      <c r="X134" s="48"/>
      <c r="Y134" s="48"/>
      <c r="Z134" s="48"/>
    </row>
    <row r="135" ht="26.25" customHeight="1">
      <c r="A135" s="162"/>
      <c r="B135" s="48"/>
      <c r="C135" s="129" t="s">
        <v>2037</v>
      </c>
      <c r="D135" s="38" t="s">
        <v>2038</v>
      </c>
      <c r="E135" s="48"/>
      <c r="F135" s="48"/>
      <c r="G135" s="48"/>
      <c r="H135" s="48"/>
      <c r="I135" s="48"/>
      <c r="J135" s="48"/>
      <c r="K135" s="48"/>
      <c r="L135" s="48"/>
      <c r="M135" s="48"/>
      <c r="N135" s="48"/>
      <c r="O135" s="48"/>
      <c r="P135" s="48"/>
      <c r="Q135" s="48"/>
      <c r="R135" s="48"/>
      <c r="S135" s="48"/>
      <c r="T135" s="48"/>
      <c r="U135" s="48"/>
      <c r="V135" s="48"/>
      <c r="W135" s="48"/>
      <c r="X135" s="48"/>
      <c r="Y135" s="48"/>
      <c r="Z135" s="48"/>
    </row>
    <row r="136" ht="26.25" customHeight="1">
      <c r="A136" s="162"/>
      <c r="B136" s="48"/>
      <c r="C136" s="129" t="s">
        <v>2039</v>
      </c>
      <c r="D136" s="154" t="s">
        <v>142</v>
      </c>
      <c r="E136" s="48"/>
      <c r="F136" s="48"/>
      <c r="G136" s="48"/>
      <c r="H136" s="48"/>
      <c r="I136" s="48"/>
      <c r="J136" s="48"/>
      <c r="K136" s="48"/>
      <c r="L136" s="48"/>
      <c r="M136" s="48"/>
      <c r="N136" s="48"/>
      <c r="O136" s="48"/>
      <c r="P136" s="48"/>
      <c r="Q136" s="48"/>
      <c r="R136" s="48"/>
      <c r="S136" s="48"/>
      <c r="T136" s="48"/>
      <c r="U136" s="48"/>
      <c r="V136" s="48"/>
      <c r="W136" s="48"/>
      <c r="X136" s="48"/>
      <c r="Y136" s="48"/>
      <c r="Z136" s="48"/>
    </row>
    <row r="137" ht="26.25" customHeight="1">
      <c r="A137" s="48"/>
      <c r="B137" s="48"/>
      <c r="C137" s="129" t="s">
        <v>2040</v>
      </c>
      <c r="D137" s="38" t="s">
        <v>2041</v>
      </c>
      <c r="E137" s="48"/>
      <c r="F137" s="48"/>
      <c r="G137" s="48"/>
      <c r="H137" s="48"/>
      <c r="I137" s="48"/>
      <c r="J137" s="48"/>
      <c r="K137" s="48"/>
      <c r="L137" s="48"/>
      <c r="M137" s="48"/>
      <c r="N137" s="48"/>
      <c r="O137" s="48"/>
      <c r="P137" s="48"/>
      <c r="Q137" s="48"/>
      <c r="R137" s="48"/>
      <c r="S137" s="48"/>
      <c r="T137" s="48"/>
      <c r="U137" s="48"/>
      <c r="V137" s="48"/>
      <c r="W137" s="48"/>
      <c r="X137" s="48"/>
      <c r="Y137" s="48"/>
      <c r="Z137" s="48"/>
    </row>
    <row r="138" ht="26.25" customHeight="1">
      <c r="A138" s="48"/>
      <c r="B138" s="48"/>
      <c r="C138" s="129" t="s">
        <v>2042</v>
      </c>
      <c r="D138" s="38" t="s">
        <v>2043</v>
      </c>
      <c r="E138" s="48"/>
      <c r="F138" s="48"/>
      <c r="G138" s="48"/>
      <c r="H138" s="48"/>
      <c r="I138" s="48"/>
      <c r="J138" s="48"/>
      <c r="K138" s="48"/>
      <c r="L138" s="48"/>
      <c r="M138" s="48"/>
      <c r="N138" s="48"/>
      <c r="O138" s="48"/>
      <c r="P138" s="48"/>
      <c r="Q138" s="48"/>
      <c r="R138" s="48"/>
      <c r="S138" s="48"/>
      <c r="T138" s="48"/>
      <c r="U138" s="48"/>
      <c r="V138" s="48"/>
      <c r="W138" s="48"/>
      <c r="X138" s="48"/>
      <c r="Y138" s="48"/>
      <c r="Z138" s="48"/>
    </row>
    <row r="139" ht="26.25" customHeight="1">
      <c r="A139" s="48"/>
      <c r="B139" s="153">
        <v>45986.0</v>
      </c>
      <c r="C139" s="129" t="s">
        <v>2044</v>
      </c>
      <c r="D139" s="155" t="s">
        <v>2045</v>
      </c>
      <c r="E139" s="38" t="s">
        <v>2046</v>
      </c>
      <c r="F139" s="38" t="s">
        <v>2047</v>
      </c>
      <c r="G139" s="155" t="s">
        <v>2048</v>
      </c>
      <c r="H139" s="38" t="s">
        <v>2049</v>
      </c>
      <c r="I139" s="38"/>
      <c r="J139" s="48"/>
      <c r="K139" s="48"/>
      <c r="L139" s="48"/>
      <c r="M139" s="48"/>
      <c r="N139" s="48"/>
      <c r="O139" s="48"/>
      <c r="P139" s="48"/>
      <c r="Q139" s="48"/>
      <c r="R139" s="48"/>
      <c r="S139" s="48"/>
      <c r="T139" s="48"/>
      <c r="U139" s="48"/>
      <c r="V139" s="48"/>
      <c r="W139" s="48"/>
      <c r="X139" s="48"/>
      <c r="Y139" s="48"/>
      <c r="Z139" s="48"/>
    </row>
    <row r="140" ht="26.25" customHeight="1">
      <c r="A140" s="48"/>
      <c r="B140" s="48"/>
      <c r="C140" s="129" t="s">
        <v>2050</v>
      </c>
      <c r="D140" s="155" t="s">
        <v>2051</v>
      </c>
      <c r="E140" s="48"/>
      <c r="F140" s="48"/>
      <c r="G140" s="48"/>
      <c r="H140" s="48"/>
      <c r="I140" s="48"/>
      <c r="J140" s="48"/>
      <c r="K140" s="48"/>
      <c r="L140" s="48"/>
      <c r="M140" s="48"/>
      <c r="N140" s="48"/>
      <c r="O140" s="48"/>
      <c r="P140" s="48"/>
      <c r="Q140" s="48"/>
      <c r="R140" s="48"/>
      <c r="S140" s="48"/>
      <c r="T140" s="48"/>
      <c r="U140" s="48"/>
      <c r="V140" s="48"/>
      <c r="W140" s="48"/>
      <c r="X140" s="48"/>
      <c r="Y140" s="48"/>
      <c r="Z140" s="48"/>
    </row>
    <row r="141" ht="26.25" customHeight="1">
      <c r="A141" s="48"/>
      <c r="B141" s="48"/>
      <c r="C141" s="129" t="s">
        <v>2052</v>
      </c>
      <c r="D141" s="155" t="s">
        <v>2053</v>
      </c>
      <c r="E141" s="48"/>
      <c r="F141" s="48"/>
      <c r="G141" s="48"/>
      <c r="H141" s="48"/>
      <c r="I141" s="48"/>
      <c r="J141" s="48"/>
      <c r="K141" s="48"/>
      <c r="L141" s="48"/>
      <c r="M141" s="48"/>
      <c r="N141" s="48"/>
      <c r="O141" s="48"/>
      <c r="P141" s="48"/>
      <c r="Q141" s="48"/>
      <c r="R141" s="48"/>
      <c r="S141" s="48"/>
      <c r="T141" s="48"/>
      <c r="U141" s="48"/>
      <c r="V141" s="48"/>
      <c r="W141" s="48"/>
      <c r="X141" s="48"/>
      <c r="Y141" s="48"/>
      <c r="Z141" s="48"/>
    </row>
    <row r="142" ht="26.25" customHeight="1">
      <c r="A142" s="48"/>
      <c r="B142" s="48"/>
      <c r="C142" s="129" t="s">
        <v>2054</v>
      </c>
      <c r="D142" s="68" t="s">
        <v>2055</v>
      </c>
      <c r="E142" s="38" t="s">
        <v>2056</v>
      </c>
      <c r="F142" s="48"/>
      <c r="G142" s="48"/>
      <c r="H142" s="48"/>
      <c r="I142" s="48"/>
      <c r="J142" s="48"/>
      <c r="K142" s="48"/>
      <c r="L142" s="48"/>
      <c r="M142" s="48"/>
      <c r="N142" s="48"/>
      <c r="O142" s="48"/>
      <c r="P142" s="48"/>
      <c r="Q142" s="48"/>
      <c r="R142" s="48"/>
      <c r="S142" s="48"/>
      <c r="T142" s="48"/>
      <c r="U142" s="48"/>
      <c r="V142" s="48"/>
      <c r="W142" s="48"/>
      <c r="X142" s="48"/>
      <c r="Y142" s="48"/>
      <c r="Z142" s="48"/>
    </row>
    <row r="143" ht="26.25" customHeight="1">
      <c r="A143" s="48"/>
      <c r="B143" s="48"/>
      <c r="C143" s="129" t="s">
        <v>2057</v>
      </c>
      <c r="D143" s="155" t="s">
        <v>2058</v>
      </c>
      <c r="E143" s="48"/>
      <c r="F143" s="48"/>
      <c r="G143" s="48"/>
      <c r="H143" s="48"/>
      <c r="I143" s="48"/>
      <c r="J143" s="48"/>
      <c r="K143" s="48"/>
      <c r="L143" s="48"/>
      <c r="M143" s="48"/>
      <c r="N143" s="48"/>
      <c r="O143" s="48"/>
      <c r="P143" s="48"/>
      <c r="Q143" s="48"/>
      <c r="R143" s="48"/>
      <c r="S143" s="48"/>
      <c r="T143" s="48"/>
      <c r="U143" s="48"/>
      <c r="V143" s="48"/>
      <c r="W143" s="48"/>
      <c r="X143" s="48"/>
      <c r="Y143" s="48"/>
      <c r="Z143" s="48"/>
    </row>
    <row r="144" ht="26.25" customHeight="1">
      <c r="A144" s="48"/>
      <c r="B144" s="153"/>
      <c r="C144" s="129" t="s">
        <v>2059</v>
      </c>
      <c r="D144" s="53" t="s">
        <v>2060</v>
      </c>
      <c r="E144" s="48"/>
      <c r="F144" s="48"/>
      <c r="G144" s="48"/>
      <c r="H144" s="48"/>
      <c r="I144" s="48"/>
      <c r="J144" s="48"/>
      <c r="K144" s="48"/>
      <c r="L144" s="48"/>
      <c r="M144" s="48"/>
      <c r="N144" s="48"/>
      <c r="O144" s="48"/>
      <c r="P144" s="48"/>
      <c r="Q144" s="48"/>
      <c r="R144" s="48"/>
      <c r="S144" s="48"/>
      <c r="T144" s="48"/>
      <c r="U144" s="48"/>
      <c r="V144" s="48"/>
      <c r="W144" s="48"/>
      <c r="X144" s="48"/>
      <c r="Y144" s="48"/>
      <c r="Z144" s="48"/>
    </row>
    <row r="145" ht="26.25" customHeight="1">
      <c r="A145" s="48"/>
      <c r="B145" s="48"/>
      <c r="C145" s="129" t="s">
        <v>2061</v>
      </c>
      <c r="D145" s="38" t="s">
        <v>2062</v>
      </c>
      <c r="E145" s="48"/>
      <c r="F145" s="48"/>
      <c r="G145" s="48"/>
      <c r="H145" s="48"/>
      <c r="I145" s="48"/>
      <c r="J145" s="48"/>
      <c r="K145" s="48"/>
      <c r="L145" s="48"/>
      <c r="M145" s="48"/>
      <c r="N145" s="48"/>
      <c r="O145" s="48"/>
      <c r="P145" s="48"/>
      <c r="Q145" s="48"/>
      <c r="R145" s="48"/>
      <c r="S145" s="48"/>
      <c r="T145" s="48"/>
      <c r="U145" s="48"/>
      <c r="V145" s="48"/>
      <c r="W145" s="48"/>
      <c r="X145" s="48"/>
      <c r="Y145" s="48"/>
      <c r="Z145" s="48"/>
    </row>
    <row r="146" ht="26.25" customHeight="1">
      <c r="A146" s="48"/>
      <c r="B146" s="48"/>
      <c r="C146" s="125"/>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ht="26.25" customHeight="1">
      <c r="A147" s="48"/>
      <c r="B147" s="48"/>
      <c r="C147" s="125"/>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ht="26.25" customHeight="1">
      <c r="A148" s="48"/>
      <c r="B148" s="48"/>
      <c r="C148" s="125"/>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ht="26.25" customHeight="1">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ht="26.25" customHeight="1">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ht="26.25" customHeight="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ht="26.25" customHeight="1">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ht="26.25" customHeight="1">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ht="26.25" customHeight="1">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ht="26.25" customHeight="1">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ht="26.25" customHeight="1">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ht="26.25" customHeight="1">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ht="26.25" customHeight="1">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ht="26.25" customHeight="1">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ht="26.25" customHeight="1">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ht="26.25" customHeight="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ht="26.25" customHeight="1">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ht="26.25" customHeight="1">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ht="26.25" customHeight="1">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ht="26.25" customHeight="1">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ht="26.25" customHeight="1">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ht="26.25" customHeight="1">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ht="26.25" customHeight="1">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ht="26.25" customHeight="1">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ht="26.25" customHeight="1">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ht="26.25" customHeight="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ht="26.25" customHeight="1">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ht="26.25" customHeight="1">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ht="26.25" customHeight="1">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ht="26.25" customHeight="1">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ht="26.25" customHeight="1">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ht="26.25" customHeight="1">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ht="26.25" customHeight="1">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ht="26.25" customHeight="1">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ht="26.25" customHeight="1">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ht="26.25" customHeight="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ht="26.25" customHeight="1">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ht="26.25" customHeight="1">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ht="26.25" customHeight="1">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ht="26.25" customHeight="1">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ht="26.25" customHeight="1">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ht="26.25" customHeight="1">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ht="26.25" customHeight="1">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ht="26.25" customHeight="1">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ht="26.25" customHeight="1">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ht="26.25" customHeight="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ht="26.25" customHeight="1">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ht="26.25" customHeight="1">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ht="26.25" customHeight="1">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ht="26.25" customHeight="1">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ht="26.25" customHeight="1">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ht="26.25" customHeight="1">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ht="26.25" customHeight="1">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ht="26.25" customHeight="1">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ht="26.25" customHeight="1">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ht="26.25" customHeight="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ht="26.25" customHeight="1">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ht="26.25" customHeight="1">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ht="26.25" customHeight="1">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ht="26.25" customHeight="1">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ht="26.25" customHeight="1">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ht="26.25" customHeight="1">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ht="26.25" customHeight="1">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ht="26.25" customHeight="1">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ht="26.25" customHeight="1">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ht="26.25" customHeight="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ht="26.25" customHeight="1">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ht="26.25" customHeight="1">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ht="26.25" customHeight="1">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ht="26.25" customHeight="1">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ht="26.25" customHeight="1">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ht="26.25" customHeight="1">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ht="26.25" customHeight="1">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ht="26.25" customHeight="1">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ht="26.25" customHeight="1">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ht="26.25" customHeight="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ht="26.25" customHeight="1">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ht="26.25" customHeight="1">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ht="26.25" customHeight="1">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ht="26.25" customHeight="1">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ht="26.25" customHeight="1">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ht="26.25" customHeight="1">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ht="26.25" customHeight="1">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ht="26.25" customHeight="1">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ht="26.25" customHeight="1">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ht="26.25" customHeight="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ht="26.25" customHeight="1">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ht="26.25" customHeight="1">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ht="26.25" customHeight="1">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ht="26.25" customHeight="1">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ht="26.25" customHeight="1">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ht="26.25" customHeight="1">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ht="26.25" customHeight="1">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ht="26.25" customHeight="1">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ht="26.25" customHeight="1">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ht="26.25" customHeight="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ht="26.25" customHeight="1">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ht="26.25" customHeight="1">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ht="26.25" customHeight="1">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ht="26.25" customHeight="1">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ht="26.25" customHeight="1">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ht="26.25" customHeight="1">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ht="26.25" customHeight="1">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ht="26.25" customHeight="1">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ht="26.25" customHeight="1">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ht="26.25" customHeight="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ht="26.25" customHeight="1">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ht="26.25" customHeight="1">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ht="26.25" customHeight="1">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ht="26.25" customHeight="1">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ht="26.25" customHeight="1">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ht="26.25" customHeight="1">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ht="26.25" customHeight="1">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ht="26.25" customHeight="1">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ht="15.75" customHeight="1">
      <c r="D260" s="99"/>
      <c r="F260" s="99"/>
      <c r="G260" s="99"/>
      <c r="H260" s="99"/>
      <c r="I260" s="99"/>
    </row>
    <row r="261" ht="15.75" customHeight="1">
      <c r="D261" s="99"/>
      <c r="F261" s="99"/>
      <c r="G261" s="99"/>
      <c r="H261" s="99"/>
      <c r="I261" s="99"/>
    </row>
    <row r="262" ht="15.75" customHeight="1">
      <c r="D262" s="99"/>
      <c r="F262" s="99"/>
      <c r="G262" s="99"/>
      <c r="H262" s="99"/>
      <c r="I262" s="99"/>
    </row>
    <row r="263" ht="15.75" customHeight="1">
      <c r="D263" s="99"/>
      <c r="F263" s="99"/>
      <c r="G263" s="99"/>
      <c r="H263" s="99"/>
      <c r="I263" s="99"/>
    </row>
    <row r="264" ht="15.75" customHeight="1">
      <c r="D264" s="99"/>
      <c r="F264" s="99"/>
      <c r="G264" s="99"/>
      <c r="H264" s="99"/>
      <c r="I264" s="99"/>
    </row>
    <row r="265" ht="15.75" customHeight="1">
      <c r="D265" s="99"/>
      <c r="F265" s="99"/>
      <c r="G265" s="99"/>
      <c r="H265" s="99"/>
      <c r="I265" s="99"/>
    </row>
    <row r="266" ht="15.75" customHeight="1">
      <c r="D266" s="99"/>
      <c r="F266" s="99"/>
      <c r="G266" s="99"/>
      <c r="H266" s="99"/>
      <c r="I266" s="99"/>
    </row>
    <row r="267" ht="15.75" customHeight="1">
      <c r="D267" s="99"/>
      <c r="F267" s="99"/>
      <c r="G267" s="99"/>
      <c r="H267" s="99"/>
      <c r="I267" s="99"/>
    </row>
    <row r="268" ht="15.75" customHeight="1">
      <c r="D268" s="99"/>
      <c r="F268" s="99"/>
      <c r="G268" s="99"/>
      <c r="H268" s="99"/>
      <c r="I268" s="99"/>
    </row>
    <row r="269" ht="15.75" customHeight="1">
      <c r="D269" s="99"/>
      <c r="F269" s="99"/>
      <c r="G269" s="99"/>
      <c r="H269" s="99"/>
      <c r="I269" s="99"/>
    </row>
    <row r="270" ht="15.75" customHeight="1">
      <c r="D270" s="99"/>
      <c r="F270" s="99"/>
      <c r="G270" s="99"/>
      <c r="H270" s="99"/>
      <c r="I270" s="99"/>
    </row>
    <row r="271" ht="15.75" customHeight="1">
      <c r="D271" s="99"/>
      <c r="F271" s="99"/>
      <c r="G271" s="99"/>
      <c r="H271" s="99"/>
      <c r="I271" s="99"/>
    </row>
    <row r="272" ht="15.75" customHeight="1">
      <c r="D272" s="99"/>
      <c r="F272" s="99"/>
      <c r="G272" s="99"/>
      <c r="H272" s="99"/>
      <c r="I272" s="99"/>
    </row>
    <row r="273" ht="15.75" customHeight="1">
      <c r="D273" s="99"/>
      <c r="F273" s="99"/>
      <c r="G273" s="99"/>
      <c r="H273" s="99"/>
      <c r="I273" s="99"/>
    </row>
    <row r="274" ht="15.75" customHeight="1">
      <c r="D274" s="99"/>
      <c r="F274" s="99"/>
      <c r="G274" s="99"/>
      <c r="H274" s="99"/>
      <c r="I274" s="99"/>
    </row>
    <row r="275" ht="15.75" customHeight="1">
      <c r="D275" s="99"/>
      <c r="F275" s="99"/>
      <c r="G275" s="99"/>
      <c r="H275" s="99"/>
      <c r="I275" s="99"/>
    </row>
    <row r="276" ht="15.75" customHeight="1">
      <c r="D276" s="99"/>
      <c r="F276" s="99"/>
      <c r="G276" s="99"/>
      <c r="H276" s="99"/>
      <c r="I276" s="99"/>
    </row>
    <row r="277" ht="15.75" customHeight="1">
      <c r="D277" s="99"/>
      <c r="F277" s="99"/>
      <c r="G277" s="99"/>
      <c r="H277" s="99"/>
      <c r="I277" s="99"/>
    </row>
    <row r="278" ht="15.75" customHeight="1">
      <c r="D278" s="99"/>
      <c r="F278" s="99"/>
      <c r="G278" s="99"/>
      <c r="H278" s="99"/>
      <c r="I278" s="99"/>
    </row>
    <row r="279" ht="15.75" customHeight="1">
      <c r="D279" s="99"/>
      <c r="F279" s="99"/>
      <c r="G279" s="99"/>
      <c r="H279" s="99"/>
      <c r="I279" s="99"/>
    </row>
    <row r="280" ht="15.75" customHeight="1">
      <c r="D280" s="99"/>
      <c r="F280" s="99"/>
      <c r="G280" s="99"/>
      <c r="H280" s="99"/>
      <c r="I280" s="99"/>
    </row>
    <row r="281" ht="15.75" customHeight="1">
      <c r="D281" s="99"/>
      <c r="F281" s="99"/>
      <c r="G281" s="99"/>
      <c r="H281" s="99"/>
      <c r="I281" s="99"/>
    </row>
    <row r="282" ht="15.75" customHeight="1">
      <c r="D282" s="99"/>
      <c r="F282" s="99"/>
      <c r="G282" s="99"/>
      <c r="H282" s="99"/>
      <c r="I282" s="99"/>
    </row>
    <row r="283" ht="15.75" customHeight="1">
      <c r="D283" s="99"/>
      <c r="F283" s="99"/>
      <c r="G283" s="99"/>
      <c r="H283" s="99"/>
      <c r="I283" s="99"/>
    </row>
    <row r="284" ht="15.75" customHeight="1">
      <c r="D284" s="99"/>
      <c r="F284" s="99"/>
      <c r="G284" s="99"/>
      <c r="H284" s="99"/>
      <c r="I284" s="99"/>
    </row>
    <row r="285" ht="15.75" customHeight="1">
      <c r="D285" s="99"/>
      <c r="F285" s="99"/>
      <c r="G285" s="99"/>
      <c r="H285" s="99"/>
      <c r="I285" s="99"/>
    </row>
    <row r="286" ht="15.75" customHeight="1">
      <c r="D286" s="99"/>
      <c r="F286" s="99"/>
      <c r="G286" s="99"/>
      <c r="H286" s="99"/>
      <c r="I286" s="99"/>
    </row>
    <row r="287" ht="15.75" customHeight="1">
      <c r="D287" s="99"/>
      <c r="F287" s="99"/>
      <c r="G287" s="99"/>
      <c r="H287" s="99"/>
      <c r="I287" s="99"/>
    </row>
    <row r="288" ht="15.75" customHeight="1">
      <c r="D288" s="99"/>
      <c r="F288" s="99"/>
      <c r="G288" s="99"/>
      <c r="H288" s="99"/>
      <c r="I288" s="99"/>
    </row>
    <row r="289" ht="15.75" customHeight="1">
      <c r="D289" s="99"/>
      <c r="F289" s="99"/>
      <c r="G289" s="99"/>
      <c r="H289" s="99"/>
      <c r="I289" s="99"/>
    </row>
    <row r="290" ht="15.75" customHeight="1">
      <c r="D290" s="99"/>
      <c r="F290" s="99"/>
      <c r="G290" s="99"/>
      <c r="H290" s="99"/>
      <c r="I290" s="99"/>
    </row>
    <row r="291" ht="15.75" customHeight="1">
      <c r="D291" s="99"/>
      <c r="F291" s="99"/>
      <c r="G291" s="99"/>
      <c r="H291" s="99"/>
      <c r="I291" s="99"/>
    </row>
    <row r="292" ht="15.75" customHeight="1">
      <c r="D292" s="99"/>
      <c r="F292" s="99"/>
      <c r="G292" s="99"/>
      <c r="H292" s="99"/>
      <c r="I292" s="99"/>
    </row>
    <row r="293" ht="15.75" customHeight="1">
      <c r="D293" s="99"/>
      <c r="F293" s="99"/>
      <c r="G293" s="99"/>
      <c r="H293" s="99"/>
      <c r="I293" s="99"/>
    </row>
    <row r="294" ht="15.75" customHeight="1">
      <c r="D294" s="99"/>
      <c r="F294" s="99"/>
      <c r="G294" s="99"/>
      <c r="H294" s="99"/>
      <c r="I294" s="99"/>
    </row>
    <row r="295" ht="15.75" customHeight="1">
      <c r="D295" s="99"/>
      <c r="F295" s="99"/>
      <c r="G295" s="99"/>
      <c r="H295" s="99"/>
      <c r="I295" s="99"/>
    </row>
    <row r="296" ht="15.75" customHeight="1">
      <c r="D296" s="99"/>
      <c r="F296" s="99"/>
      <c r="G296" s="99"/>
      <c r="H296" s="99"/>
      <c r="I296" s="99"/>
    </row>
    <row r="297" ht="15.75" customHeight="1">
      <c r="D297" s="99"/>
      <c r="F297" s="99"/>
      <c r="G297" s="99"/>
      <c r="H297" s="99"/>
      <c r="I297" s="99"/>
    </row>
    <row r="298" ht="15.75" customHeight="1">
      <c r="D298" s="99"/>
      <c r="F298" s="99"/>
      <c r="G298" s="99"/>
      <c r="H298" s="99"/>
      <c r="I298" s="99"/>
    </row>
    <row r="299" ht="15.75" customHeight="1">
      <c r="D299" s="99"/>
      <c r="F299" s="99"/>
      <c r="G299" s="99"/>
      <c r="H299" s="99"/>
      <c r="I299" s="99"/>
    </row>
    <row r="300" ht="15.75" customHeight="1">
      <c r="D300" s="99"/>
      <c r="F300" s="99"/>
      <c r="G300" s="99"/>
      <c r="H300" s="99"/>
      <c r="I300" s="99"/>
    </row>
    <row r="301" ht="15.75" customHeight="1">
      <c r="D301" s="99"/>
      <c r="F301" s="99"/>
      <c r="G301" s="99"/>
      <c r="H301" s="99"/>
      <c r="I301" s="99"/>
    </row>
    <row r="302" ht="15.75" customHeight="1">
      <c r="D302" s="99"/>
      <c r="F302" s="99"/>
      <c r="G302" s="99"/>
      <c r="H302" s="99"/>
      <c r="I302" s="99"/>
    </row>
    <row r="303" ht="15.75" customHeight="1">
      <c r="D303" s="99"/>
      <c r="F303" s="99"/>
      <c r="G303" s="99"/>
      <c r="H303" s="99"/>
      <c r="I303" s="99"/>
    </row>
    <row r="304" ht="15.75" customHeight="1">
      <c r="D304" s="99"/>
      <c r="F304" s="99"/>
      <c r="G304" s="99"/>
      <c r="H304" s="99"/>
      <c r="I304" s="99"/>
    </row>
    <row r="305" ht="15.75" customHeight="1">
      <c r="D305" s="99"/>
      <c r="F305" s="99"/>
      <c r="G305" s="99"/>
      <c r="H305" s="99"/>
      <c r="I305" s="99"/>
    </row>
    <row r="306" ht="15.75" customHeight="1">
      <c r="D306" s="99"/>
      <c r="F306" s="99"/>
      <c r="G306" s="99"/>
      <c r="H306" s="99"/>
      <c r="I306" s="99"/>
    </row>
    <row r="307" ht="15.75" customHeight="1">
      <c r="D307" s="99"/>
      <c r="F307" s="99"/>
      <c r="G307" s="99"/>
      <c r="H307" s="99"/>
      <c r="I307" s="99"/>
    </row>
    <row r="308" ht="15.75" customHeight="1">
      <c r="D308" s="99"/>
      <c r="F308" s="99"/>
      <c r="G308" s="99"/>
      <c r="H308" s="99"/>
      <c r="I308" s="99"/>
    </row>
    <row r="309" ht="15.75" customHeight="1">
      <c r="D309" s="99"/>
      <c r="F309" s="99"/>
      <c r="G309" s="99"/>
      <c r="H309" s="99"/>
      <c r="I309" s="99"/>
    </row>
    <row r="310" ht="15.75" customHeight="1">
      <c r="D310" s="99"/>
      <c r="F310" s="99"/>
      <c r="G310" s="99"/>
      <c r="H310" s="99"/>
      <c r="I310" s="99"/>
    </row>
    <row r="311" ht="15.75" customHeight="1">
      <c r="D311" s="99"/>
      <c r="F311" s="99"/>
      <c r="G311" s="99"/>
      <c r="H311" s="99"/>
      <c r="I311" s="99"/>
    </row>
    <row r="312" ht="15.75" customHeight="1">
      <c r="D312" s="99"/>
      <c r="F312" s="99"/>
      <c r="G312" s="99"/>
      <c r="H312" s="99"/>
      <c r="I312" s="99"/>
    </row>
    <row r="313" ht="15.75" customHeight="1">
      <c r="D313" s="99"/>
      <c r="F313" s="99"/>
      <c r="G313" s="99"/>
      <c r="H313" s="99"/>
      <c r="I313" s="99"/>
    </row>
    <row r="314" ht="15.75" customHeight="1">
      <c r="D314" s="99"/>
      <c r="F314" s="99"/>
      <c r="G314" s="99"/>
      <c r="H314" s="99"/>
      <c r="I314" s="99"/>
    </row>
    <row r="315" ht="15.75" customHeight="1">
      <c r="D315" s="99"/>
      <c r="F315" s="99"/>
      <c r="G315" s="99"/>
      <c r="H315" s="99"/>
      <c r="I315" s="99"/>
    </row>
    <row r="316" ht="15.75" customHeight="1">
      <c r="D316" s="99"/>
      <c r="F316" s="99"/>
      <c r="G316" s="99"/>
      <c r="H316" s="99"/>
      <c r="I316" s="99"/>
    </row>
    <row r="317" ht="15.75" customHeight="1">
      <c r="D317" s="99"/>
      <c r="F317" s="99"/>
      <c r="G317" s="99"/>
      <c r="H317" s="99"/>
      <c r="I317" s="99"/>
    </row>
    <row r="318" ht="15.75" customHeight="1">
      <c r="D318" s="99"/>
      <c r="F318" s="99"/>
      <c r="G318" s="99"/>
      <c r="H318" s="99"/>
      <c r="I318" s="99"/>
    </row>
    <row r="319" ht="15.75" customHeight="1">
      <c r="D319" s="99"/>
      <c r="F319" s="99"/>
      <c r="G319" s="99"/>
      <c r="H319" s="99"/>
      <c r="I319" s="99"/>
    </row>
    <row r="320" ht="15.75" customHeight="1">
      <c r="D320" s="99"/>
      <c r="F320" s="99"/>
      <c r="G320" s="99"/>
      <c r="H320" s="99"/>
      <c r="I320" s="99"/>
    </row>
    <row r="321" ht="15.75" customHeight="1">
      <c r="D321" s="99"/>
      <c r="F321" s="99"/>
      <c r="G321" s="99"/>
      <c r="H321" s="99"/>
      <c r="I321" s="99"/>
    </row>
    <row r="322" ht="15.75" customHeight="1">
      <c r="D322" s="99"/>
      <c r="F322" s="99"/>
      <c r="G322" s="99"/>
      <c r="H322" s="99"/>
      <c r="I322" s="99"/>
    </row>
    <row r="323" ht="15.75" customHeight="1">
      <c r="D323" s="99"/>
      <c r="F323" s="99"/>
      <c r="G323" s="99"/>
      <c r="H323" s="99"/>
      <c r="I323" s="99"/>
    </row>
    <row r="324" ht="15.75" customHeight="1">
      <c r="D324" s="99"/>
      <c r="F324" s="99"/>
      <c r="G324" s="99"/>
      <c r="H324" s="99"/>
      <c r="I324" s="99"/>
    </row>
    <row r="325" ht="15.75" customHeight="1">
      <c r="D325" s="99"/>
      <c r="F325" s="99"/>
      <c r="G325" s="99"/>
      <c r="H325" s="99"/>
      <c r="I325" s="99"/>
    </row>
    <row r="326" ht="15.75" customHeight="1">
      <c r="D326" s="99"/>
      <c r="F326" s="99"/>
      <c r="G326" s="99"/>
      <c r="H326" s="99"/>
      <c r="I326" s="99"/>
    </row>
    <row r="327" ht="15.75" customHeight="1">
      <c r="D327" s="99"/>
      <c r="F327" s="99"/>
      <c r="G327" s="99"/>
      <c r="H327" s="99"/>
      <c r="I327" s="99"/>
    </row>
    <row r="328" ht="15.75" customHeight="1">
      <c r="D328" s="99"/>
      <c r="F328" s="99"/>
      <c r="G328" s="99"/>
      <c r="H328" s="99"/>
      <c r="I328" s="99"/>
    </row>
    <row r="329" ht="15.75" customHeight="1">
      <c r="D329" s="99"/>
      <c r="F329" s="99"/>
      <c r="G329" s="99"/>
      <c r="H329" s="99"/>
      <c r="I329" s="99"/>
    </row>
    <row r="330" ht="15.75" customHeight="1">
      <c r="D330" s="99"/>
      <c r="F330" s="99"/>
      <c r="G330" s="99"/>
      <c r="H330" s="99"/>
      <c r="I330" s="99"/>
    </row>
    <row r="331" ht="15.75" customHeight="1">
      <c r="D331" s="99"/>
      <c r="F331" s="99"/>
      <c r="G331" s="99"/>
      <c r="H331" s="99"/>
      <c r="I331" s="99"/>
    </row>
    <row r="332" ht="15.75" customHeight="1">
      <c r="D332" s="99"/>
      <c r="F332" s="99"/>
      <c r="G332" s="99"/>
      <c r="H332" s="99"/>
      <c r="I332" s="99"/>
    </row>
    <row r="333" ht="15.75" customHeight="1">
      <c r="D333" s="99"/>
      <c r="F333" s="99"/>
      <c r="G333" s="99"/>
      <c r="H333" s="99"/>
      <c r="I333" s="99"/>
    </row>
    <row r="334" ht="15.75" customHeight="1">
      <c r="D334" s="99"/>
      <c r="F334" s="99"/>
      <c r="G334" s="99"/>
      <c r="H334" s="99"/>
      <c r="I334" s="99"/>
    </row>
    <row r="335" ht="15.75" customHeight="1">
      <c r="D335" s="99"/>
      <c r="F335" s="99"/>
      <c r="G335" s="99"/>
      <c r="H335" s="99"/>
      <c r="I335" s="99"/>
    </row>
    <row r="336" ht="15.75" customHeight="1">
      <c r="D336" s="99"/>
      <c r="F336" s="99"/>
      <c r="G336" s="99"/>
      <c r="H336" s="99"/>
      <c r="I336" s="99"/>
    </row>
    <row r="337" ht="15.75" customHeight="1">
      <c r="D337" s="99"/>
      <c r="F337" s="99"/>
      <c r="G337" s="99"/>
      <c r="H337" s="99"/>
      <c r="I337" s="99"/>
    </row>
    <row r="338" ht="15.75" customHeight="1">
      <c r="D338" s="99"/>
      <c r="F338" s="99"/>
      <c r="G338" s="99"/>
      <c r="H338" s="99"/>
      <c r="I338" s="99"/>
    </row>
    <row r="339" ht="15.75" customHeight="1">
      <c r="D339" s="99"/>
      <c r="F339" s="99"/>
      <c r="G339" s="99"/>
      <c r="H339" s="99"/>
      <c r="I339" s="99"/>
    </row>
    <row r="340" ht="15.75" customHeight="1">
      <c r="D340" s="99"/>
      <c r="F340" s="99"/>
      <c r="G340" s="99"/>
      <c r="H340" s="99"/>
      <c r="I340" s="99"/>
    </row>
    <row r="341" ht="15.75" customHeight="1">
      <c r="D341" s="99"/>
      <c r="F341" s="99"/>
      <c r="G341" s="99"/>
      <c r="H341" s="99"/>
      <c r="I341" s="99"/>
    </row>
    <row r="342" ht="15.75" customHeight="1">
      <c r="D342" s="99"/>
      <c r="F342" s="99"/>
      <c r="G342" s="99"/>
      <c r="H342" s="99"/>
      <c r="I342" s="99"/>
    </row>
    <row r="343" ht="15.75" customHeight="1">
      <c r="D343" s="99"/>
      <c r="F343" s="99"/>
      <c r="G343" s="99"/>
      <c r="H343" s="99"/>
      <c r="I343" s="99"/>
    </row>
    <row r="344" ht="15.75" customHeight="1">
      <c r="D344" s="99"/>
      <c r="F344" s="99"/>
      <c r="G344" s="99"/>
      <c r="H344" s="99"/>
      <c r="I344" s="99"/>
    </row>
    <row r="345" ht="15.75" customHeight="1">
      <c r="D345" s="99"/>
      <c r="F345" s="99"/>
      <c r="G345" s="99"/>
      <c r="H345" s="99"/>
      <c r="I345" s="99"/>
    </row>
    <row r="346" ht="15.75" customHeight="1">
      <c r="D346" s="99"/>
      <c r="F346" s="99"/>
      <c r="G346" s="99"/>
      <c r="H346" s="99"/>
      <c r="I346" s="99"/>
    </row>
    <row r="347" ht="15.75" customHeight="1">
      <c r="D347" s="99"/>
      <c r="F347" s="99"/>
      <c r="G347" s="99"/>
      <c r="H347" s="99"/>
      <c r="I347" s="99"/>
    </row>
    <row r="348" ht="15.75" customHeight="1">
      <c r="D348" s="99"/>
      <c r="F348" s="99"/>
      <c r="G348" s="99"/>
      <c r="H348" s="99"/>
      <c r="I348" s="99"/>
    </row>
    <row r="349" ht="15.75" customHeight="1">
      <c r="D349" s="99"/>
      <c r="F349" s="99"/>
      <c r="G349" s="99"/>
      <c r="H349" s="99"/>
      <c r="I349" s="99"/>
    </row>
    <row r="350" ht="15.75" customHeight="1">
      <c r="D350" s="99"/>
      <c r="F350" s="99"/>
      <c r="G350" s="99"/>
      <c r="H350" s="99"/>
      <c r="I350" s="99"/>
    </row>
    <row r="351" ht="15.75" customHeight="1">
      <c r="D351" s="99"/>
      <c r="F351" s="99"/>
      <c r="G351" s="99"/>
      <c r="H351" s="99"/>
      <c r="I351" s="99"/>
    </row>
    <row r="352" ht="15.75" customHeight="1">
      <c r="D352" s="99"/>
      <c r="F352" s="99"/>
      <c r="G352" s="99"/>
      <c r="H352" s="99"/>
      <c r="I352" s="99"/>
    </row>
    <row r="353" ht="15.75" customHeight="1">
      <c r="D353" s="99"/>
      <c r="F353" s="99"/>
      <c r="G353" s="99"/>
      <c r="H353" s="99"/>
      <c r="I353" s="99"/>
    </row>
    <row r="354" ht="15.75" customHeight="1">
      <c r="D354" s="99"/>
      <c r="F354" s="99"/>
      <c r="G354" s="99"/>
      <c r="H354" s="99"/>
      <c r="I354" s="99"/>
    </row>
    <row r="355" ht="15.75" customHeight="1">
      <c r="D355" s="99"/>
      <c r="F355" s="99"/>
      <c r="G355" s="99"/>
      <c r="H355" s="99"/>
      <c r="I355" s="99"/>
    </row>
    <row r="356" ht="15.75" customHeight="1">
      <c r="D356" s="99"/>
      <c r="F356" s="99"/>
      <c r="G356" s="99"/>
      <c r="H356" s="99"/>
      <c r="I356" s="99"/>
    </row>
    <row r="357" ht="15.75" customHeight="1">
      <c r="D357" s="99"/>
      <c r="F357" s="99"/>
      <c r="G357" s="99"/>
      <c r="H357" s="99"/>
      <c r="I357" s="99"/>
    </row>
    <row r="358" ht="15.75" customHeight="1">
      <c r="D358" s="99"/>
      <c r="F358" s="99"/>
      <c r="G358" s="99"/>
      <c r="H358" s="99"/>
      <c r="I358" s="99"/>
    </row>
    <row r="359" ht="15.75" customHeight="1">
      <c r="D359" s="99"/>
      <c r="F359" s="99"/>
      <c r="G359" s="99"/>
      <c r="H359" s="99"/>
      <c r="I359" s="99"/>
    </row>
    <row r="360" ht="15.75" customHeight="1">
      <c r="D360" s="99"/>
      <c r="F360" s="99"/>
      <c r="G360" s="99"/>
      <c r="H360" s="99"/>
      <c r="I360" s="99"/>
    </row>
    <row r="361" ht="15.75" customHeight="1">
      <c r="D361" s="99"/>
      <c r="F361" s="99"/>
      <c r="G361" s="99"/>
      <c r="H361" s="99"/>
      <c r="I361" s="99"/>
    </row>
    <row r="362" ht="15.75" customHeight="1">
      <c r="D362" s="99"/>
      <c r="F362" s="99"/>
      <c r="G362" s="99"/>
      <c r="H362" s="99"/>
      <c r="I362" s="99"/>
    </row>
    <row r="363" ht="15.75" customHeight="1">
      <c r="D363" s="99"/>
      <c r="F363" s="99"/>
      <c r="G363" s="99"/>
      <c r="H363" s="99"/>
      <c r="I363" s="99"/>
    </row>
    <row r="364" ht="15.75" customHeight="1">
      <c r="D364" s="99"/>
      <c r="F364" s="99"/>
      <c r="G364" s="99"/>
      <c r="H364" s="99"/>
      <c r="I364" s="99"/>
    </row>
    <row r="365" ht="15.75" customHeight="1">
      <c r="D365" s="99"/>
      <c r="F365" s="99"/>
      <c r="G365" s="99"/>
      <c r="H365" s="99"/>
      <c r="I365" s="99"/>
    </row>
    <row r="366" ht="15.75" customHeight="1">
      <c r="D366" s="99"/>
      <c r="F366" s="99"/>
      <c r="G366" s="99"/>
      <c r="H366" s="99"/>
      <c r="I366" s="99"/>
    </row>
    <row r="367" ht="15.75" customHeight="1">
      <c r="D367" s="99"/>
      <c r="F367" s="99"/>
      <c r="G367" s="99"/>
      <c r="H367" s="99"/>
      <c r="I367" s="99"/>
    </row>
    <row r="368" ht="15.75" customHeight="1">
      <c r="D368" s="99"/>
      <c r="F368" s="99"/>
      <c r="G368" s="99"/>
      <c r="H368" s="99"/>
      <c r="I368" s="99"/>
    </row>
    <row r="369" ht="15.75" customHeight="1">
      <c r="D369" s="99"/>
      <c r="F369" s="99"/>
      <c r="G369" s="99"/>
      <c r="H369" s="99"/>
      <c r="I369" s="99"/>
    </row>
    <row r="370" ht="15.75" customHeight="1">
      <c r="D370" s="99"/>
      <c r="F370" s="99"/>
      <c r="G370" s="99"/>
      <c r="H370" s="99"/>
      <c r="I370" s="99"/>
    </row>
    <row r="371" ht="15.75" customHeight="1">
      <c r="D371" s="99"/>
      <c r="F371" s="99"/>
      <c r="G371" s="99"/>
      <c r="H371" s="99"/>
      <c r="I371" s="99"/>
    </row>
    <row r="372" ht="15.75" customHeight="1">
      <c r="D372" s="99"/>
      <c r="F372" s="99"/>
      <c r="G372" s="99"/>
      <c r="H372" s="99"/>
      <c r="I372" s="99"/>
    </row>
    <row r="373" ht="15.75" customHeight="1">
      <c r="D373" s="99"/>
      <c r="F373" s="99"/>
      <c r="G373" s="99"/>
      <c r="H373" s="99"/>
      <c r="I373" s="99"/>
    </row>
    <row r="374" ht="15.75" customHeight="1">
      <c r="D374" s="99"/>
      <c r="F374" s="99"/>
      <c r="G374" s="99"/>
      <c r="H374" s="99"/>
      <c r="I374" s="99"/>
    </row>
    <row r="375" ht="15.75" customHeight="1">
      <c r="D375" s="99"/>
      <c r="F375" s="99"/>
      <c r="G375" s="99"/>
      <c r="H375" s="99"/>
      <c r="I375" s="99"/>
    </row>
    <row r="376" ht="15.75" customHeight="1">
      <c r="D376" s="99"/>
      <c r="F376" s="99"/>
      <c r="G376" s="99"/>
      <c r="H376" s="99"/>
      <c r="I376" s="99"/>
    </row>
    <row r="377" ht="15.75" customHeight="1">
      <c r="D377" s="99"/>
      <c r="F377" s="99"/>
      <c r="G377" s="99"/>
      <c r="H377" s="99"/>
      <c r="I377" s="99"/>
    </row>
    <row r="378" ht="15.75" customHeight="1">
      <c r="D378" s="99"/>
      <c r="F378" s="99"/>
      <c r="G378" s="99"/>
      <c r="H378" s="99"/>
      <c r="I378" s="99"/>
    </row>
    <row r="379" ht="15.75" customHeight="1">
      <c r="D379" s="99"/>
      <c r="F379" s="99"/>
      <c r="G379" s="99"/>
      <c r="H379" s="99"/>
      <c r="I379" s="99"/>
    </row>
    <row r="380" ht="15.75" customHeight="1">
      <c r="D380" s="99"/>
      <c r="F380" s="99"/>
      <c r="G380" s="99"/>
      <c r="H380" s="99"/>
      <c r="I380" s="99"/>
    </row>
    <row r="381" ht="15.75" customHeight="1">
      <c r="D381" s="99"/>
      <c r="F381" s="99"/>
      <c r="G381" s="99"/>
      <c r="H381" s="99"/>
      <c r="I381" s="99"/>
    </row>
    <row r="382" ht="15.75" customHeight="1">
      <c r="D382" s="99"/>
      <c r="F382" s="99"/>
      <c r="G382" s="99"/>
      <c r="H382" s="99"/>
      <c r="I382" s="99"/>
    </row>
    <row r="383" ht="15.75" customHeight="1">
      <c r="D383" s="99"/>
      <c r="F383" s="99"/>
      <c r="G383" s="99"/>
      <c r="H383" s="99"/>
      <c r="I383" s="99"/>
    </row>
    <row r="384" ht="15.75" customHeight="1">
      <c r="D384" s="99"/>
      <c r="F384" s="99"/>
      <c r="G384" s="99"/>
      <c r="H384" s="99"/>
      <c r="I384" s="99"/>
    </row>
    <row r="385" ht="15.75" customHeight="1">
      <c r="D385" s="99"/>
      <c r="F385" s="99"/>
      <c r="G385" s="99"/>
      <c r="H385" s="99"/>
      <c r="I385" s="99"/>
    </row>
    <row r="386" ht="15.75" customHeight="1">
      <c r="D386" s="99"/>
      <c r="F386" s="99"/>
      <c r="G386" s="99"/>
      <c r="H386" s="99"/>
      <c r="I386" s="99"/>
    </row>
    <row r="387" ht="15.75" customHeight="1">
      <c r="D387" s="99"/>
      <c r="F387" s="99"/>
      <c r="G387" s="99"/>
      <c r="H387" s="99"/>
      <c r="I387" s="99"/>
    </row>
    <row r="388" ht="15.75" customHeight="1">
      <c r="D388" s="99"/>
      <c r="F388" s="99"/>
      <c r="G388" s="99"/>
      <c r="H388" s="99"/>
      <c r="I388" s="99"/>
    </row>
    <row r="389" ht="15.75" customHeight="1">
      <c r="D389" s="99"/>
      <c r="F389" s="99"/>
      <c r="G389" s="99"/>
      <c r="H389" s="99"/>
      <c r="I389" s="99"/>
    </row>
    <row r="390" ht="15.75" customHeight="1">
      <c r="D390" s="99"/>
      <c r="F390" s="99"/>
      <c r="G390" s="99"/>
      <c r="H390" s="99"/>
      <c r="I390" s="99"/>
    </row>
    <row r="391" ht="15.75" customHeight="1">
      <c r="D391" s="99"/>
      <c r="F391" s="99"/>
      <c r="G391" s="99"/>
      <c r="H391" s="99"/>
      <c r="I391" s="99"/>
    </row>
    <row r="392" ht="15.75" customHeight="1">
      <c r="D392" s="99"/>
      <c r="F392" s="99"/>
      <c r="G392" s="99"/>
      <c r="H392" s="99"/>
      <c r="I392" s="99"/>
    </row>
    <row r="393" ht="15.75" customHeight="1">
      <c r="D393" s="99"/>
      <c r="F393" s="99"/>
      <c r="G393" s="99"/>
      <c r="H393" s="99"/>
      <c r="I393" s="99"/>
    </row>
    <row r="394" ht="15.75" customHeight="1">
      <c r="D394" s="99"/>
      <c r="F394" s="99"/>
      <c r="G394" s="99"/>
      <c r="H394" s="99"/>
      <c r="I394" s="99"/>
    </row>
    <row r="395" ht="15.75" customHeight="1">
      <c r="D395" s="99"/>
      <c r="F395" s="99"/>
      <c r="G395" s="99"/>
      <c r="H395" s="99"/>
      <c r="I395" s="99"/>
    </row>
    <row r="396" ht="15.75" customHeight="1">
      <c r="D396" s="99"/>
      <c r="F396" s="99"/>
      <c r="G396" s="99"/>
      <c r="H396" s="99"/>
      <c r="I396" s="99"/>
    </row>
    <row r="397" ht="15.75" customHeight="1">
      <c r="D397" s="99"/>
      <c r="F397" s="99"/>
      <c r="G397" s="99"/>
      <c r="H397" s="99"/>
      <c r="I397" s="99"/>
    </row>
    <row r="398" ht="15.75" customHeight="1">
      <c r="D398" s="99"/>
      <c r="F398" s="99"/>
      <c r="G398" s="99"/>
      <c r="H398" s="99"/>
      <c r="I398" s="99"/>
    </row>
    <row r="399" ht="15.75" customHeight="1">
      <c r="D399" s="99"/>
      <c r="F399" s="99"/>
      <c r="G399" s="99"/>
      <c r="H399" s="99"/>
      <c r="I399" s="99"/>
    </row>
    <row r="400" ht="15.75" customHeight="1">
      <c r="D400" s="99"/>
      <c r="F400" s="99"/>
      <c r="G400" s="99"/>
      <c r="H400" s="99"/>
      <c r="I400" s="99"/>
    </row>
    <row r="401" ht="15.75" customHeight="1">
      <c r="D401" s="99"/>
      <c r="F401" s="99"/>
      <c r="G401" s="99"/>
      <c r="H401" s="99"/>
      <c r="I401" s="99"/>
    </row>
    <row r="402" ht="15.75" customHeight="1">
      <c r="D402" s="99"/>
      <c r="F402" s="99"/>
      <c r="G402" s="99"/>
      <c r="H402" s="99"/>
      <c r="I402" s="99"/>
    </row>
    <row r="403" ht="15.75" customHeight="1">
      <c r="D403" s="99"/>
      <c r="F403" s="99"/>
      <c r="G403" s="99"/>
      <c r="H403" s="99"/>
      <c r="I403" s="99"/>
    </row>
    <row r="404" ht="15.75" customHeight="1">
      <c r="D404" s="99"/>
      <c r="F404" s="99"/>
      <c r="G404" s="99"/>
      <c r="H404" s="99"/>
      <c r="I404" s="99"/>
    </row>
    <row r="405" ht="15.75" customHeight="1">
      <c r="D405" s="99"/>
      <c r="F405" s="99"/>
      <c r="G405" s="99"/>
      <c r="H405" s="99"/>
      <c r="I405" s="99"/>
    </row>
    <row r="406" ht="15.75" customHeight="1">
      <c r="D406" s="99"/>
      <c r="F406" s="99"/>
      <c r="G406" s="99"/>
      <c r="H406" s="99"/>
      <c r="I406" s="99"/>
    </row>
    <row r="407" ht="15.75" customHeight="1">
      <c r="D407" s="99"/>
      <c r="F407" s="99"/>
      <c r="G407" s="99"/>
      <c r="H407" s="99"/>
      <c r="I407" s="99"/>
    </row>
    <row r="408" ht="15.75" customHeight="1">
      <c r="D408" s="99"/>
      <c r="F408" s="99"/>
      <c r="G408" s="99"/>
      <c r="H408" s="99"/>
      <c r="I408" s="99"/>
    </row>
    <row r="409" ht="15.75" customHeight="1">
      <c r="D409" s="99"/>
      <c r="F409" s="99"/>
      <c r="G409" s="99"/>
      <c r="H409" s="99"/>
      <c r="I409" s="99"/>
    </row>
    <row r="410" ht="15.75" customHeight="1">
      <c r="D410" s="99"/>
      <c r="F410" s="99"/>
      <c r="G410" s="99"/>
      <c r="H410" s="99"/>
      <c r="I410" s="99"/>
    </row>
    <row r="411" ht="15.75" customHeight="1">
      <c r="D411" s="99"/>
      <c r="F411" s="99"/>
      <c r="G411" s="99"/>
      <c r="H411" s="99"/>
      <c r="I411" s="99"/>
    </row>
    <row r="412" ht="15.75" customHeight="1">
      <c r="D412" s="99"/>
      <c r="F412" s="99"/>
      <c r="G412" s="99"/>
      <c r="H412" s="99"/>
      <c r="I412" s="99"/>
    </row>
    <row r="413" ht="15.75" customHeight="1">
      <c r="D413" s="99"/>
      <c r="F413" s="99"/>
      <c r="G413" s="99"/>
      <c r="H413" s="99"/>
      <c r="I413" s="99"/>
    </row>
    <row r="414" ht="15.75" customHeight="1">
      <c r="D414" s="99"/>
      <c r="F414" s="99"/>
      <c r="G414" s="99"/>
      <c r="H414" s="99"/>
      <c r="I414" s="99"/>
    </row>
    <row r="415" ht="15.75" customHeight="1">
      <c r="D415" s="99"/>
      <c r="F415" s="99"/>
      <c r="G415" s="99"/>
      <c r="H415" s="99"/>
      <c r="I415" s="99"/>
    </row>
    <row r="416" ht="15.75" customHeight="1">
      <c r="D416" s="99"/>
      <c r="F416" s="99"/>
      <c r="G416" s="99"/>
      <c r="H416" s="99"/>
      <c r="I416" s="99"/>
    </row>
    <row r="417" ht="15.75" customHeight="1">
      <c r="D417" s="99"/>
      <c r="F417" s="99"/>
      <c r="G417" s="99"/>
      <c r="H417" s="99"/>
      <c r="I417" s="99"/>
    </row>
    <row r="418" ht="15.75" customHeight="1">
      <c r="D418" s="99"/>
      <c r="F418" s="99"/>
      <c r="G418" s="99"/>
      <c r="H418" s="99"/>
      <c r="I418" s="99"/>
    </row>
    <row r="419" ht="15.75" customHeight="1">
      <c r="D419" s="99"/>
      <c r="F419" s="99"/>
      <c r="G419" s="99"/>
      <c r="H419" s="99"/>
      <c r="I419" s="99"/>
    </row>
    <row r="420" ht="15.75" customHeight="1">
      <c r="D420" s="99"/>
      <c r="F420" s="99"/>
      <c r="G420" s="99"/>
      <c r="H420" s="99"/>
      <c r="I420" s="99"/>
    </row>
    <row r="421" ht="15.75" customHeight="1">
      <c r="D421" s="99"/>
      <c r="F421" s="99"/>
      <c r="G421" s="99"/>
      <c r="H421" s="99"/>
      <c r="I421" s="99"/>
    </row>
    <row r="422" ht="15.75" customHeight="1">
      <c r="D422" s="99"/>
      <c r="F422" s="99"/>
      <c r="G422" s="99"/>
      <c r="H422" s="99"/>
      <c r="I422" s="99"/>
    </row>
    <row r="423" ht="15.75" customHeight="1">
      <c r="D423" s="99"/>
      <c r="F423" s="99"/>
      <c r="G423" s="99"/>
      <c r="H423" s="99"/>
      <c r="I423" s="99"/>
    </row>
    <row r="424" ht="15.75" customHeight="1">
      <c r="D424" s="99"/>
      <c r="F424" s="99"/>
      <c r="G424" s="99"/>
      <c r="H424" s="99"/>
      <c r="I424" s="99"/>
    </row>
    <row r="425" ht="15.75" customHeight="1">
      <c r="D425" s="99"/>
      <c r="F425" s="99"/>
      <c r="G425" s="99"/>
      <c r="H425" s="99"/>
      <c r="I425" s="99"/>
    </row>
    <row r="426" ht="15.75" customHeight="1">
      <c r="D426" s="99"/>
      <c r="F426" s="99"/>
      <c r="G426" s="99"/>
      <c r="H426" s="99"/>
      <c r="I426" s="99"/>
    </row>
    <row r="427" ht="15.75" customHeight="1">
      <c r="D427" s="99"/>
      <c r="F427" s="99"/>
      <c r="G427" s="99"/>
      <c r="H427" s="99"/>
      <c r="I427" s="99"/>
    </row>
    <row r="428" ht="15.75" customHeight="1">
      <c r="D428" s="99"/>
      <c r="F428" s="99"/>
      <c r="G428" s="99"/>
      <c r="H428" s="99"/>
      <c r="I428" s="99"/>
    </row>
    <row r="429" ht="15.75" customHeight="1">
      <c r="D429" s="99"/>
      <c r="F429" s="99"/>
      <c r="G429" s="99"/>
      <c r="H429" s="99"/>
      <c r="I429" s="99"/>
    </row>
    <row r="430" ht="15.75" customHeight="1">
      <c r="D430" s="99"/>
      <c r="F430" s="99"/>
      <c r="G430" s="99"/>
      <c r="H430" s="99"/>
      <c r="I430" s="99"/>
    </row>
    <row r="431" ht="15.75" customHeight="1">
      <c r="D431" s="99"/>
      <c r="F431" s="99"/>
      <c r="G431" s="99"/>
      <c r="H431" s="99"/>
      <c r="I431" s="99"/>
    </row>
    <row r="432" ht="15.75" customHeight="1">
      <c r="D432" s="99"/>
      <c r="F432" s="99"/>
      <c r="G432" s="99"/>
      <c r="H432" s="99"/>
      <c r="I432" s="99"/>
    </row>
    <row r="433" ht="15.75" customHeight="1">
      <c r="D433" s="99"/>
      <c r="F433" s="99"/>
      <c r="G433" s="99"/>
      <c r="H433" s="99"/>
      <c r="I433" s="99"/>
    </row>
    <row r="434" ht="15.75" customHeight="1">
      <c r="D434" s="99"/>
      <c r="F434" s="99"/>
      <c r="G434" s="99"/>
      <c r="H434" s="99"/>
      <c r="I434" s="99"/>
    </row>
    <row r="435" ht="15.75" customHeight="1">
      <c r="D435" s="99"/>
      <c r="F435" s="99"/>
      <c r="G435" s="99"/>
      <c r="H435" s="99"/>
      <c r="I435" s="99"/>
    </row>
    <row r="436" ht="15.75" customHeight="1">
      <c r="D436" s="99"/>
      <c r="F436" s="99"/>
      <c r="G436" s="99"/>
      <c r="H436" s="99"/>
      <c r="I436" s="99"/>
    </row>
    <row r="437" ht="15.75" customHeight="1">
      <c r="D437" s="99"/>
      <c r="F437" s="99"/>
      <c r="G437" s="99"/>
      <c r="H437" s="99"/>
      <c r="I437" s="99"/>
    </row>
    <row r="438" ht="15.75" customHeight="1">
      <c r="D438" s="99"/>
      <c r="F438" s="99"/>
      <c r="G438" s="99"/>
      <c r="H438" s="99"/>
      <c r="I438" s="99"/>
    </row>
    <row r="439" ht="15.75" customHeight="1">
      <c r="D439" s="99"/>
      <c r="F439" s="99"/>
      <c r="G439" s="99"/>
      <c r="H439" s="99"/>
      <c r="I439" s="99"/>
    </row>
    <row r="440" ht="15.75" customHeight="1">
      <c r="D440" s="99"/>
      <c r="F440" s="99"/>
      <c r="G440" s="99"/>
      <c r="H440" s="99"/>
      <c r="I440" s="99"/>
    </row>
    <row r="441" ht="15.75" customHeight="1">
      <c r="D441" s="99"/>
      <c r="F441" s="99"/>
      <c r="G441" s="99"/>
      <c r="H441" s="99"/>
      <c r="I441" s="99"/>
    </row>
    <row r="442" ht="15.75" customHeight="1">
      <c r="D442" s="99"/>
      <c r="F442" s="99"/>
      <c r="G442" s="99"/>
      <c r="H442" s="99"/>
      <c r="I442" s="99"/>
    </row>
    <row r="443" ht="15.75" customHeight="1">
      <c r="D443" s="99"/>
      <c r="F443" s="99"/>
      <c r="G443" s="99"/>
      <c r="H443" s="99"/>
      <c r="I443" s="99"/>
    </row>
    <row r="444" ht="15.75" customHeight="1">
      <c r="D444" s="99"/>
      <c r="F444" s="99"/>
      <c r="G444" s="99"/>
      <c r="H444" s="99"/>
      <c r="I444" s="99"/>
    </row>
    <row r="445" ht="15.75" customHeight="1">
      <c r="D445" s="99"/>
      <c r="F445" s="99"/>
      <c r="G445" s="99"/>
      <c r="H445" s="99"/>
      <c r="I445" s="99"/>
    </row>
    <row r="446" ht="15.75" customHeight="1">
      <c r="D446" s="99"/>
      <c r="F446" s="99"/>
      <c r="G446" s="99"/>
      <c r="H446" s="99"/>
      <c r="I446" s="99"/>
    </row>
    <row r="447" ht="15.75" customHeight="1">
      <c r="D447" s="99"/>
      <c r="F447" s="99"/>
      <c r="G447" s="99"/>
      <c r="H447" s="99"/>
      <c r="I447" s="99"/>
    </row>
    <row r="448" ht="15.75" customHeight="1">
      <c r="D448" s="99"/>
      <c r="F448" s="99"/>
      <c r="G448" s="99"/>
      <c r="H448" s="99"/>
      <c r="I448" s="99"/>
    </row>
    <row r="449" ht="15.75" customHeight="1">
      <c r="D449" s="99"/>
      <c r="F449" s="99"/>
      <c r="G449" s="99"/>
      <c r="H449" s="99"/>
      <c r="I449" s="99"/>
    </row>
    <row r="450" ht="15.75" customHeight="1">
      <c r="D450" s="99"/>
      <c r="F450" s="99"/>
      <c r="G450" s="99"/>
      <c r="H450" s="99"/>
      <c r="I450" s="99"/>
    </row>
    <row r="451" ht="15.75" customHeight="1">
      <c r="D451" s="99"/>
      <c r="F451" s="99"/>
      <c r="G451" s="99"/>
      <c r="H451" s="99"/>
      <c r="I451" s="99"/>
    </row>
    <row r="452" ht="15.75" customHeight="1">
      <c r="D452" s="99"/>
      <c r="F452" s="99"/>
      <c r="G452" s="99"/>
      <c r="H452" s="99"/>
      <c r="I452" s="99"/>
    </row>
    <row r="453" ht="15.75" customHeight="1">
      <c r="D453" s="99"/>
      <c r="F453" s="99"/>
      <c r="G453" s="99"/>
      <c r="H453" s="99"/>
      <c r="I453" s="99"/>
    </row>
    <row r="454" ht="15.75" customHeight="1">
      <c r="D454" s="99"/>
      <c r="F454" s="99"/>
      <c r="G454" s="99"/>
      <c r="H454" s="99"/>
      <c r="I454" s="99"/>
    </row>
    <row r="455" ht="15.75" customHeight="1">
      <c r="D455" s="99"/>
      <c r="F455" s="99"/>
      <c r="G455" s="99"/>
      <c r="H455" s="99"/>
      <c r="I455" s="99"/>
    </row>
    <row r="456" ht="15.75" customHeight="1">
      <c r="D456" s="99"/>
      <c r="F456" s="99"/>
      <c r="G456" s="99"/>
      <c r="H456" s="99"/>
      <c r="I456" s="99"/>
    </row>
    <row r="457" ht="15.75" customHeight="1">
      <c r="D457" s="99"/>
      <c r="F457" s="99"/>
      <c r="G457" s="99"/>
      <c r="H457" s="99"/>
      <c r="I457" s="99"/>
    </row>
    <row r="458" ht="15.75" customHeight="1">
      <c r="D458" s="99"/>
      <c r="F458" s="99"/>
      <c r="G458" s="99"/>
      <c r="H458" s="99"/>
      <c r="I458" s="99"/>
    </row>
    <row r="459" ht="15.75" customHeight="1">
      <c r="D459" s="99"/>
      <c r="F459" s="99"/>
      <c r="G459" s="99"/>
      <c r="H459" s="99"/>
      <c r="I459" s="99"/>
    </row>
    <row r="460" ht="15.75" customHeight="1">
      <c r="D460" s="99"/>
      <c r="F460" s="99"/>
      <c r="G460" s="99"/>
      <c r="H460" s="99"/>
      <c r="I460" s="99"/>
    </row>
    <row r="461" ht="15.75" customHeight="1">
      <c r="D461" s="99"/>
      <c r="F461" s="99"/>
      <c r="G461" s="99"/>
      <c r="H461" s="99"/>
      <c r="I461" s="99"/>
    </row>
    <row r="462" ht="15.75" customHeight="1">
      <c r="D462" s="99"/>
      <c r="F462" s="99"/>
      <c r="G462" s="99"/>
      <c r="H462" s="99"/>
      <c r="I462" s="99"/>
    </row>
    <row r="463" ht="15.75" customHeight="1">
      <c r="D463" s="99"/>
      <c r="F463" s="99"/>
      <c r="G463" s="99"/>
      <c r="H463" s="99"/>
      <c r="I463" s="99"/>
    </row>
    <row r="464" ht="15.75" customHeight="1">
      <c r="D464" s="99"/>
      <c r="F464" s="99"/>
      <c r="G464" s="99"/>
      <c r="H464" s="99"/>
      <c r="I464" s="99"/>
    </row>
    <row r="465" ht="15.75" customHeight="1">
      <c r="D465" s="99"/>
      <c r="F465" s="99"/>
      <c r="G465" s="99"/>
      <c r="H465" s="99"/>
      <c r="I465" s="99"/>
    </row>
    <row r="466" ht="15.75" customHeight="1">
      <c r="D466" s="99"/>
      <c r="F466" s="99"/>
      <c r="G466" s="99"/>
      <c r="H466" s="99"/>
      <c r="I466" s="99"/>
    </row>
    <row r="467" ht="15.75" customHeight="1">
      <c r="D467" s="99"/>
      <c r="F467" s="99"/>
      <c r="G467" s="99"/>
      <c r="H467" s="99"/>
      <c r="I467" s="99"/>
    </row>
    <row r="468" ht="15.75" customHeight="1">
      <c r="D468" s="99"/>
      <c r="F468" s="99"/>
      <c r="G468" s="99"/>
      <c r="H468" s="99"/>
      <c r="I468" s="99"/>
    </row>
    <row r="469" ht="15.75" customHeight="1">
      <c r="D469" s="99"/>
      <c r="F469" s="99"/>
      <c r="G469" s="99"/>
      <c r="H469" s="99"/>
      <c r="I469" s="99"/>
    </row>
    <row r="470" ht="15.75" customHeight="1">
      <c r="D470" s="99"/>
      <c r="F470" s="99"/>
      <c r="G470" s="99"/>
      <c r="H470" s="99"/>
      <c r="I470" s="99"/>
    </row>
    <row r="471" ht="15.75" customHeight="1">
      <c r="D471" s="99"/>
      <c r="F471" s="99"/>
      <c r="G471" s="99"/>
      <c r="H471" s="99"/>
      <c r="I471" s="99"/>
    </row>
    <row r="472" ht="15.75" customHeight="1">
      <c r="D472" s="99"/>
      <c r="F472" s="99"/>
      <c r="G472" s="99"/>
      <c r="H472" s="99"/>
      <c r="I472" s="99"/>
    </row>
    <row r="473" ht="15.75" customHeight="1">
      <c r="D473" s="99"/>
      <c r="F473" s="99"/>
      <c r="G473" s="99"/>
      <c r="H473" s="99"/>
      <c r="I473" s="99"/>
    </row>
    <row r="474" ht="15.75" customHeight="1">
      <c r="D474" s="99"/>
      <c r="F474" s="99"/>
      <c r="G474" s="99"/>
      <c r="H474" s="99"/>
      <c r="I474" s="99"/>
    </row>
    <row r="475" ht="15.75" customHeight="1">
      <c r="D475" s="99"/>
      <c r="F475" s="99"/>
      <c r="G475" s="99"/>
      <c r="H475" s="99"/>
      <c r="I475" s="99"/>
    </row>
    <row r="476" ht="15.75" customHeight="1">
      <c r="D476" s="99"/>
      <c r="F476" s="99"/>
      <c r="G476" s="99"/>
      <c r="H476" s="99"/>
      <c r="I476" s="99"/>
    </row>
    <row r="477" ht="15.75" customHeight="1">
      <c r="D477" s="99"/>
      <c r="F477" s="99"/>
      <c r="G477" s="99"/>
      <c r="H477" s="99"/>
      <c r="I477" s="99"/>
    </row>
    <row r="478" ht="15.75" customHeight="1">
      <c r="D478" s="99"/>
      <c r="F478" s="99"/>
      <c r="G478" s="99"/>
      <c r="H478" s="99"/>
      <c r="I478" s="99"/>
    </row>
    <row r="479" ht="15.75" customHeight="1">
      <c r="D479" s="99"/>
      <c r="F479" s="99"/>
      <c r="G479" s="99"/>
      <c r="H479" s="99"/>
      <c r="I479" s="99"/>
    </row>
    <row r="480" ht="15.75" customHeight="1">
      <c r="D480" s="99"/>
      <c r="F480" s="99"/>
      <c r="G480" s="99"/>
      <c r="H480" s="99"/>
      <c r="I480" s="99"/>
    </row>
    <row r="481" ht="15.75" customHeight="1">
      <c r="D481" s="99"/>
      <c r="F481" s="99"/>
      <c r="G481" s="99"/>
      <c r="H481" s="99"/>
      <c r="I481" s="99"/>
    </row>
    <row r="482" ht="15.75" customHeight="1">
      <c r="D482" s="99"/>
      <c r="F482" s="99"/>
      <c r="G482" s="99"/>
      <c r="H482" s="99"/>
      <c r="I482" s="99"/>
    </row>
    <row r="483" ht="15.75" customHeight="1">
      <c r="D483" s="99"/>
      <c r="F483" s="99"/>
      <c r="G483" s="99"/>
      <c r="H483" s="99"/>
      <c r="I483" s="99"/>
    </row>
    <row r="484" ht="15.75" customHeight="1">
      <c r="D484" s="99"/>
      <c r="F484" s="99"/>
      <c r="G484" s="99"/>
      <c r="H484" s="99"/>
      <c r="I484" s="99"/>
    </row>
    <row r="485" ht="15.75" customHeight="1">
      <c r="D485" s="99"/>
      <c r="F485" s="99"/>
      <c r="G485" s="99"/>
      <c r="H485" s="99"/>
      <c r="I485" s="99"/>
    </row>
    <row r="486" ht="15.75" customHeight="1">
      <c r="D486" s="99"/>
      <c r="F486" s="99"/>
      <c r="G486" s="99"/>
      <c r="H486" s="99"/>
      <c r="I486" s="99"/>
    </row>
    <row r="487" ht="15.75" customHeight="1">
      <c r="D487" s="99"/>
      <c r="F487" s="99"/>
      <c r="G487" s="99"/>
      <c r="H487" s="99"/>
      <c r="I487" s="99"/>
    </row>
    <row r="488" ht="15.75" customHeight="1">
      <c r="D488" s="99"/>
      <c r="F488" s="99"/>
      <c r="G488" s="99"/>
      <c r="H488" s="99"/>
      <c r="I488" s="99"/>
    </row>
    <row r="489" ht="15.75" customHeight="1">
      <c r="D489" s="99"/>
      <c r="F489" s="99"/>
      <c r="G489" s="99"/>
      <c r="H489" s="99"/>
      <c r="I489" s="99"/>
    </row>
    <row r="490" ht="15.75" customHeight="1">
      <c r="D490" s="99"/>
      <c r="F490" s="99"/>
      <c r="G490" s="99"/>
      <c r="H490" s="99"/>
      <c r="I490" s="99"/>
    </row>
    <row r="491" ht="15.75" customHeight="1">
      <c r="D491" s="99"/>
      <c r="F491" s="99"/>
      <c r="G491" s="99"/>
      <c r="H491" s="99"/>
      <c r="I491" s="99"/>
    </row>
    <row r="492" ht="15.75" customHeight="1">
      <c r="D492" s="99"/>
      <c r="F492" s="99"/>
      <c r="G492" s="99"/>
      <c r="H492" s="99"/>
      <c r="I492" s="99"/>
    </row>
    <row r="493" ht="15.75" customHeight="1">
      <c r="D493" s="99"/>
      <c r="F493" s="99"/>
      <c r="G493" s="99"/>
      <c r="H493" s="99"/>
      <c r="I493" s="99"/>
    </row>
    <row r="494" ht="15.75" customHeight="1">
      <c r="D494" s="99"/>
      <c r="F494" s="99"/>
      <c r="G494" s="99"/>
      <c r="H494" s="99"/>
      <c r="I494" s="99"/>
    </row>
    <row r="495" ht="15.75" customHeight="1">
      <c r="D495" s="99"/>
      <c r="F495" s="99"/>
      <c r="G495" s="99"/>
      <c r="H495" s="99"/>
      <c r="I495" s="99"/>
    </row>
    <row r="496" ht="15.75" customHeight="1">
      <c r="D496" s="99"/>
      <c r="F496" s="99"/>
      <c r="G496" s="99"/>
      <c r="H496" s="99"/>
      <c r="I496" s="99"/>
    </row>
    <row r="497" ht="15.75" customHeight="1">
      <c r="D497" s="99"/>
      <c r="F497" s="99"/>
      <c r="G497" s="99"/>
      <c r="H497" s="99"/>
      <c r="I497" s="99"/>
    </row>
    <row r="498" ht="15.75" customHeight="1">
      <c r="D498" s="99"/>
      <c r="F498" s="99"/>
      <c r="G498" s="99"/>
      <c r="H498" s="99"/>
      <c r="I498" s="99"/>
    </row>
    <row r="499" ht="15.75" customHeight="1">
      <c r="D499" s="99"/>
      <c r="F499" s="99"/>
      <c r="G499" s="99"/>
      <c r="H499" s="99"/>
      <c r="I499" s="99"/>
    </row>
    <row r="500" ht="15.75" customHeight="1">
      <c r="D500" s="99"/>
      <c r="F500" s="99"/>
      <c r="G500" s="99"/>
      <c r="H500" s="99"/>
      <c r="I500" s="99"/>
    </row>
    <row r="501" ht="15.75" customHeight="1">
      <c r="D501" s="99"/>
      <c r="F501" s="99"/>
      <c r="G501" s="99"/>
      <c r="H501" s="99"/>
      <c r="I501" s="99"/>
    </row>
    <row r="502" ht="15.75" customHeight="1">
      <c r="D502" s="99"/>
      <c r="F502" s="99"/>
      <c r="G502" s="99"/>
      <c r="H502" s="99"/>
      <c r="I502" s="99"/>
    </row>
    <row r="503" ht="15.75" customHeight="1">
      <c r="D503" s="99"/>
      <c r="F503" s="99"/>
      <c r="G503" s="99"/>
      <c r="H503" s="99"/>
      <c r="I503" s="99"/>
    </row>
    <row r="504" ht="15.75" customHeight="1">
      <c r="D504" s="99"/>
      <c r="F504" s="99"/>
      <c r="G504" s="99"/>
      <c r="H504" s="99"/>
      <c r="I504" s="99"/>
    </row>
    <row r="505" ht="15.75" customHeight="1">
      <c r="D505" s="99"/>
      <c r="F505" s="99"/>
      <c r="G505" s="99"/>
      <c r="H505" s="99"/>
      <c r="I505" s="99"/>
    </row>
    <row r="506" ht="15.75" customHeight="1">
      <c r="D506" s="99"/>
      <c r="F506" s="99"/>
      <c r="G506" s="99"/>
      <c r="H506" s="99"/>
      <c r="I506" s="99"/>
    </row>
    <row r="507" ht="15.75" customHeight="1">
      <c r="D507" s="99"/>
      <c r="F507" s="99"/>
      <c r="G507" s="99"/>
      <c r="H507" s="99"/>
      <c r="I507" s="99"/>
    </row>
    <row r="508" ht="15.75" customHeight="1">
      <c r="D508" s="99"/>
      <c r="F508" s="99"/>
      <c r="G508" s="99"/>
      <c r="H508" s="99"/>
      <c r="I508" s="99"/>
    </row>
    <row r="509" ht="15.75" customHeight="1">
      <c r="D509" s="99"/>
      <c r="F509" s="99"/>
      <c r="G509" s="99"/>
      <c r="H509" s="99"/>
      <c r="I509" s="99"/>
    </row>
    <row r="510" ht="15.75" customHeight="1">
      <c r="D510" s="99"/>
      <c r="F510" s="99"/>
      <c r="G510" s="99"/>
      <c r="H510" s="99"/>
      <c r="I510" s="99"/>
    </row>
    <row r="511" ht="15.75" customHeight="1">
      <c r="D511" s="99"/>
      <c r="F511" s="99"/>
      <c r="G511" s="99"/>
      <c r="H511" s="99"/>
      <c r="I511" s="99"/>
    </row>
    <row r="512" ht="15.75" customHeight="1">
      <c r="D512" s="99"/>
      <c r="F512" s="99"/>
      <c r="G512" s="99"/>
      <c r="H512" s="99"/>
      <c r="I512" s="99"/>
    </row>
    <row r="513" ht="15.75" customHeight="1">
      <c r="D513" s="99"/>
      <c r="F513" s="99"/>
      <c r="G513" s="99"/>
      <c r="H513" s="99"/>
      <c r="I513" s="99"/>
    </row>
    <row r="514" ht="15.75" customHeight="1">
      <c r="D514" s="99"/>
      <c r="F514" s="99"/>
      <c r="G514" s="99"/>
      <c r="H514" s="99"/>
      <c r="I514" s="99"/>
    </row>
    <row r="515" ht="15.75" customHeight="1">
      <c r="D515" s="99"/>
      <c r="F515" s="99"/>
      <c r="G515" s="99"/>
      <c r="H515" s="99"/>
      <c r="I515" s="99"/>
    </row>
    <row r="516" ht="15.75" customHeight="1">
      <c r="D516" s="99"/>
      <c r="F516" s="99"/>
      <c r="G516" s="99"/>
      <c r="H516" s="99"/>
      <c r="I516" s="99"/>
    </row>
    <row r="517" ht="15.75" customHeight="1">
      <c r="D517" s="99"/>
      <c r="F517" s="99"/>
      <c r="G517" s="99"/>
      <c r="H517" s="99"/>
      <c r="I517" s="99"/>
    </row>
    <row r="518" ht="15.75" customHeight="1">
      <c r="D518" s="99"/>
      <c r="F518" s="99"/>
      <c r="G518" s="99"/>
      <c r="H518" s="99"/>
      <c r="I518" s="99"/>
    </row>
    <row r="519" ht="15.75" customHeight="1">
      <c r="D519" s="99"/>
      <c r="F519" s="99"/>
      <c r="G519" s="99"/>
      <c r="H519" s="99"/>
      <c r="I519" s="99"/>
    </row>
    <row r="520" ht="15.75" customHeight="1">
      <c r="D520" s="99"/>
      <c r="F520" s="99"/>
      <c r="G520" s="99"/>
      <c r="H520" s="99"/>
      <c r="I520" s="99"/>
    </row>
    <row r="521" ht="15.75" customHeight="1">
      <c r="D521" s="99"/>
      <c r="F521" s="99"/>
      <c r="G521" s="99"/>
      <c r="H521" s="99"/>
      <c r="I521" s="99"/>
    </row>
    <row r="522" ht="15.75" customHeight="1">
      <c r="D522" s="99"/>
      <c r="F522" s="99"/>
      <c r="G522" s="99"/>
      <c r="H522" s="99"/>
      <c r="I522" s="99"/>
    </row>
    <row r="523" ht="15.75" customHeight="1">
      <c r="D523" s="99"/>
      <c r="F523" s="99"/>
      <c r="G523" s="99"/>
      <c r="H523" s="99"/>
      <c r="I523" s="99"/>
    </row>
    <row r="524" ht="15.75" customHeight="1">
      <c r="D524" s="99"/>
      <c r="F524" s="99"/>
      <c r="G524" s="99"/>
      <c r="H524" s="99"/>
      <c r="I524" s="99"/>
    </row>
    <row r="525" ht="15.75" customHeight="1">
      <c r="D525" s="99"/>
      <c r="F525" s="99"/>
      <c r="G525" s="99"/>
      <c r="H525" s="99"/>
      <c r="I525" s="99"/>
    </row>
    <row r="526" ht="15.75" customHeight="1">
      <c r="D526" s="99"/>
      <c r="F526" s="99"/>
      <c r="G526" s="99"/>
      <c r="H526" s="99"/>
      <c r="I526" s="99"/>
    </row>
    <row r="527" ht="15.75" customHeight="1">
      <c r="D527" s="99"/>
      <c r="F527" s="99"/>
      <c r="G527" s="99"/>
      <c r="H527" s="99"/>
      <c r="I527" s="99"/>
    </row>
    <row r="528" ht="15.75" customHeight="1">
      <c r="D528" s="99"/>
      <c r="F528" s="99"/>
      <c r="G528" s="99"/>
      <c r="H528" s="99"/>
      <c r="I528" s="99"/>
    </row>
    <row r="529" ht="15.75" customHeight="1">
      <c r="D529" s="99"/>
      <c r="F529" s="99"/>
      <c r="G529" s="99"/>
      <c r="H529" s="99"/>
      <c r="I529" s="99"/>
    </row>
    <row r="530" ht="15.75" customHeight="1">
      <c r="D530" s="99"/>
      <c r="F530" s="99"/>
      <c r="G530" s="99"/>
      <c r="H530" s="99"/>
      <c r="I530" s="99"/>
    </row>
    <row r="531" ht="15.75" customHeight="1">
      <c r="D531" s="99"/>
      <c r="F531" s="99"/>
      <c r="G531" s="99"/>
      <c r="H531" s="99"/>
      <c r="I531" s="99"/>
    </row>
    <row r="532" ht="15.75" customHeight="1">
      <c r="D532" s="99"/>
      <c r="F532" s="99"/>
      <c r="G532" s="99"/>
      <c r="H532" s="99"/>
      <c r="I532" s="99"/>
    </row>
    <row r="533" ht="15.75" customHeight="1">
      <c r="D533" s="99"/>
      <c r="F533" s="99"/>
      <c r="G533" s="99"/>
      <c r="H533" s="99"/>
      <c r="I533" s="99"/>
    </row>
    <row r="534" ht="15.75" customHeight="1">
      <c r="D534" s="99"/>
      <c r="F534" s="99"/>
      <c r="G534" s="99"/>
      <c r="H534" s="99"/>
      <c r="I534" s="99"/>
    </row>
    <row r="535" ht="15.75" customHeight="1">
      <c r="D535" s="99"/>
      <c r="F535" s="99"/>
      <c r="G535" s="99"/>
      <c r="H535" s="99"/>
      <c r="I535" s="99"/>
    </row>
    <row r="536" ht="15.75" customHeight="1">
      <c r="D536" s="99"/>
      <c r="F536" s="99"/>
      <c r="G536" s="99"/>
      <c r="H536" s="99"/>
      <c r="I536" s="99"/>
    </row>
    <row r="537" ht="15.75" customHeight="1">
      <c r="D537" s="99"/>
      <c r="F537" s="99"/>
      <c r="G537" s="99"/>
      <c r="H537" s="99"/>
      <c r="I537" s="99"/>
    </row>
    <row r="538" ht="15.75" customHeight="1">
      <c r="D538" s="99"/>
      <c r="F538" s="99"/>
      <c r="G538" s="99"/>
      <c r="H538" s="99"/>
      <c r="I538" s="99"/>
    </row>
    <row r="539" ht="15.75" customHeight="1">
      <c r="D539" s="99"/>
      <c r="F539" s="99"/>
      <c r="G539" s="99"/>
      <c r="H539" s="99"/>
      <c r="I539" s="99"/>
    </row>
    <row r="540" ht="15.75" customHeight="1">
      <c r="D540" s="99"/>
      <c r="F540" s="99"/>
      <c r="G540" s="99"/>
      <c r="H540" s="99"/>
      <c r="I540" s="99"/>
    </row>
    <row r="541" ht="15.75" customHeight="1">
      <c r="D541" s="99"/>
      <c r="F541" s="99"/>
      <c r="G541" s="99"/>
      <c r="H541" s="99"/>
      <c r="I541" s="99"/>
    </row>
    <row r="542" ht="15.75" customHeight="1">
      <c r="D542" s="99"/>
      <c r="F542" s="99"/>
      <c r="G542" s="99"/>
      <c r="H542" s="99"/>
      <c r="I542" s="99"/>
    </row>
    <row r="543" ht="15.75" customHeight="1">
      <c r="D543" s="99"/>
      <c r="F543" s="99"/>
      <c r="G543" s="99"/>
      <c r="H543" s="99"/>
      <c r="I543" s="99"/>
    </row>
    <row r="544" ht="15.75" customHeight="1">
      <c r="D544" s="99"/>
      <c r="F544" s="99"/>
      <c r="G544" s="99"/>
      <c r="H544" s="99"/>
      <c r="I544" s="99"/>
    </row>
    <row r="545" ht="15.75" customHeight="1">
      <c r="D545" s="99"/>
      <c r="F545" s="99"/>
      <c r="G545" s="99"/>
      <c r="H545" s="99"/>
      <c r="I545" s="99"/>
    </row>
    <row r="546" ht="15.75" customHeight="1">
      <c r="D546" s="99"/>
      <c r="F546" s="99"/>
      <c r="G546" s="99"/>
      <c r="H546" s="99"/>
      <c r="I546" s="99"/>
    </row>
    <row r="547" ht="15.75" customHeight="1">
      <c r="D547" s="99"/>
      <c r="F547" s="99"/>
      <c r="G547" s="99"/>
      <c r="H547" s="99"/>
      <c r="I547" s="99"/>
    </row>
    <row r="548" ht="15.75" customHeight="1">
      <c r="D548" s="99"/>
      <c r="F548" s="99"/>
      <c r="G548" s="99"/>
      <c r="H548" s="99"/>
      <c r="I548" s="99"/>
    </row>
    <row r="549" ht="15.75" customHeight="1">
      <c r="D549" s="99"/>
      <c r="F549" s="99"/>
      <c r="G549" s="99"/>
      <c r="H549" s="99"/>
      <c r="I549" s="99"/>
    </row>
    <row r="550" ht="15.75" customHeight="1">
      <c r="D550" s="99"/>
      <c r="F550" s="99"/>
      <c r="G550" s="99"/>
      <c r="H550" s="99"/>
      <c r="I550" s="99"/>
    </row>
    <row r="551" ht="15.75" customHeight="1">
      <c r="D551" s="99"/>
      <c r="F551" s="99"/>
      <c r="G551" s="99"/>
      <c r="H551" s="99"/>
      <c r="I551" s="99"/>
    </row>
    <row r="552" ht="15.75" customHeight="1">
      <c r="D552" s="99"/>
      <c r="F552" s="99"/>
      <c r="G552" s="99"/>
      <c r="H552" s="99"/>
      <c r="I552" s="99"/>
    </row>
    <row r="553" ht="15.75" customHeight="1">
      <c r="D553" s="99"/>
      <c r="F553" s="99"/>
      <c r="G553" s="99"/>
      <c r="H553" s="99"/>
      <c r="I553" s="99"/>
    </row>
    <row r="554" ht="15.75" customHeight="1">
      <c r="D554" s="99"/>
      <c r="F554" s="99"/>
      <c r="G554" s="99"/>
      <c r="H554" s="99"/>
      <c r="I554" s="99"/>
    </row>
    <row r="555" ht="15.75" customHeight="1">
      <c r="D555" s="99"/>
      <c r="F555" s="99"/>
      <c r="G555" s="99"/>
      <c r="H555" s="99"/>
      <c r="I555" s="99"/>
    </row>
    <row r="556" ht="15.75" customHeight="1">
      <c r="D556" s="99"/>
      <c r="F556" s="99"/>
      <c r="G556" s="99"/>
      <c r="H556" s="99"/>
      <c r="I556" s="99"/>
    </row>
    <row r="557" ht="15.75" customHeight="1">
      <c r="D557" s="99"/>
      <c r="F557" s="99"/>
      <c r="G557" s="99"/>
      <c r="H557" s="99"/>
      <c r="I557" s="99"/>
    </row>
    <row r="558" ht="15.75" customHeight="1">
      <c r="D558" s="99"/>
      <c r="F558" s="99"/>
      <c r="G558" s="99"/>
      <c r="H558" s="99"/>
      <c r="I558" s="99"/>
    </row>
    <row r="559" ht="15.75" customHeight="1">
      <c r="D559" s="99"/>
      <c r="F559" s="99"/>
      <c r="G559" s="99"/>
      <c r="H559" s="99"/>
      <c r="I559" s="99"/>
    </row>
    <row r="560" ht="15.75" customHeight="1">
      <c r="D560" s="99"/>
      <c r="F560" s="99"/>
      <c r="G560" s="99"/>
      <c r="H560" s="99"/>
      <c r="I560" s="99"/>
    </row>
    <row r="561" ht="15.75" customHeight="1">
      <c r="D561" s="99"/>
      <c r="F561" s="99"/>
      <c r="G561" s="99"/>
      <c r="H561" s="99"/>
      <c r="I561" s="99"/>
    </row>
    <row r="562" ht="15.75" customHeight="1">
      <c r="D562" s="99"/>
      <c r="F562" s="99"/>
      <c r="G562" s="99"/>
      <c r="H562" s="99"/>
      <c r="I562" s="99"/>
    </row>
    <row r="563" ht="15.75" customHeight="1">
      <c r="D563" s="99"/>
      <c r="F563" s="99"/>
      <c r="G563" s="99"/>
      <c r="H563" s="99"/>
      <c r="I563" s="99"/>
    </row>
    <row r="564" ht="15.75" customHeight="1">
      <c r="D564" s="99"/>
      <c r="F564" s="99"/>
      <c r="G564" s="99"/>
      <c r="H564" s="99"/>
      <c r="I564" s="99"/>
    </row>
    <row r="565" ht="15.75" customHeight="1">
      <c r="D565" s="99"/>
      <c r="F565" s="99"/>
      <c r="G565" s="99"/>
      <c r="H565" s="99"/>
      <c r="I565" s="99"/>
    </row>
    <row r="566" ht="15.75" customHeight="1">
      <c r="D566" s="99"/>
      <c r="F566" s="99"/>
      <c r="G566" s="99"/>
      <c r="H566" s="99"/>
      <c r="I566" s="99"/>
    </row>
    <row r="567" ht="15.75" customHeight="1">
      <c r="D567" s="99"/>
      <c r="F567" s="99"/>
      <c r="G567" s="99"/>
      <c r="H567" s="99"/>
      <c r="I567" s="99"/>
    </row>
    <row r="568" ht="15.75" customHeight="1">
      <c r="D568" s="99"/>
      <c r="F568" s="99"/>
      <c r="G568" s="99"/>
      <c r="H568" s="99"/>
      <c r="I568" s="99"/>
    </row>
    <row r="569" ht="15.75" customHeight="1">
      <c r="D569" s="99"/>
      <c r="F569" s="99"/>
      <c r="G569" s="99"/>
      <c r="H569" s="99"/>
      <c r="I569" s="99"/>
    </row>
    <row r="570" ht="15.75" customHeight="1">
      <c r="D570" s="99"/>
      <c r="F570" s="99"/>
      <c r="G570" s="99"/>
      <c r="H570" s="99"/>
      <c r="I570" s="99"/>
    </row>
    <row r="571" ht="15.75" customHeight="1">
      <c r="D571" s="99"/>
      <c r="F571" s="99"/>
      <c r="G571" s="99"/>
      <c r="H571" s="99"/>
      <c r="I571" s="99"/>
    </row>
    <row r="572" ht="15.75" customHeight="1">
      <c r="D572" s="99"/>
      <c r="F572" s="99"/>
      <c r="G572" s="99"/>
      <c r="H572" s="99"/>
      <c r="I572" s="99"/>
    </row>
    <row r="573" ht="15.75" customHeight="1">
      <c r="D573" s="99"/>
      <c r="F573" s="99"/>
      <c r="G573" s="99"/>
      <c r="H573" s="99"/>
      <c r="I573" s="99"/>
    </row>
    <row r="574" ht="15.75" customHeight="1">
      <c r="D574" s="99"/>
      <c r="F574" s="99"/>
      <c r="G574" s="99"/>
      <c r="H574" s="99"/>
      <c r="I574" s="99"/>
    </row>
    <row r="575" ht="15.75" customHeight="1">
      <c r="D575" s="99"/>
      <c r="F575" s="99"/>
      <c r="G575" s="99"/>
      <c r="H575" s="99"/>
      <c r="I575" s="99"/>
    </row>
    <row r="576" ht="15.75" customHeight="1">
      <c r="D576" s="99"/>
      <c r="F576" s="99"/>
      <c r="G576" s="99"/>
      <c r="H576" s="99"/>
      <c r="I576" s="99"/>
    </row>
    <row r="577" ht="15.75" customHeight="1">
      <c r="D577" s="99"/>
      <c r="F577" s="99"/>
      <c r="G577" s="99"/>
      <c r="H577" s="99"/>
      <c r="I577" s="99"/>
    </row>
    <row r="578" ht="15.75" customHeight="1">
      <c r="D578" s="99"/>
      <c r="F578" s="99"/>
      <c r="G578" s="99"/>
      <c r="H578" s="99"/>
      <c r="I578" s="99"/>
    </row>
    <row r="579" ht="15.75" customHeight="1">
      <c r="D579" s="99"/>
      <c r="F579" s="99"/>
      <c r="G579" s="99"/>
      <c r="H579" s="99"/>
      <c r="I579" s="99"/>
    </row>
    <row r="580" ht="15.75" customHeight="1">
      <c r="D580" s="99"/>
      <c r="F580" s="99"/>
      <c r="G580" s="99"/>
      <c r="H580" s="99"/>
      <c r="I580" s="99"/>
    </row>
    <row r="581" ht="15.75" customHeight="1">
      <c r="D581" s="99"/>
      <c r="F581" s="99"/>
      <c r="G581" s="99"/>
      <c r="H581" s="99"/>
      <c r="I581" s="99"/>
    </row>
    <row r="582" ht="15.75" customHeight="1">
      <c r="D582" s="99"/>
      <c r="F582" s="99"/>
      <c r="G582" s="99"/>
      <c r="H582" s="99"/>
      <c r="I582" s="99"/>
    </row>
    <row r="583" ht="15.75" customHeight="1">
      <c r="D583" s="99"/>
      <c r="F583" s="99"/>
      <c r="G583" s="99"/>
      <c r="H583" s="99"/>
      <c r="I583" s="99"/>
    </row>
    <row r="584" ht="15.75" customHeight="1">
      <c r="D584" s="99"/>
      <c r="F584" s="99"/>
      <c r="G584" s="99"/>
      <c r="H584" s="99"/>
      <c r="I584" s="99"/>
    </row>
    <row r="585" ht="15.75" customHeight="1">
      <c r="D585" s="99"/>
      <c r="F585" s="99"/>
      <c r="G585" s="99"/>
      <c r="H585" s="99"/>
      <c r="I585" s="99"/>
    </row>
    <row r="586" ht="15.75" customHeight="1">
      <c r="D586" s="99"/>
      <c r="F586" s="99"/>
      <c r="G586" s="99"/>
      <c r="H586" s="99"/>
      <c r="I586" s="99"/>
    </row>
    <row r="587" ht="15.75" customHeight="1">
      <c r="D587" s="99"/>
      <c r="F587" s="99"/>
      <c r="G587" s="99"/>
      <c r="H587" s="99"/>
      <c r="I587" s="99"/>
    </row>
    <row r="588" ht="15.75" customHeight="1">
      <c r="D588" s="99"/>
      <c r="F588" s="99"/>
      <c r="G588" s="99"/>
      <c r="H588" s="99"/>
      <c r="I588" s="99"/>
    </row>
    <row r="589" ht="15.75" customHeight="1">
      <c r="D589" s="99"/>
      <c r="F589" s="99"/>
      <c r="G589" s="99"/>
      <c r="H589" s="99"/>
      <c r="I589" s="99"/>
    </row>
    <row r="590" ht="15.75" customHeight="1">
      <c r="D590" s="99"/>
      <c r="F590" s="99"/>
      <c r="G590" s="99"/>
      <c r="H590" s="99"/>
      <c r="I590" s="99"/>
    </row>
    <row r="591" ht="15.75" customHeight="1">
      <c r="D591" s="99"/>
      <c r="F591" s="99"/>
      <c r="G591" s="99"/>
      <c r="H591" s="99"/>
      <c r="I591" s="99"/>
    </row>
    <row r="592" ht="15.75" customHeight="1">
      <c r="D592" s="99"/>
      <c r="F592" s="99"/>
      <c r="G592" s="99"/>
      <c r="H592" s="99"/>
      <c r="I592" s="99"/>
    </row>
    <row r="593" ht="15.75" customHeight="1">
      <c r="D593" s="99"/>
      <c r="F593" s="99"/>
      <c r="G593" s="99"/>
      <c r="H593" s="99"/>
      <c r="I593" s="99"/>
    </row>
    <row r="594" ht="15.75" customHeight="1">
      <c r="D594" s="99"/>
      <c r="F594" s="99"/>
      <c r="G594" s="99"/>
      <c r="H594" s="99"/>
      <c r="I594" s="99"/>
    </row>
    <row r="595" ht="15.75" customHeight="1">
      <c r="D595" s="99"/>
      <c r="F595" s="99"/>
      <c r="G595" s="99"/>
      <c r="H595" s="99"/>
      <c r="I595" s="99"/>
    </row>
    <row r="596" ht="15.75" customHeight="1">
      <c r="D596" s="99"/>
      <c r="F596" s="99"/>
      <c r="G596" s="99"/>
      <c r="H596" s="99"/>
      <c r="I596" s="99"/>
    </row>
    <row r="597" ht="15.75" customHeight="1">
      <c r="D597" s="99"/>
      <c r="F597" s="99"/>
      <c r="G597" s="99"/>
      <c r="H597" s="99"/>
      <c r="I597" s="99"/>
    </row>
    <row r="598" ht="15.75" customHeight="1">
      <c r="D598" s="99"/>
      <c r="F598" s="99"/>
      <c r="G598" s="99"/>
      <c r="H598" s="99"/>
      <c r="I598" s="99"/>
    </row>
    <row r="599" ht="15.75" customHeight="1">
      <c r="D599" s="99"/>
      <c r="F599" s="99"/>
      <c r="G599" s="99"/>
      <c r="H599" s="99"/>
      <c r="I599" s="99"/>
    </row>
    <row r="600" ht="15.75" customHeight="1">
      <c r="D600" s="99"/>
      <c r="F600" s="99"/>
      <c r="G600" s="99"/>
      <c r="H600" s="99"/>
      <c r="I600" s="99"/>
    </row>
    <row r="601" ht="15.75" customHeight="1">
      <c r="D601" s="99"/>
      <c r="F601" s="99"/>
      <c r="G601" s="99"/>
      <c r="H601" s="99"/>
      <c r="I601" s="99"/>
    </row>
    <row r="602" ht="15.75" customHeight="1">
      <c r="D602" s="99"/>
      <c r="F602" s="99"/>
      <c r="G602" s="99"/>
      <c r="H602" s="99"/>
      <c r="I602" s="99"/>
    </row>
    <row r="603" ht="15.75" customHeight="1">
      <c r="D603" s="99"/>
      <c r="F603" s="99"/>
      <c r="G603" s="99"/>
      <c r="H603" s="99"/>
      <c r="I603" s="99"/>
    </row>
    <row r="604" ht="15.75" customHeight="1">
      <c r="D604" s="99"/>
      <c r="F604" s="99"/>
      <c r="G604" s="99"/>
      <c r="H604" s="99"/>
      <c r="I604" s="99"/>
    </row>
    <row r="605" ht="15.75" customHeight="1">
      <c r="D605" s="99"/>
      <c r="F605" s="99"/>
      <c r="G605" s="99"/>
      <c r="H605" s="99"/>
      <c r="I605" s="99"/>
    </row>
    <row r="606" ht="15.75" customHeight="1">
      <c r="D606" s="99"/>
      <c r="F606" s="99"/>
      <c r="G606" s="99"/>
      <c r="H606" s="99"/>
      <c r="I606" s="99"/>
    </row>
    <row r="607" ht="15.75" customHeight="1">
      <c r="D607" s="99"/>
      <c r="F607" s="99"/>
      <c r="G607" s="99"/>
      <c r="H607" s="99"/>
      <c r="I607" s="99"/>
    </row>
    <row r="608" ht="15.75" customHeight="1">
      <c r="D608" s="99"/>
      <c r="F608" s="99"/>
      <c r="G608" s="99"/>
      <c r="H608" s="99"/>
      <c r="I608" s="99"/>
    </row>
    <row r="609" ht="15.75" customHeight="1">
      <c r="D609" s="99"/>
      <c r="F609" s="99"/>
      <c r="G609" s="99"/>
      <c r="H609" s="99"/>
      <c r="I609" s="99"/>
    </row>
    <row r="610" ht="15.75" customHeight="1">
      <c r="D610" s="99"/>
      <c r="F610" s="99"/>
      <c r="G610" s="99"/>
      <c r="H610" s="99"/>
      <c r="I610" s="99"/>
    </row>
    <row r="611" ht="15.75" customHeight="1">
      <c r="D611" s="99"/>
      <c r="F611" s="99"/>
      <c r="G611" s="99"/>
      <c r="H611" s="99"/>
      <c r="I611" s="99"/>
    </row>
    <row r="612" ht="15.75" customHeight="1">
      <c r="D612" s="99"/>
      <c r="F612" s="99"/>
      <c r="G612" s="99"/>
      <c r="H612" s="99"/>
      <c r="I612" s="99"/>
    </row>
    <row r="613" ht="15.75" customHeight="1">
      <c r="D613" s="99"/>
      <c r="F613" s="99"/>
      <c r="G613" s="99"/>
      <c r="H613" s="99"/>
      <c r="I613" s="99"/>
    </row>
    <row r="614" ht="15.75" customHeight="1">
      <c r="D614" s="99"/>
      <c r="F614" s="99"/>
      <c r="G614" s="99"/>
      <c r="H614" s="99"/>
      <c r="I614" s="99"/>
    </row>
    <row r="615" ht="15.75" customHeight="1">
      <c r="D615" s="99"/>
      <c r="F615" s="99"/>
      <c r="G615" s="99"/>
      <c r="H615" s="99"/>
      <c r="I615" s="99"/>
    </row>
    <row r="616" ht="15.75" customHeight="1">
      <c r="D616" s="99"/>
      <c r="F616" s="99"/>
      <c r="G616" s="99"/>
      <c r="H616" s="99"/>
      <c r="I616" s="99"/>
    </row>
    <row r="617" ht="15.75" customHeight="1">
      <c r="D617" s="99"/>
      <c r="F617" s="99"/>
      <c r="G617" s="99"/>
      <c r="H617" s="99"/>
      <c r="I617" s="99"/>
    </row>
    <row r="618" ht="15.75" customHeight="1">
      <c r="D618" s="99"/>
      <c r="F618" s="99"/>
      <c r="G618" s="99"/>
      <c r="H618" s="99"/>
      <c r="I618" s="99"/>
    </row>
    <row r="619" ht="15.75" customHeight="1">
      <c r="D619" s="99"/>
      <c r="F619" s="99"/>
      <c r="G619" s="99"/>
      <c r="H619" s="99"/>
      <c r="I619" s="99"/>
    </row>
    <row r="620" ht="15.75" customHeight="1">
      <c r="D620" s="99"/>
      <c r="F620" s="99"/>
      <c r="G620" s="99"/>
      <c r="H620" s="99"/>
      <c r="I620" s="99"/>
    </row>
    <row r="621" ht="15.75" customHeight="1">
      <c r="D621" s="99"/>
      <c r="F621" s="99"/>
      <c r="G621" s="99"/>
      <c r="H621" s="99"/>
      <c r="I621" s="99"/>
    </row>
    <row r="622" ht="15.75" customHeight="1">
      <c r="D622" s="99"/>
      <c r="F622" s="99"/>
      <c r="G622" s="99"/>
      <c r="H622" s="99"/>
      <c r="I622" s="99"/>
    </row>
    <row r="623" ht="15.75" customHeight="1">
      <c r="D623" s="99"/>
      <c r="F623" s="99"/>
      <c r="G623" s="99"/>
      <c r="H623" s="99"/>
      <c r="I623" s="99"/>
    </row>
    <row r="624" ht="15.75" customHeight="1">
      <c r="D624" s="99"/>
      <c r="F624" s="99"/>
      <c r="G624" s="99"/>
      <c r="H624" s="99"/>
      <c r="I624" s="99"/>
    </row>
    <row r="625" ht="15.75" customHeight="1">
      <c r="D625" s="99"/>
      <c r="F625" s="99"/>
      <c r="G625" s="99"/>
      <c r="H625" s="99"/>
      <c r="I625" s="99"/>
    </row>
    <row r="626" ht="15.75" customHeight="1">
      <c r="D626" s="99"/>
      <c r="F626" s="99"/>
      <c r="G626" s="99"/>
      <c r="H626" s="99"/>
      <c r="I626" s="99"/>
    </row>
    <row r="627" ht="15.75" customHeight="1">
      <c r="D627" s="99"/>
      <c r="F627" s="99"/>
      <c r="G627" s="99"/>
      <c r="H627" s="99"/>
      <c r="I627" s="99"/>
    </row>
    <row r="628" ht="15.75" customHeight="1">
      <c r="D628" s="99"/>
      <c r="F628" s="99"/>
      <c r="G628" s="99"/>
      <c r="H628" s="99"/>
      <c r="I628" s="99"/>
    </row>
    <row r="629" ht="15.75" customHeight="1">
      <c r="D629" s="99"/>
      <c r="F629" s="99"/>
      <c r="G629" s="99"/>
      <c r="H629" s="99"/>
      <c r="I629" s="99"/>
    </row>
    <row r="630" ht="15.75" customHeight="1">
      <c r="D630" s="99"/>
      <c r="F630" s="99"/>
      <c r="G630" s="99"/>
      <c r="H630" s="99"/>
      <c r="I630" s="99"/>
    </row>
    <row r="631" ht="15.75" customHeight="1">
      <c r="D631" s="99"/>
      <c r="F631" s="99"/>
      <c r="G631" s="99"/>
      <c r="H631" s="99"/>
      <c r="I631" s="99"/>
    </row>
    <row r="632" ht="15.75" customHeight="1">
      <c r="D632" s="99"/>
      <c r="F632" s="99"/>
      <c r="G632" s="99"/>
      <c r="H632" s="99"/>
      <c r="I632" s="99"/>
    </row>
    <row r="633" ht="15.75" customHeight="1">
      <c r="D633" s="99"/>
      <c r="F633" s="99"/>
      <c r="G633" s="99"/>
      <c r="H633" s="99"/>
      <c r="I633" s="99"/>
    </row>
    <row r="634" ht="15.75" customHeight="1">
      <c r="D634" s="99"/>
      <c r="F634" s="99"/>
      <c r="G634" s="99"/>
      <c r="H634" s="99"/>
      <c r="I634" s="99"/>
    </row>
    <row r="635" ht="15.75" customHeight="1">
      <c r="D635" s="99"/>
      <c r="F635" s="99"/>
      <c r="G635" s="99"/>
      <c r="H635" s="99"/>
      <c r="I635" s="99"/>
    </row>
    <row r="636" ht="15.75" customHeight="1">
      <c r="D636" s="99"/>
      <c r="F636" s="99"/>
      <c r="G636" s="99"/>
      <c r="H636" s="99"/>
      <c r="I636" s="99"/>
    </row>
    <row r="637" ht="15.75" customHeight="1">
      <c r="D637" s="99"/>
      <c r="F637" s="99"/>
      <c r="G637" s="99"/>
      <c r="H637" s="99"/>
      <c r="I637" s="99"/>
    </row>
    <row r="638" ht="15.75" customHeight="1">
      <c r="D638" s="99"/>
      <c r="F638" s="99"/>
      <c r="G638" s="99"/>
      <c r="H638" s="99"/>
      <c r="I638" s="99"/>
    </row>
    <row r="639" ht="15.75" customHeight="1">
      <c r="D639" s="99"/>
      <c r="F639" s="99"/>
      <c r="G639" s="99"/>
      <c r="H639" s="99"/>
      <c r="I639" s="99"/>
    </row>
    <row r="640" ht="15.75" customHeight="1">
      <c r="D640" s="99"/>
      <c r="F640" s="99"/>
      <c r="G640" s="99"/>
      <c r="H640" s="99"/>
      <c r="I640" s="99"/>
    </row>
    <row r="641" ht="15.75" customHeight="1">
      <c r="D641" s="99"/>
      <c r="F641" s="99"/>
      <c r="G641" s="99"/>
      <c r="H641" s="99"/>
      <c r="I641" s="99"/>
    </row>
    <row r="642" ht="15.75" customHeight="1">
      <c r="D642" s="99"/>
      <c r="F642" s="99"/>
      <c r="G642" s="99"/>
      <c r="H642" s="99"/>
      <c r="I642" s="99"/>
    </row>
    <row r="643" ht="15.75" customHeight="1">
      <c r="D643" s="99"/>
      <c r="F643" s="99"/>
      <c r="G643" s="99"/>
      <c r="H643" s="99"/>
      <c r="I643" s="99"/>
    </row>
    <row r="644" ht="15.75" customHeight="1">
      <c r="D644" s="99"/>
      <c r="F644" s="99"/>
      <c r="G644" s="99"/>
      <c r="H644" s="99"/>
      <c r="I644" s="99"/>
    </row>
    <row r="645" ht="15.75" customHeight="1">
      <c r="D645" s="99"/>
      <c r="F645" s="99"/>
      <c r="G645" s="99"/>
      <c r="H645" s="99"/>
      <c r="I645" s="99"/>
    </row>
    <row r="646" ht="15.75" customHeight="1">
      <c r="D646" s="99"/>
      <c r="F646" s="99"/>
      <c r="G646" s="99"/>
      <c r="H646" s="99"/>
      <c r="I646" s="99"/>
    </row>
    <row r="647" ht="15.75" customHeight="1">
      <c r="D647" s="99"/>
      <c r="F647" s="99"/>
      <c r="G647" s="99"/>
      <c r="H647" s="99"/>
      <c r="I647" s="99"/>
    </row>
    <row r="648" ht="15.75" customHeight="1">
      <c r="D648" s="99"/>
      <c r="F648" s="99"/>
      <c r="G648" s="99"/>
      <c r="H648" s="99"/>
      <c r="I648" s="99"/>
    </row>
    <row r="649" ht="15.75" customHeight="1">
      <c r="D649" s="99"/>
      <c r="F649" s="99"/>
      <c r="G649" s="99"/>
      <c r="H649" s="99"/>
      <c r="I649" s="99"/>
    </row>
    <row r="650" ht="15.75" customHeight="1">
      <c r="D650" s="99"/>
      <c r="F650" s="99"/>
      <c r="G650" s="99"/>
      <c r="H650" s="99"/>
      <c r="I650" s="99"/>
    </row>
    <row r="651" ht="15.75" customHeight="1">
      <c r="D651" s="99"/>
      <c r="F651" s="99"/>
      <c r="G651" s="99"/>
      <c r="H651" s="99"/>
      <c r="I651" s="99"/>
    </row>
    <row r="652" ht="15.75" customHeight="1">
      <c r="D652" s="99"/>
      <c r="F652" s="99"/>
      <c r="G652" s="99"/>
      <c r="H652" s="99"/>
      <c r="I652" s="99"/>
    </row>
    <row r="653" ht="15.75" customHeight="1">
      <c r="D653" s="99"/>
      <c r="F653" s="99"/>
      <c r="G653" s="99"/>
      <c r="H653" s="99"/>
      <c r="I653" s="99"/>
    </row>
    <row r="654" ht="15.75" customHeight="1">
      <c r="D654" s="99"/>
      <c r="F654" s="99"/>
      <c r="G654" s="99"/>
      <c r="H654" s="99"/>
      <c r="I654" s="99"/>
    </row>
    <row r="655" ht="15.75" customHeight="1">
      <c r="D655" s="99"/>
      <c r="F655" s="99"/>
      <c r="G655" s="99"/>
      <c r="H655" s="99"/>
      <c r="I655" s="99"/>
    </row>
    <row r="656" ht="15.75" customHeight="1">
      <c r="D656" s="99"/>
      <c r="F656" s="99"/>
      <c r="G656" s="99"/>
      <c r="H656" s="99"/>
      <c r="I656" s="99"/>
    </row>
    <row r="657" ht="15.75" customHeight="1">
      <c r="D657" s="99"/>
      <c r="F657" s="99"/>
      <c r="G657" s="99"/>
      <c r="H657" s="99"/>
      <c r="I657" s="99"/>
    </row>
    <row r="658" ht="15.75" customHeight="1">
      <c r="D658" s="99"/>
      <c r="F658" s="99"/>
      <c r="G658" s="99"/>
      <c r="H658" s="99"/>
      <c r="I658" s="99"/>
    </row>
    <row r="659" ht="15.75" customHeight="1">
      <c r="D659" s="99"/>
      <c r="F659" s="99"/>
      <c r="G659" s="99"/>
      <c r="H659" s="99"/>
      <c r="I659" s="99"/>
    </row>
    <row r="660" ht="15.75" customHeight="1">
      <c r="D660" s="99"/>
      <c r="F660" s="99"/>
      <c r="G660" s="99"/>
      <c r="H660" s="99"/>
      <c r="I660" s="99"/>
    </row>
    <row r="661" ht="15.75" customHeight="1">
      <c r="D661" s="99"/>
      <c r="F661" s="99"/>
      <c r="G661" s="99"/>
      <c r="H661" s="99"/>
      <c r="I661" s="99"/>
    </row>
    <row r="662" ht="15.75" customHeight="1">
      <c r="D662" s="99"/>
      <c r="F662" s="99"/>
      <c r="G662" s="99"/>
      <c r="H662" s="99"/>
      <c r="I662" s="99"/>
    </row>
    <row r="663" ht="15.75" customHeight="1">
      <c r="D663" s="99"/>
      <c r="F663" s="99"/>
      <c r="G663" s="99"/>
      <c r="H663" s="99"/>
      <c r="I663" s="99"/>
    </row>
    <row r="664" ht="15.75" customHeight="1">
      <c r="D664" s="99"/>
      <c r="F664" s="99"/>
      <c r="G664" s="99"/>
      <c r="H664" s="99"/>
      <c r="I664" s="99"/>
    </row>
    <row r="665" ht="15.75" customHeight="1">
      <c r="D665" s="99"/>
      <c r="F665" s="99"/>
      <c r="G665" s="99"/>
      <c r="H665" s="99"/>
      <c r="I665" s="99"/>
    </row>
    <row r="666" ht="15.75" customHeight="1">
      <c r="D666" s="99"/>
      <c r="F666" s="99"/>
      <c r="G666" s="99"/>
      <c r="H666" s="99"/>
      <c r="I666" s="99"/>
    </row>
    <row r="667" ht="15.75" customHeight="1">
      <c r="D667" s="99"/>
      <c r="F667" s="99"/>
      <c r="G667" s="99"/>
      <c r="H667" s="99"/>
      <c r="I667" s="99"/>
    </row>
    <row r="668" ht="15.75" customHeight="1">
      <c r="D668" s="99"/>
      <c r="F668" s="99"/>
      <c r="G668" s="99"/>
      <c r="H668" s="99"/>
      <c r="I668" s="99"/>
    </row>
    <row r="669" ht="15.75" customHeight="1">
      <c r="D669" s="99"/>
      <c r="F669" s="99"/>
      <c r="G669" s="99"/>
      <c r="H669" s="99"/>
      <c r="I669" s="99"/>
    </row>
    <row r="670" ht="15.75" customHeight="1">
      <c r="D670" s="99"/>
      <c r="F670" s="99"/>
      <c r="G670" s="99"/>
      <c r="H670" s="99"/>
      <c r="I670" s="99"/>
    </row>
    <row r="671" ht="15.75" customHeight="1">
      <c r="D671" s="99"/>
      <c r="F671" s="99"/>
      <c r="G671" s="99"/>
      <c r="H671" s="99"/>
      <c r="I671" s="99"/>
    </row>
    <row r="672" ht="15.75" customHeight="1">
      <c r="D672" s="99"/>
      <c r="F672" s="99"/>
      <c r="G672" s="99"/>
      <c r="H672" s="99"/>
      <c r="I672" s="99"/>
    </row>
    <row r="673" ht="15.75" customHeight="1">
      <c r="D673" s="99"/>
      <c r="F673" s="99"/>
      <c r="G673" s="99"/>
      <c r="H673" s="99"/>
      <c r="I673" s="99"/>
    </row>
    <row r="674" ht="15.75" customHeight="1">
      <c r="D674" s="99"/>
      <c r="F674" s="99"/>
      <c r="G674" s="99"/>
      <c r="H674" s="99"/>
      <c r="I674" s="99"/>
    </row>
    <row r="675" ht="15.75" customHeight="1">
      <c r="D675" s="99"/>
      <c r="F675" s="99"/>
      <c r="G675" s="99"/>
      <c r="H675" s="99"/>
      <c r="I675" s="99"/>
    </row>
    <row r="676" ht="15.75" customHeight="1">
      <c r="D676" s="99"/>
      <c r="F676" s="99"/>
      <c r="G676" s="99"/>
      <c r="H676" s="99"/>
      <c r="I676" s="99"/>
    </row>
    <row r="677" ht="15.75" customHeight="1">
      <c r="D677" s="99"/>
      <c r="F677" s="99"/>
      <c r="G677" s="99"/>
      <c r="H677" s="99"/>
      <c r="I677" s="99"/>
    </row>
    <row r="678" ht="15.75" customHeight="1">
      <c r="D678" s="99"/>
      <c r="F678" s="99"/>
      <c r="G678" s="99"/>
      <c r="H678" s="99"/>
      <c r="I678" s="99"/>
    </row>
    <row r="679" ht="15.75" customHeight="1">
      <c r="D679" s="99"/>
      <c r="F679" s="99"/>
      <c r="G679" s="99"/>
      <c r="H679" s="99"/>
      <c r="I679" s="99"/>
    </row>
    <row r="680" ht="15.75" customHeight="1">
      <c r="D680" s="99"/>
      <c r="F680" s="99"/>
      <c r="G680" s="99"/>
      <c r="H680" s="99"/>
      <c r="I680" s="99"/>
    </row>
    <row r="681" ht="15.75" customHeight="1">
      <c r="D681" s="99"/>
      <c r="F681" s="99"/>
      <c r="G681" s="99"/>
      <c r="H681" s="99"/>
      <c r="I681" s="99"/>
    </row>
    <row r="682" ht="15.75" customHeight="1">
      <c r="D682" s="99"/>
      <c r="F682" s="99"/>
      <c r="G682" s="99"/>
      <c r="H682" s="99"/>
      <c r="I682" s="99"/>
    </row>
    <row r="683" ht="15.75" customHeight="1">
      <c r="D683" s="99"/>
      <c r="F683" s="99"/>
      <c r="G683" s="99"/>
      <c r="H683" s="99"/>
      <c r="I683" s="99"/>
    </row>
    <row r="684" ht="15.75" customHeight="1">
      <c r="D684" s="99"/>
      <c r="F684" s="99"/>
      <c r="G684" s="99"/>
      <c r="H684" s="99"/>
      <c r="I684" s="99"/>
    </row>
    <row r="685" ht="15.75" customHeight="1">
      <c r="D685" s="99"/>
      <c r="F685" s="99"/>
      <c r="G685" s="99"/>
      <c r="H685" s="99"/>
      <c r="I685" s="99"/>
    </row>
    <row r="686" ht="15.75" customHeight="1">
      <c r="D686" s="99"/>
      <c r="F686" s="99"/>
      <c r="G686" s="99"/>
      <c r="H686" s="99"/>
      <c r="I686" s="99"/>
    </row>
    <row r="687" ht="15.75" customHeight="1">
      <c r="D687" s="99"/>
      <c r="F687" s="99"/>
      <c r="G687" s="99"/>
      <c r="H687" s="99"/>
      <c r="I687" s="99"/>
    </row>
    <row r="688" ht="15.75" customHeight="1">
      <c r="D688" s="99"/>
      <c r="F688" s="99"/>
      <c r="G688" s="99"/>
      <c r="H688" s="99"/>
      <c r="I688" s="99"/>
    </row>
    <row r="689" ht="15.75" customHeight="1">
      <c r="D689" s="99"/>
      <c r="F689" s="99"/>
      <c r="G689" s="99"/>
      <c r="H689" s="99"/>
      <c r="I689" s="99"/>
    </row>
    <row r="690" ht="15.75" customHeight="1">
      <c r="D690" s="99"/>
      <c r="F690" s="99"/>
      <c r="G690" s="99"/>
      <c r="H690" s="99"/>
      <c r="I690" s="99"/>
    </row>
    <row r="691" ht="15.75" customHeight="1">
      <c r="D691" s="99"/>
      <c r="F691" s="99"/>
      <c r="G691" s="99"/>
      <c r="H691" s="99"/>
      <c r="I691" s="99"/>
    </row>
    <row r="692" ht="15.75" customHeight="1">
      <c r="D692" s="99"/>
      <c r="F692" s="99"/>
      <c r="G692" s="99"/>
      <c r="H692" s="99"/>
      <c r="I692" s="99"/>
    </row>
    <row r="693" ht="15.75" customHeight="1">
      <c r="D693" s="99"/>
      <c r="F693" s="99"/>
      <c r="G693" s="99"/>
      <c r="H693" s="99"/>
      <c r="I693" s="99"/>
    </row>
    <row r="694" ht="15.75" customHeight="1">
      <c r="D694" s="99"/>
      <c r="F694" s="99"/>
      <c r="G694" s="99"/>
      <c r="H694" s="99"/>
      <c r="I694" s="99"/>
    </row>
    <row r="695" ht="15.75" customHeight="1">
      <c r="D695" s="99"/>
      <c r="F695" s="99"/>
      <c r="G695" s="99"/>
      <c r="H695" s="99"/>
      <c r="I695" s="99"/>
    </row>
    <row r="696" ht="15.75" customHeight="1">
      <c r="D696" s="99"/>
      <c r="F696" s="99"/>
      <c r="G696" s="99"/>
      <c r="H696" s="99"/>
      <c r="I696" s="99"/>
    </row>
    <row r="697" ht="15.75" customHeight="1">
      <c r="D697" s="99"/>
      <c r="F697" s="99"/>
      <c r="G697" s="99"/>
      <c r="H697" s="99"/>
      <c r="I697" s="99"/>
    </row>
    <row r="698" ht="15.75" customHeight="1">
      <c r="D698" s="99"/>
      <c r="F698" s="99"/>
      <c r="G698" s="99"/>
      <c r="H698" s="99"/>
      <c r="I698" s="99"/>
    </row>
    <row r="699" ht="15.75" customHeight="1">
      <c r="D699" s="99"/>
      <c r="F699" s="99"/>
      <c r="G699" s="99"/>
      <c r="H699" s="99"/>
      <c r="I699" s="99"/>
    </row>
    <row r="700" ht="15.75" customHeight="1">
      <c r="D700" s="99"/>
      <c r="F700" s="99"/>
      <c r="G700" s="99"/>
      <c r="H700" s="99"/>
      <c r="I700" s="99"/>
    </row>
    <row r="701" ht="15.75" customHeight="1">
      <c r="D701" s="99"/>
      <c r="F701" s="99"/>
      <c r="G701" s="99"/>
      <c r="H701" s="99"/>
      <c r="I701" s="99"/>
    </row>
    <row r="702" ht="15.75" customHeight="1">
      <c r="D702" s="99"/>
      <c r="F702" s="99"/>
      <c r="G702" s="99"/>
      <c r="H702" s="99"/>
      <c r="I702" s="99"/>
    </row>
    <row r="703" ht="15.75" customHeight="1">
      <c r="D703" s="99"/>
      <c r="F703" s="99"/>
      <c r="G703" s="99"/>
      <c r="H703" s="99"/>
      <c r="I703" s="99"/>
    </row>
    <row r="704" ht="15.75" customHeight="1">
      <c r="D704" s="99"/>
      <c r="F704" s="99"/>
      <c r="G704" s="99"/>
      <c r="H704" s="99"/>
      <c r="I704" s="99"/>
    </row>
    <row r="705" ht="15.75" customHeight="1">
      <c r="D705" s="99"/>
      <c r="F705" s="99"/>
      <c r="G705" s="99"/>
      <c r="H705" s="99"/>
      <c r="I705" s="99"/>
    </row>
    <row r="706" ht="15.75" customHeight="1">
      <c r="D706" s="99"/>
      <c r="F706" s="99"/>
      <c r="G706" s="99"/>
      <c r="H706" s="99"/>
      <c r="I706" s="99"/>
    </row>
    <row r="707" ht="15.75" customHeight="1">
      <c r="D707" s="99"/>
      <c r="F707" s="99"/>
      <c r="G707" s="99"/>
      <c r="H707" s="99"/>
      <c r="I707" s="99"/>
    </row>
    <row r="708" ht="15.75" customHeight="1">
      <c r="D708" s="99"/>
      <c r="F708" s="99"/>
      <c r="G708" s="99"/>
      <c r="H708" s="99"/>
      <c r="I708" s="99"/>
    </row>
    <row r="709" ht="15.75" customHeight="1">
      <c r="D709" s="99"/>
      <c r="F709" s="99"/>
      <c r="G709" s="99"/>
      <c r="H709" s="99"/>
      <c r="I709" s="99"/>
    </row>
    <row r="710" ht="15.75" customHeight="1">
      <c r="D710" s="99"/>
      <c r="F710" s="99"/>
      <c r="G710" s="99"/>
      <c r="H710" s="99"/>
      <c r="I710" s="99"/>
    </row>
    <row r="711" ht="15.75" customHeight="1">
      <c r="D711" s="99"/>
      <c r="F711" s="99"/>
      <c r="G711" s="99"/>
      <c r="H711" s="99"/>
      <c r="I711" s="99"/>
    </row>
    <row r="712" ht="15.75" customHeight="1">
      <c r="D712" s="99"/>
      <c r="F712" s="99"/>
      <c r="G712" s="99"/>
      <c r="H712" s="99"/>
      <c r="I712" s="99"/>
    </row>
    <row r="713" ht="15.75" customHeight="1">
      <c r="D713" s="99"/>
      <c r="F713" s="99"/>
      <c r="G713" s="99"/>
      <c r="H713" s="99"/>
      <c r="I713" s="99"/>
    </row>
    <row r="714" ht="15.75" customHeight="1">
      <c r="D714" s="99"/>
      <c r="F714" s="99"/>
      <c r="G714" s="99"/>
      <c r="H714" s="99"/>
      <c r="I714" s="99"/>
    </row>
    <row r="715" ht="15.75" customHeight="1">
      <c r="D715" s="99"/>
      <c r="F715" s="99"/>
      <c r="G715" s="99"/>
      <c r="H715" s="99"/>
      <c r="I715" s="99"/>
    </row>
    <row r="716" ht="15.75" customHeight="1">
      <c r="D716" s="99"/>
      <c r="F716" s="99"/>
      <c r="G716" s="99"/>
      <c r="H716" s="99"/>
      <c r="I716" s="99"/>
    </row>
    <row r="717" ht="15.75" customHeight="1">
      <c r="D717" s="99"/>
      <c r="F717" s="99"/>
      <c r="G717" s="99"/>
      <c r="H717" s="99"/>
      <c r="I717" s="99"/>
    </row>
    <row r="718" ht="15.75" customHeight="1">
      <c r="D718" s="99"/>
      <c r="F718" s="99"/>
      <c r="G718" s="99"/>
      <c r="H718" s="99"/>
      <c r="I718" s="99"/>
    </row>
    <row r="719" ht="15.75" customHeight="1">
      <c r="D719" s="99"/>
      <c r="F719" s="99"/>
      <c r="G719" s="99"/>
      <c r="H719" s="99"/>
      <c r="I719" s="99"/>
    </row>
    <row r="720" ht="15.75" customHeight="1">
      <c r="D720" s="99"/>
      <c r="F720" s="99"/>
      <c r="G720" s="99"/>
      <c r="H720" s="99"/>
      <c r="I720" s="99"/>
    </row>
    <row r="721" ht="15.75" customHeight="1">
      <c r="D721" s="99"/>
      <c r="F721" s="99"/>
      <c r="G721" s="99"/>
      <c r="H721" s="99"/>
      <c r="I721" s="99"/>
    </row>
    <row r="722" ht="15.75" customHeight="1">
      <c r="D722" s="99"/>
      <c r="F722" s="99"/>
      <c r="G722" s="99"/>
      <c r="H722" s="99"/>
      <c r="I722" s="99"/>
    </row>
    <row r="723" ht="15.75" customHeight="1">
      <c r="D723" s="99"/>
      <c r="F723" s="99"/>
      <c r="G723" s="99"/>
      <c r="H723" s="99"/>
      <c r="I723" s="99"/>
    </row>
    <row r="724" ht="15.75" customHeight="1">
      <c r="D724" s="99"/>
      <c r="F724" s="99"/>
      <c r="G724" s="99"/>
      <c r="H724" s="99"/>
      <c r="I724" s="99"/>
    </row>
    <row r="725" ht="15.75" customHeight="1">
      <c r="D725" s="99"/>
      <c r="F725" s="99"/>
      <c r="G725" s="99"/>
      <c r="H725" s="99"/>
      <c r="I725" s="99"/>
    </row>
    <row r="726" ht="15.75" customHeight="1">
      <c r="D726" s="99"/>
      <c r="F726" s="99"/>
      <c r="G726" s="99"/>
      <c r="H726" s="99"/>
      <c r="I726" s="99"/>
    </row>
    <row r="727" ht="15.75" customHeight="1">
      <c r="D727" s="99"/>
      <c r="F727" s="99"/>
      <c r="G727" s="99"/>
      <c r="H727" s="99"/>
      <c r="I727" s="99"/>
    </row>
    <row r="728" ht="15.75" customHeight="1">
      <c r="D728" s="99"/>
      <c r="F728" s="99"/>
      <c r="G728" s="99"/>
      <c r="H728" s="99"/>
      <c r="I728" s="99"/>
    </row>
    <row r="729" ht="15.75" customHeight="1">
      <c r="D729" s="99"/>
      <c r="F729" s="99"/>
      <c r="G729" s="99"/>
      <c r="H729" s="99"/>
      <c r="I729" s="99"/>
    </row>
    <row r="730" ht="15.75" customHeight="1">
      <c r="D730" s="99"/>
      <c r="F730" s="99"/>
      <c r="G730" s="99"/>
      <c r="H730" s="99"/>
      <c r="I730" s="99"/>
    </row>
    <row r="731" ht="15.75" customHeight="1">
      <c r="D731" s="99"/>
      <c r="F731" s="99"/>
      <c r="G731" s="99"/>
      <c r="H731" s="99"/>
      <c r="I731" s="99"/>
    </row>
    <row r="732" ht="15.75" customHeight="1">
      <c r="D732" s="99"/>
      <c r="F732" s="99"/>
      <c r="G732" s="99"/>
      <c r="H732" s="99"/>
      <c r="I732" s="99"/>
    </row>
    <row r="733" ht="15.75" customHeight="1">
      <c r="D733" s="99"/>
      <c r="F733" s="99"/>
      <c r="G733" s="99"/>
      <c r="H733" s="99"/>
      <c r="I733" s="99"/>
    </row>
    <row r="734" ht="15.75" customHeight="1">
      <c r="D734" s="99"/>
      <c r="F734" s="99"/>
      <c r="G734" s="99"/>
      <c r="H734" s="99"/>
      <c r="I734" s="99"/>
    </row>
    <row r="735" ht="15.75" customHeight="1">
      <c r="D735" s="99"/>
      <c r="F735" s="99"/>
      <c r="G735" s="99"/>
      <c r="H735" s="99"/>
      <c r="I735" s="99"/>
    </row>
    <row r="736" ht="15.75" customHeight="1">
      <c r="D736" s="99"/>
      <c r="F736" s="99"/>
      <c r="G736" s="99"/>
      <c r="H736" s="99"/>
      <c r="I736" s="99"/>
    </row>
    <row r="737" ht="15.75" customHeight="1">
      <c r="D737" s="99"/>
      <c r="F737" s="99"/>
      <c r="G737" s="99"/>
      <c r="H737" s="99"/>
      <c r="I737" s="99"/>
    </row>
    <row r="738" ht="15.75" customHeight="1">
      <c r="D738" s="99"/>
      <c r="F738" s="99"/>
      <c r="G738" s="99"/>
      <c r="H738" s="99"/>
      <c r="I738" s="99"/>
    </row>
    <row r="739" ht="15.75" customHeight="1">
      <c r="D739" s="99"/>
      <c r="F739" s="99"/>
      <c r="G739" s="99"/>
      <c r="H739" s="99"/>
      <c r="I739" s="99"/>
    </row>
    <row r="740" ht="15.75" customHeight="1">
      <c r="D740" s="99"/>
      <c r="F740" s="99"/>
      <c r="G740" s="99"/>
      <c r="H740" s="99"/>
      <c r="I740" s="99"/>
    </row>
    <row r="741" ht="15.75" customHeight="1">
      <c r="D741" s="99"/>
      <c r="F741" s="99"/>
      <c r="G741" s="99"/>
      <c r="H741" s="99"/>
      <c r="I741" s="99"/>
    </row>
    <row r="742" ht="15.75" customHeight="1">
      <c r="D742" s="99"/>
      <c r="F742" s="99"/>
      <c r="G742" s="99"/>
      <c r="H742" s="99"/>
      <c r="I742" s="99"/>
    </row>
    <row r="743" ht="15.75" customHeight="1">
      <c r="D743" s="99"/>
      <c r="F743" s="99"/>
      <c r="G743" s="99"/>
      <c r="H743" s="99"/>
      <c r="I743" s="99"/>
    </row>
    <row r="744" ht="15.75" customHeight="1">
      <c r="D744" s="99"/>
      <c r="F744" s="99"/>
      <c r="G744" s="99"/>
      <c r="H744" s="99"/>
      <c r="I744" s="99"/>
    </row>
    <row r="745" ht="15.75" customHeight="1">
      <c r="D745" s="99"/>
      <c r="F745" s="99"/>
      <c r="G745" s="99"/>
      <c r="H745" s="99"/>
      <c r="I745" s="99"/>
    </row>
    <row r="746" ht="15.75" customHeight="1">
      <c r="D746" s="99"/>
      <c r="F746" s="99"/>
      <c r="G746" s="99"/>
      <c r="H746" s="99"/>
      <c r="I746" s="99"/>
    </row>
    <row r="747" ht="15.75" customHeight="1">
      <c r="D747" s="99"/>
      <c r="F747" s="99"/>
      <c r="G747" s="99"/>
      <c r="H747" s="99"/>
      <c r="I747" s="99"/>
    </row>
    <row r="748" ht="15.75" customHeight="1">
      <c r="D748" s="99"/>
      <c r="F748" s="99"/>
      <c r="G748" s="99"/>
      <c r="H748" s="99"/>
      <c r="I748" s="99"/>
    </row>
    <row r="749" ht="15.75" customHeight="1">
      <c r="D749" s="99"/>
      <c r="F749" s="99"/>
      <c r="G749" s="99"/>
      <c r="H749" s="99"/>
      <c r="I749" s="99"/>
    </row>
    <row r="750" ht="15.75" customHeight="1">
      <c r="D750" s="99"/>
      <c r="F750" s="99"/>
      <c r="G750" s="99"/>
      <c r="H750" s="99"/>
      <c r="I750" s="99"/>
    </row>
    <row r="751" ht="15.75" customHeight="1">
      <c r="D751" s="99"/>
      <c r="F751" s="99"/>
      <c r="G751" s="99"/>
      <c r="H751" s="99"/>
      <c r="I751" s="99"/>
    </row>
    <row r="752" ht="15.75" customHeight="1">
      <c r="D752" s="99"/>
      <c r="F752" s="99"/>
      <c r="G752" s="99"/>
      <c r="H752" s="99"/>
      <c r="I752" s="99"/>
    </row>
    <row r="753" ht="15.75" customHeight="1">
      <c r="D753" s="99"/>
      <c r="F753" s="99"/>
      <c r="G753" s="99"/>
      <c r="H753" s="99"/>
      <c r="I753" s="99"/>
    </row>
    <row r="754" ht="15.75" customHeight="1">
      <c r="D754" s="99"/>
      <c r="F754" s="99"/>
      <c r="G754" s="99"/>
      <c r="H754" s="99"/>
      <c r="I754" s="99"/>
    </row>
    <row r="755" ht="15.75" customHeight="1">
      <c r="D755" s="99"/>
      <c r="F755" s="99"/>
      <c r="G755" s="99"/>
      <c r="H755" s="99"/>
      <c r="I755" s="99"/>
    </row>
    <row r="756" ht="15.75" customHeight="1">
      <c r="D756" s="99"/>
      <c r="F756" s="99"/>
      <c r="G756" s="99"/>
      <c r="H756" s="99"/>
      <c r="I756" s="99"/>
    </row>
    <row r="757" ht="15.75" customHeight="1">
      <c r="D757" s="99"/>
      <c r="F757" s="99"/>
      <c r="G757" s="99"/>
      <c r="H757" s="99"/>
      <c r="I757" s="99"/>
    </row>
    <row r="758" ht="15.75" customHeight="1">
      <c r="D758" s="99"/>
      <c r="F758" s="99"/>
      <c r="G758" s="99"/>
      <c r="H758" s="99"/>
      <c r="I758" s="99"/>
    </row>
    <row r="759" ht="15.75" customHeight="1">
      <c r="D759" s="99"/>
      <c r="F759" s="99"/>
      <c r="G759" s="99"/>
      <c r="H759" s="99"/>
      <c r="I759" s="99"/>
    </row>
    <row r="760" ht="15.75" customHeight="1">
      <c r="D760" s="99"/>
      <c r="F760" s="99"/>
      <c r="G760" s="99"/>
      <c r="H760" s="99"/>
      <c r="I760" s="99"/>
    </row>
    <row r="761" ht="15.75" customHeight="1">
      <c r="D761" s="99"/>
      <c r="F761" s="99"/>
      <c r="G761" s="99"/>
      <c r="H761" s="99"/>
      <c r="I761" s="99"/>
    </row>
    <row r="762" ht="15.75" customHeight="1">
      <c r="D762" s="99"/>
      <c r="F762" s="99"/>
      <c r="G762" s="99"/>
      <c r="H762" s="99"/>
      <c r="I762" s="99"/>
    </row>
    <row r="763" ht="15.75" customHeight="1">
      <c r="D763" s="99"/>
      <c r="F763" s="99"/>
      <c r="G763" s="99"/>
      <c r="H763" s="99"/>
      <c r="I763" s="99"/>
    </row>
    <row r="764" ht="15.75" customHeight="1">
      <c r="D764" s="99"/>
      <c r="F764" s="99"/>
      <c r="G764" s="99"/>
      <c r="H764" s="99"/>
      <c r="I764" s="99"/>
    </row>
    <row r="765" ht="15.75" customHeight="1">
      <c r="D765" s="99"/>
      <c r="F765" s="99"/>
      <c r="G765" s="99"/>
      <c r="H765" s="99"/>
      <c r="I765" s="99"/>
    </row>
    <row r="766" ht="15.75" customHeight="1">
      <c r="D766" s="99"/>
      <c r="F766" s="99"/>
      <c r="G766" s="99"/>
      <c r="H766" s="99"/>
      <c r="I766" s="99"/>
    </row>
    <row r="767" ht="15.75" customHeight="1">
      <c r="D767" s="99"/>
      <c r="F767" s="99"/>
      <c r="G767" s="99"/>
      <c r="H767" s="99"/>
      <c r="I767" s="99"/>
    </row>
    <row r="768" ht="15.75" customHeight="1">
      <c r="D768" s="99"/>
      <c r="F768" s="99"/>
      <c r="G768" s="99"/>
      <c r="H768" s="99"/>
      <c r="I768" s="99"/>
    </row>
    <row r="769" ht="15.75" customHeight="1">
      <c r="D769" s="99"/>
      <c r="F769" s="99"/>
      <c r="G769" s="99"/>
      <c r="H769" s="99"/>
      <c r="I769" s="99"/>
    </row>
    <row r="770" ht="15.75" customHeight="1">
      <c r="D770" s="99"/>
      <c r="F770" s="99"/>
      <c r="G770" s="99"/>
      <c r="H770" s="99"/>
      <c r="I770" s="99"/>
    </row>
    <row r="771" ht="15.75" customHeight="1">
      <c r="D771" s="99"/>
      <c r="F771" s="99"/>
      <c r="G771" s="99"/>
      <c r="H771" s="99"/>
      <c r="I771" s="99"/>
    </row>
    <row r="772" ht="15.75" customHeight="1">
      <c r="D772" s="99"/>
      <c r="F772" s="99"/>
      <c r="G772" s="99"/>
      <c r="H772" s="99"/>
      <c r="I772" s="99"/>
    </row>
    <row r="773" ht="15.75" customHeight="1">
      <c r="D773" s="99"/>
      <c r="F773" s="99"/>
      <c r="G773" s="99"/>
      <c r="H773" s="99"/>
      <c r="I773" s="99"/>
    </row>
    <row r="774" ht="15.75" customHeight="1">
      <c r="D774" s="99"/>
      <c r="F774" s="99"/>
      <c r="G774" s="99"/>
      <c r="H774" s="99"/>
      <c r="I774" s="99"/>
    </row>
    <row r="775" ht="15.75" customHeight="1">
      <c r="D775" s="99"/>
      <c r="F775" s="99"/>
      <c r="G775" s="99"/>
      <c r="H775" s="99"/>
      <c r="I775" s="99"/>
    </row>
    <row r="776" ht="15.75" customHeight="1">
      <c r="D776" s="99"/>
      <c r="F776" s="99"/>
      <c r="G776" s="99"/>
      <c r="H776" s="99"/>
      <c r="I776" s="99"/>
    </row>
    <row r="777" ht="15.75" customHeight="1">
      <c r="D777" s="99"/>
      <c r="F777" s="99"/>
      <c r="G777" s="99"/>
      <c r="H777" s="99"/>
      <c r="I777" s="99"/>
    </row>
    <row r="778" ht="15.75" customHeight="1">
      <c r="D778" s="99"/>
      <c r="F778" s="99"/>
      <c r="G778" s="99"/>
      <c r="H778" s="99"/>
      <c r="I778" s="99"/>
    </row>
    <row r="779" ht="15.75" customHeight="1">
      <c r="D779" s="99"/>
      <c r="F779" s="99"/>
      <c r="G779" s="99"/>
      <c r="H779" s="99"/>
      <c r="I779" s="99"/>
    </row>
    <row r="780" ht="15.75" customHeight="1">
      <c r="D780" s="99"/>
      <c r="F780" s="99"/>
      <c r="G780" s="99"/>
      <c r="H780" s="99"/>
      <c r="I780" s="99"/>
    </row>
    <row r="781" ht="15.75" customHeight="1">
      <c r="D781" s="99"/>
      <c r="F781" s="99"/>
      <c r="G781" s="99"/>
      <c r="H781" s="99"/>
      <c r="I781" s="99"/>
    </row>
    <row r="782" ht="15.75" customHeight="1">
      <c r="D782" s="99"/>
      <c r="F782" s="99"/>
      <c r="G782" s="99"/>
      <c r="H782" s="99"/>
      <c r="I782" s="99"/>
    </row>
    <row r="783" ht="15.75" customHeight="1">
      <c r="D783" s="99"/>
      <c r="F783" s="99"/>
      <c r="G783" s="99"/>
      <c r="H783" s="99"/>
      <c r="I783" s="99"/>
    </row>
    <row r="784" ht="15.75" customHeight="1">
      <c r="D784" s="99"/>
      <c r="F784" s="99"/>
      <c r="G784" s="99"/>
      <c r="H784" s="99"/>
      <c r="I784" s="99"/>
    </row>
    <row r="785" ht="15.75" customHeight="1">
      <c r="D785" s="99"/>
      <c r="F785" s="99"/>
      <c r="G785" s="99"/>
      <c r="H785" s="99"/>
      <c r="I785" s="99"/>
    </row>
    <row r="786" ht="15.75" customHeight="1">
      <c r="D786" s="99"/>
      <c r="F786" s="99"/>
      <c r="G786" s="99"/>
      <c r="H786" s="99"/>
      <c r="I786" s="99"/>
    </row>
    <row r="787" ht="15.75" customHeight="1">
      <c r="D787" s="99"/>
      <c r="F787" s="99"/>
      <c r="G787" s="99"/>
      <c r="H787" s="99"/>
      <c r="I787" s="99"/>
    </row>
    <row r="788" ht="15.75" customHeight="1">
      <c r="D788" s="99"/>
      <c r="F788" s="99"/>
      <c r="G788" s="99"/>
      <c r="H788" s="99"/>
      <c r="I788" s="99"/>
    </row>
    <row r="789" ht="15.75" customHeight="1">
      <c r="D789" s="99"/>
      <c r="F789" s="99"/>
      <c r="G789" s="99"/>
      <c r="H789" s="99"/>
      <c r="I789" s="99"/>
    </row>
    <row r="790" ht="15.75" customHeight="1">
      <c r="D790" s="99"/>
      <c r="F790" s="99"/>
      <c r="G790" s="99"/>
      <c r="H790" s="99"/>
      <c r="I790" s="99"/>
    </row>
    <row r="791" ht="15.75" customHeight="1">
      <c r="D791" s="99"/>
      <c r="F791" s="99"/>
      <c r="G791" s="99"/>
      <c r="H791" s="99"/>
      <c r="I791" s="99"/>
    </row>
    <row r="792" ht="15.75" customHeight="1">
      <c r="D792" s="99"/>
      <c r="F792" s="99"/>
      <c r="G792" s="99"/>
      <c r="H792" s="99"/>
      <c r="I792" s="99"/>
    </row>
    <row r="793" ht="15.75" customHeight="1">
      <c r="D793" s="99"/>
      <c r="F793" s="99"/>
      <c r="G793" s="99"/>
      <c r="H793" s="99"/>
      <c r="I793" s="99"/>
    </row>
    <row r="794" ht="15.75" customHeight="1">
      <c r="D794" s="99"/>
      <c r="F794" s="99"/>
      <c r="G794" s="99"/>
      <c r="H794" s="99"/>
      <c r="I794" s="99"/>
    </row>
    <row r="795" ht="15.75" customHeight="1">
      <c r="D795" s="99"/>
      <c r="F795" s="99"/>
      <c r="G795" s="99"/>
      <c r="H795" s="99"/>
      <c r="I795" s="99"/>
    </row>
    <row r="796" ht="15.75" customHeight="1">
      <c r="D796" s="99"/>
      <c r="F796" s="99"/>
      <c r="G796" s="99"/>
      <c r="H796" s="99"/>
      <c r="I796" s="99"/>
    </row>
    <row r="797" ht="15.75" customHeight="1">
      <c r="D797" s="99"/>
      <c r="F797" s="99"/>
      <c r="G797" s="99"/>
      <c r="H797" s="99"/>
      <c r="I797" s="99"/>
    </row>
    <row r="798" ht="15.75" customHeight="1">
      <c r="D798" s="99"/>
      <c r="F798" s="99"/>
      <c r="G798" s="99"/>
      <c r="H798" s="99"/>
      <c r="I798" s="99"/>
    </row>
    <row r="799" ht="15.75" customHeight="1">
      <c r="D799" s="99"/>
      <c r="F799" s="99"/>
      <c r="G799" s="99"/>
      <c r="H799" s="99"/>
      <c r="I799" s="99"/>
    </row>
    <row r="800" ht="15.75" customHeight="1">
      <c r="D800" s="99"/>
      <c r="F800" s="99"/>
      <c r="G800" s="99"/>
      <c r="H800" s="99"/>
      <c r="I800" s="99"/>
    </row>
    <row r="801" ht="15.75" customHeight="1">
      <c r="D801" s="99"/>
      <c r="F801" s="99"/>
      <c r="G801" s="99"/>
      <c r="H801" s="99"/>
      <c r="I801" s="99"/>
    </row>
    <row r="802" ht="15.75" customHeight="1">
      <c r="D802" s="99"/>
      <c r="F802" s="99"/>
      <c r="G802" s="99"/>
      <c r="H802" s="99"/>
      <c r="I802" s="99"/>
    </row>
    <row r="803" ht="15.75" customHeight="1">
      <c r="D803" s="99"/>
      <c r="F803" s="99"/>
      <c r="G803" s="99"/>
      <c r="H803" s="99"/>
      <c r="I803" s="99"/>
    </row>
    <row r="804" ht="15.75" customHeight="1">
      <c r="D804" s="99"/>
      <c r="F804" s="99"/>
      <c r="G804" s="99"/>
      <c r="H804" s="99"/>
      <c r="I804" s="99"/>
    </row>
    <row r="805" ht="15.75" customHeight="1">
      <c r="D805" s="99"/>
      <c r="F805" s="99"/>
      <c r="G805" s="99"/>
      <c r="H805" s="99"/>
      <c r="I805" s="99"/>
    </row>
    <row r="806" ht="15.75" customHeight="1">
      <c r="D806" s="99"/>
      <c r="F806" s="99"/>
      <c r="G806" s="99"/>
      <c r="H806" s="99"/>
      <c r="I806" s="99"/>
    </row>
    <row r="807" ht="15.75" customHeight="1">
      <c r="D807" s="99"/>
      <c r="F807" s="99"/>
      <c r="G807" s="99"/>
      <c r="H807" s="99"/>
      <c r="I807" s="99"/>
    </row>
    <row r="808" ht="15.75" customHeight="1">
      <c r="D808" s="99"/>
      <c r="F808" s="99"/>
      <c r="G808" s="99"/>
      <c r="H808" s="99"/>
      <c r="I808" s="99"/>
    </row>
    <row r="809" ht="15.75" customHeight="1">
      <c r="D809" s="99"/>
      <c r="F809" s="99"/>
      <c r="G809" s="99"/>
      <c r="H809" s="99"/>
      <c r="I809" s="99"/>
    </row>
    <row r="810" ht="15.75" customHeight="1">
      <c r="D810" s="99"/>
      <c r="F810" s="99"/>
      <c r="G810" s="99"/>
      <c r="H810" s="99"/>
      <c r="I810" s="99"/>
    </row>
    <row r="811" ht="15.75" customHeight="1">
      <c r="D811" s="99"/>
      <c r="F811" s="99"/>
      <c r="G811" s="99"/>
      <c r="H811" s="99"/>
      <c r="I811" s="99"/>
    </row>
    <row r="812" ht="15.75" customHeight="1">
      <c r="D812" s="99"/>
      <c r="F812" s="99"/>
      <c r="G812" s="99"/>
      <c r="H812" s="99"/>
      <c r="I812" s="99"/>
    </row>
    <row r="813" ht="15.75" customHeight="1">
      <c r="D813" s="99"/>
      <c r="F813" s="99"/>
      <c r="G813" s="99"/>
      <c r="H813" s="99"/>
      <c r="I813" s="99"/>
    </row>
    <row r="814" ht="15.75" customHeight="1">
      <c r="D814" s="99"/>
      <c r="F814" s="99"/>
      <c r="G814" s="99"/>
      <c r="H814" s="99"/>
      <c r="I814" s="99"/>
    </row>
    <row r="815" ht="15.75" customHeight="1">
      <c r="D815" s="99"/>
      <c r="F815" s="99"/>
      <c r="G815" s="99"/>
      <c r="H815" s="99"/>
      <c r="I815" s="99"/>
    </row>
    <row r="816" ht="15.75" customHeight="1">
      <c r="D816" s="99"/>
      <c r="F816" s="99"/>
      <c r="G816" s="99"/>
      <c r="H816" s="99"/>
      <c r="I816" s="99"/>
    </row>
    <row r="817" ht="15.75" customHeight="1">
      <c r="D817" s="99"/>
      <c r="F817" s="99"/>
      <c r="G817" s="99"/>
      <c r="H817" s="99"/>
      <c r="I817" s="99"/>
    </row>
    <row r="818" ht="15.75" customHeight="1">
      <c r="D818" s="99"/>
      <c r="F818" s="99"/>
      <c r="G818" s="99"/>
      <c r="H818" s="99"/>
      <c r="I818" s="99"/>
    </row>
    <row r="819" ht="15.75" customHeight="1">
      <c r="D819" s="99"/>
      <c r="F819" s="99"/>
      <c r="G819" s="99"/>
      <c r="H819" s="99"/>
      <c r="I819" s="99"/>
    </row>
    <row r="820" ht="15.75" customHeight="1">
      <c r="D820" s="99"/>
      <c r="F820" s="99"/>
      <c r="G820" s="99"/>
      <c r="H820" s="99"/>
      <c r="I820" s="99"/>
    </row>
    <row r="821" ht="15.75" customHeight="1">
      <c r="D821" s="99"/>
      <c r="F821" s="99"/>
      <c r="G821" s="99"/>
      <c r="H821" s="99"/>
      <c r="I821" s="99"/>
    </row>
    <row r="822" ht="15.75" customHeight="1">
      <c r="D822" s="99"/>
      <c r="F822" s="99"/>
      <c r="G822" s="99"/>
      <c r="H822" s="99"/>
      <c r="I822" s="99"/>
    </row>
    <row r="823" ht="15.75" customHeight="1">
      <c r="D823" s="99"/>
      <c r="F823" s="99"/>
      <c r="G823" s="99"/>
      <c r="H823" s="99"/>
      <c r="I823" s="99"/>
    </row>
    <row r="824" ht="15.75" customHeight="1">
      <c r="D824" s="99"/>
      <c r="F824" s="99"/>
      <c r="G824" s="99"/>
      <c r="H824" s="99"/>
      <c r="I824" s="99"/>
    </row>
    <row r="825" ht="15.75" customHeight="1">
      <c r="D825" s="99"/>
      <c r="F825" s="99"/>
      <c r="G825" s="99"/>
      <c r="H825" s="99"/>
      <c r="I825" s="99"/>
    </row>
    <row r="826" ht="15.75" customHeight="1">
      <c r="D826" s="99"/>
      <c r="F826" s="99"/>
      <c r="G826" s="99"/>
      <c r="H826" s="99"/>
      <c r="I826" s="99"/>
    </row>
    <row r="827" ht="15.75" customHeight="1">
      <c r="D827" s="99"/>
      <c r="F827" s="99"/>
      <c r="G827" s="99"/>
      <c r="H827" s="99"/>
      <c r="I827" s="99"/>
    </row>
    <row r="828" ht="15.75" customHeight="1">
      <c r="D828" s="99"/>
      <c r="F828" s="99"/>
      <c r="G828" s="99"/>
      <c r="H828" s="99"/>
      <c r="I828" s="99"/>
    </row>
    <row r="829" ht="15.75" customHeight="1">
      <c r="D829" s="99"/>
      <c r="F829" s="99"/>
      <c r="G829" s="99"/>
      <c r="H829" s="99"/>
      <c r="I829" s="99"/>
    </row>
    <row r="830" ht="15.75" customHeight="1">
      <c r="D830" s="99"/>
      <c r="F830" s="99"/>
      <c r="G830" s="99"/>
      <c r="H830" s="99"/>
      <c r="I830" s="99"/>
    </row>
    <row r="831" ht="15.75" customHeight="1">
      <c r="D831" s="99"/>
      <c r="F831" s="99"/>
      <c r="G831" s="99"/>
      <c r="H831" s="99"/>
      <c r="I831" s="99"/>
    </row>
    <row r="832" ht="15.75" customHeight="1">
      <c r="D832" s="99"/>
      <c r="F832" s="99"/>
      <c r="G832" s="99"/>
      <c r="H832" s="99"/>
      <c r="I832" s="99"/>
    </row>
    <row r="833" ht="15.75" customHeight="1">
      <c r="D833" s="99"/>
      <c r="F833" s="99"/>
      <c r="G833" s="99"/>
      <c r="H833" s="99"/>
      <c r="I833" s="99"/>
    </row>
    <row r="834" ht="15.75" customHeight="1">
      <c r="D834" s="99"/>
      <c r="F834" s="99"/>
      <c r="G834" s="99"/>
      <c r="H834" s="99"/>
      <c r="I834" s="99"/>
    </row>
    <row r="835" ht="15.75" customHeight="1">
      <c r="D835" s="99"/>
      <c r="F835" s="99"/>
      <c r="G835" s="99"/>
      <c r="H835" s="99"/>
      <c r="I835" s="99"/>
    </row>
    <row r="836" ht="15.75" customHeight="1">
      <c r="D836" s="99"/>
      <c r="F836" s="99"/>
      <c r="G836" s="99"/>
      <c r="H836" s="99"/>
      <c r="I836" s="99"/>
    </row>
    <row r="837" ht="15.75" customHeight="1">
      <c r="D837" s="99"/>
      <c r="F837" s="99"/>
      <c r="G837" s="99"/>
      <c r="H837" s="99"/>
      <c r="I837" s="99"/>
    </row>
    <row r="838" ht="15.75" customHeight="1">
      <c r="D838" s="99"/>
      <c r="F838" s="99"/>
      <c r="G838" s="99"/>
      <c r="H838" s="99"/>
      <c r="I838" s="99"/>
    </row>
    <row r="839" ht="15.75" customHeight="1">
      <c r="D839" s="99"/>
      <c r="F839" s="99"/>
      <c r="G839" s="99"/>
      <c r="H839" s="99"/>
      <c r="I839" s="99"/>
    </row>
    <row r="840" ht="15.75" customHeight="1">
      <c r="D840" s="99"/>
      <c r="F840" s="99"/>
      <c r="G840" s="99"/>
      <c r="H840" s="99"/>
      <c r="I840" s="99"/>
    </row>
    <row r="841" ht="15.75" customHeight="1">
      <c r="D841" s="99"/>
      <c r="F841" s="99"/>
      <c r="G841" s="99"/>
      <c r="H841" s="99"/>
      <c r="I841" s="99"/>
    </row>
    <row r="842" ht="15.75" customHeight="1">
      <c r="D842" s="99"/>
      <c r="F842" s="99"/>
      <c r="G842" s="99"/>
      <c r="H842" s="99"/>
      <c r="I842" s="99"/>
    </row>
    <row r="843" ht="15.75" customHeight="1">
      <c r="D843" s="99"/>
      <c r="F843" s="99"/>
      <c r="G843" s="99"/>
      <c r="H843" s="99"/>
      <c r="I843" s="99"/>
    </row>
    <row r="844" ht="15.75" customHeight="1">
      <c r="D844" s="99"/>
      <c r="F844" s="99"/>
      <c r="G844" s="99"/>
      <c r="H844" s="99"/>
      <c r="I844" s="99"/>
    </row>
    <row r="845" ht="15.75" customHeight="1">
      <c r="D845" s="99"/>
      <c r="F845" s="99"/>
      <c r="G845" s="99"/>
      <c r="H845" s="99"/>
      <c r="I845" s="99"/>
    </row>
    <row r="846" ht="15.75" customHeight="1">
      <c r="D846" s="99"/>
      <c r="F846" s="99"/>
      <c r="G846" s="99"/>
      <c r="H846" s="99"/>
      <c r="I846" s="99"/>
    </row>
    <row r="847" ht="15.75" customHeight="1">
      <c r="D847" s="99"/>
      <c r="F847" s="99"/>
      <c r="G847" s="99"/>
      <c r="H847" s="99"/>
      <c r="I847" s="99"/>
    </row>
    <row r="848" ht="15.75" customHeight="1">
      <c r="D848" s="99"/>
      <c r="F848" s="99"/>
      <c r="G848" s="99"/>
      <c r="H848" s="99"/>
      <c r="I848" s="99"/>
    </row>
    <row r="849" ht="15.75" customHeight="1">
      <c r="D849" s="99"/>
      <c r="F849" s="99"/>
      <c r="G849" s="99"/>
      <c r="H849" s="99"/>
      <c r="I849" s="99"/>
    </row>
    <row r="850" ht="15.75" customHeight="1">
      <c r="D850" s="99"/>
      <c r="F850" s="99"/>
      <c r="G850" s="99"/>
      <c r="H850" s="99"/>
      <c r="I850" s="99"/>
    </row>
    <row r="851" ht="15.75" customHeight="1">
      <c r="D851" s="99"/>
      <c r="F851" s="99"/>
      <c r="G851" s="99"/>
      <c r="H851" s="99"/>
      <c r="I851" s="99"/>
    </row>
    <row r="852" ht="15.75" customHeight="1">
      <c r="D852" s="99"/>
      <c r="F852" s="99"/>
      <c r="G852" s="99"/>
      <c r="H852" s="99"/>
      <c r="I852" s="99"/>
    </row>
    <row r="853" ht="15.75" customHeight="1">
      <c r="D853" s="99"/>
      <c r="F853" s="99"/>
      <c r="G853" s="99"/>
      <c r="H853" s="99"/>
      <c r="I853" s="99"/>
    </row>
    <row r="854" ht="15.75" customHeight="1">
      <c r="D854" s="99"/>
      <c r="F854" s="99"/>
      <c r="G854" s="99"/>
      <c r="H854" s="99"/>
      <c r="I854" s="99"/>
    </row>
    <row r="855" ht="15.75" customHeight="1">
      <c r="D855" s="99"/>
      <c r="F855" s="99"/>
      <c r="G855" s="99"/>
      <c r="H855" s="99"/>
      <c r="I855" s="99"/>
    </row>
    <row r="856" ht="15.75" customHeight="1">
      <c r="D856" s="99"/>
      <c r="F856" s="99"/>
      <c r="G856" s="99"/>
      <c r="H856" s="99"/>
      <c r="I856" s="99"/>
    </row>
    <row r="857" ht="15.75" customHeight="1">
      <c r="D857" s="99"/>
      <c r="F857" s="99"/>
      <c r="G857" s="99"/>
      <c r="H857" s="99"/>
      <c r="I857" s="99"/>
    </row>
    <row r="858" ht="15.75" customHeight="1">
      <c r="D858" s="99"/>
      <c r="F858" s="99"/>
      <c r="G858" s="99"/>
      <c r="H858" s="99"/>
      <c r="I858" s="99"/>
    </row>
    <row r="859" ht="15.75" customHeight="1">
      <c r="D859" s="99"/>
      <c r="F859" s="99"/>
      <c r="G859" s="99"/>
      <c r="H859" s="99"/>
      <c r="I859" s="99"/>
    </row>
    <row r="860" ht="15.75" customHeight="1">
      <c r="D860" s="99"/>
      <c r="F860" s="99"/>
      <c r="G860" s="99"/>
      <c r="H860" s="99"/>
      <c r="I860" s="99"/>
    </row>
    <row r="861" ht="15.75" customHeight="1">
      <c r="D861" s="99"/>
      <c r="F861" s="99"/>
      <c r="G861" s="99"/>
      <c r="H861" s="99"/>
      <c r="I861" s="99"/>
    </row>
    <row r="862" ht="15.75" customHeight="1">
      <c r="D862" s="99"/>
      <c r="F862" s="99"/>
      <c r="G862" s="99"/>
      <c r="H862" s="99"/>
      <c r="I862" s="99"/>
    </row>
    <row r="863" ht="15.75" customHeight="1">
      <c r="D863" s="99"/>
      <c r="F863" s="99"/>
      <c r="G863" s="99"/>
      <c r="H863" s="99"/>
      <c r="I863" s="99"/>
    </row>
    <row r="864" ht="15.75" customHeight="1">
      <c r="D864" s="99"/>
      <c r="F864" s="99"/>
      <c r="G864" s="99"/>
      <c r="H864" s="99"/>
      <c r="I864" s="99"/>
    </row>
    <row r="865" ht="15.75" customHeight="1">
      <c r="D865" s="99"/>
      <c r="F865" s="99"/>
      <c r="G865" s="99"/>
      <c r="H865" s="99"/>
      <c r="I865" s="99"/>
    </row>
    <row r="866" ht="15.75" customHeight="1">
      <c r="D866" s="99"/>
      <c r="F866" s="99"/>
      <c r="G866" s="99"/>
      <c r="H866" s="99"/>
      <c r="I866" s="99"/>
    </row>
    <row r="867" ht="15.75" customHeight="1">
      <c r="D867" s="99"/>
      <c r="F867" s="99"/>
      <c r="G867" s="99"/>
      <c r="H867" s="99"/>
      <c r="I867" s="99"/>
    </row>
    <row r="868" ht="15.75" customHeight="1">
      <c r="D868" s="99"/>
      <c r="F868" s="99"/>
      <c r="G868" s="99"/>
      <c r="H868" s="99"/>
      <c r="I868" s="99"/>
    </row>
    <row r="869" ht="15.75" customHeight="1">
      <c r="D869" s="99"/>
      <c r="F869" s="99"/>
      <c r="G869" s="99"/>
      <c r="H869" s="99"/>
      <c r="I869" s="99"/>
    </row>
    <row r="870" ht="15.75" customHeight="1">
      <c r="D870" s="99"/>
      <c r="F870" s="99"/>
      <c r="G870" s="99"/>
      <c r="H870" s="99"/>
      <c r="I870" s="99"/>
    </row>
    <row r="871" ht="15.75" customHeight="1">
      <c r="D871" s="99"/>
      <c r="F871" s="99"/>
      <c r="G871" s="99"/>
      <c r="H871" s="99"/>
      <c r="I871" s="99"/>
    </row>
    <row r="872" ht="15.75" customHeight="1">
      <c r="D872" s="99"/>
      <c r="F872" s="99"/>
      <c r="G872" s="99"/>
      <c r="H872" s="99"/>
      <c r="I872" s="99"/>
    </row>
    <row r="873" ht="15.75" customHeight="1">
      <c r="D873" s="99"/>
      <c r="F873" s="99"/>
      <c r="G873" s="99"/>
      <c r="H873" s="99"/>
      <c r="I873" s="99"/>
    </row>
    <row r="874" ht="15.75" customHeight="1">
      <c r="D874" s="99"/>
      <c r="F874" s="99"/>
      <c r="G874" s="99"/>
      <c r="H874" s="99"/>
      <c r="I874" s="99"/>
    </row>
    <row r="875" ht="15.75" customHeight="1">
      <c r="D875" s="99"/>
      <c r="F875" s="99"/>
      <c r="G875" s="99"/>
      <c r="H875" s="99"/>
      <c r="I875" s="99"/>
    </row>
    <row r="876" ht="15.75" customHeight="1">
      <c r="D876" s="99"/>
      <c r="F876" s="99"/>
      <c r="G876" s="99"/>
      <c r="H876" s="99"/>
      <c r="I876" s="99"/>
    </row>
    <row r="877" ht="15.75" customHeight="1">
      <c r="D877" s="99"/>
      <c r="F877" s="99"/>
      <c r="G877" s="99"/>
      <c r="H877" s="99"/>
      <c r="I877" s="99"/>
    </row>
    <row r="878" ht="15.75" customHeight="1">
      <c r="D878" s="99"/>
      <c r="F878" s="99"/>
      <c r="G878" s="99"/>
      <c r="H878" s="99"/>
      <c r="I878" s="99"/>
    </row>
    <row r="879" ht="15.75" customHeight="1">
      <c r="D879" s="99"/>
      <c r="F879" s="99"/>
      <c r="G879" s="99"/>
      <c r="H879" s="99"/>
      <c r="I879" s="99"/>
    </row>
    <row r="880" ht="15.75" customHeight="1">
      <c r="D880" s="99"/>
      <c r="F880" s="99"/>
      <c r="G880" s="99"/>
      <c r="H880" s="99"/>
      <c r="I880" s="99"/>
    </row>
    <row r="881" ht="15.75" customHeight="1">
      <c r="D881" s="99"/>
      <c r="F881" s="99"/>
      <c r="G881" s="99"/>
      <c r="H881" s="99"/>
      <c r="I881" s="99"/>
    </row>
    <row r="882" ht="15.75" customHeight="1">
      <c r="D882" s="99"/>
      <c r="F882" s="99"/>
      <c r="G882" s="99"/>
      <c r="H882" s="99"/>
      <c r="I882" s="99"/>
    </row>
    <row r="883" ht="15.75" customHeight="1">
      <c r="D883" s="99"/>
      <c r="F883" s="99"/>
      <c r="G883" s="99"/>
      <c r="H883" s="99"/>
      <c r="I883" s="99"/>
    </row>
    <row r="884" ht="15.75" customHeight="1">
      <c r="D884" s="99"/>
      <c r="F884" s="99"/>
      <c r="G884" s="99"/>
      <c r="H884" s="99"/>
      <c r="I884" s="99"/>
    </row>
    <row r="885" ht="15.75" customHeight="1">
      <c r="D885" s="99"/>
      <c r="F885" s="99"/>
      <c r="G885" s="99"/>
      <c r="H885" s="99"/>
      <c r="I885" s="99"/>
    </row>
    <row r="886" ht="15.75" customHeight="1">
      <c r="D886" s="99"/>
      <c r="F886" s="99"/>
      <c r="G886" s="99"/>
      <c r="H886" s="99"/>
      <c r="I886" s="99"/>
    </row>
    <row r="887" ht="15.75" customHeight="1">
      <c r="D887" s="99"/>
      <c r="F887" s="99"/>
      <c r="G887" s="99"/>
      <c r="H887" s="99"/>
      <c r="I887" s="99"/>
    </row>
    <row r="888" ht="15.75" customHeight="1">
      <c r="D888" s="99"/>
      <c r="F888" s="99"/>
      <c r="G888" s="99"/>
      <c r="H888" s="99"/>
      <c r="I888" s="99"/>
    </row>
    <row r="889" ht="15.75" customHeight="1">
      <c r="D889" s="99"/>
      <c r="F889" s="99"/>
      <c r="G889" s="99"/>
      <c r="H889" s="99"/>
      <c r="I889" s="99"/>
    </row>
    <row r="890" ht="15.75" customHeight="1">
      <c r="D890" s="99"/>
      <c r="F890" s="99"/>
      <c r="G890" s="99"/>
      <c r="H890" s="99"/>
      <c r="I890" s="99"/>
    </row>
    <row r="891" ht="15.75" customHeight="1">
      <c r="D891" s="99"/>
      <c r="F891" s="99"/>
      <c r="G891" s="99"/>
      <c r="H891" s="99"/>
      <c r="I891" s="99"/>
    </row>
    <row r="892" ht="15.75" customHeight="1">
      <c r="D892" s="99"/>
      <c r="F892" s="99"/>
      <c r="G892" s="99"/>
      <c r="H892" s="99"/>
      <c r="I892" s="99"/>
    </row>
    <row r="893" ht="15.75" customHeight="1">
      <c r="D893" s="99"/>
      <c r="F893" s="99"/>
      <c r="G893" s="99"/>
      <c r="H893" s="99"/>
      <c r="I893" s="99"/>
    </row>
    <row r="894" ht="15.75" customHeight="1">
      <c r="D894" s="99"/>
      <c r="F894" s="99"/>
      <c r="G894" s="99"/>
      <c r="H894" s="99"/>
      <c r="I894" s="99"/>
    </row>
    <row r="895" ht="15.75" customHeight="1">
      <c r="D895" s="99"/>
      <c r="F895" s="99"/>
      <c r="G895" s="99"/>
      <c r="H895" s="99"/>
      <c r="I895" s="99"/>
    </row>
    <row r="896" ht="15.75" customHeight="1">
      <c r="D896" s="99"/>
      <c r="F896" s="99"/>
      <c r="G896" s="99"/>
      <c r="H896" s="99"/>
      <c r="I896" s="99"/>
    </row>
    <row r="897" ht="15.75" customHeight="1">
      <c r="D897" s="99"/>
      <c r="F897" s="99"/>
      <c r="G897" s="99"/>
      <c r="H897" s="99"/>
      <c r="I897" s="99"/>
    </row>
    <row r="898" ht="15.75" customHeight="1">
      <c r="D898" s="99"/>
      <c r="F898" s="99"/>
      <c r="G898" s="99"/>
      <c r="H898" s="99"/>
      <c r="I898" s="99"/>
    </row>
    <row r="899" ht="15.75" customHeight="1">
      <c r="D899" s="99"/>
      <c r="F899" s="99"/>
      <c r="G899" s="99"/>
      <c r="H899" s="99"/>
      <c r="I899" s="99"/>
    </row>
    <row r="900" ht="15.75" customHeight="1">
      <c r="D900" s="99"/>
      <c r="F900" s="99"/>
      <c r="G900" s="99"/>
      <c r="H900" s="99"/>
      <c r="I900" s="99"/>
    </row>
    <row r="901" ht="15.75" customHeight="1">
      <c r="D901" s="99"/>
      <c r="F901" s="99"/>
      <c r="G901" s="99"/>
      <c r="H901" s="99"/>
      <c r="I901" s="99"/>
    </row>
    <row r="902" ht="15.75" customHeight="1">
      <c r="D902" s="99"/>
      <c r="F902" s="99"/>
      <c r="G902" s="99"/>
      <c r="H902" s="99"/>
      <c r="I902" s="99"/>
    </row>
    <row r="903" ht="15.75" customHeight="1">
      <c r="D903" s="99"/>
      <c r="F903" s="99"/>
      <c r="G903" s="99"/>
      <c r="H903" s="99"/>
      <c r="I903" s="99"/>
    </row>
    <row r="904" ht="15.75" customHeight="1">
      <c r="D904" s="99"/>
      <c r="F904" s="99"/>
      <c r="G904" s="99"/>
      <c r="H904" s="99"/>
      <c r="I904" s="99"/>
    </row>
    <row r="905" ht="15.75" customHeight="1">
      <c r="D905" s="99"/>
      <c r="F905" s="99"/>
      <c r="G905" s="99"/>
      <c r="H905" s="99"/>
      <c r="I905" s="99"/>
    </row>
    <row r="906" ht="15.75" customHeight="1">
      <c r="D906" s="99"/>
      <c r="F906" s="99"/>
      <c r="G906" s="99"/>
      <c r="H906" s="99"/>
      <c r="I906" s="99"/>
    </row>
    <row r="907" ht="15.75" customHeight="1">
      <c r="D907" s="99"/>
      <c r="F907" s="99"/>
      <c r="G907" s="99"/>
      <c r="H907" s="99"/>
      <c r="I907" s="99"/>
    </row>
    <row r="908" ht="15.75" customHeight="1">
      <c r="D908" s="99"/>
      <c r="F908" s="99"/>
      <c r="G908" s="99"/>
      <c r="H908" s="99"/>
      <c r="I908" s="99"/>
    </row>
    <row r="909" ht="15.75" customHeight="1">
      <c r="D909" s="99"/>
      <c r="F909" s="99"/>
      <c r="G909" s="99"/>
      <c r="H909" s="99"/>
      <c r="I909" s="99"/>
    </row>
    <row r="910" ht="15.75" customHeight="1">
      <c r="D910" s="99"/>
      <c r="F910" s="99"/>
      <c r="G910" s="99"/>
      <c r="H910" s="99"/>
      <c r="I910" s="99"/>
    </row>
    <row r="911" ht="15.75" customHeight="1">
      <c r="D911" s="99"/>
      <c r="F911" s="99"/>
      <c r="G911" s="99"/>
      <c r="H911" s="99"/>
      <c r="I911" s="99"/>
    </row>
    <row r="912" ht="15.75" customHeight="1">
      <c r="D912" s="99"/>
      <c r="F912" s="99"/>
      <c r="G912" s="99"/>
      <c r="H912" s="99"/>
      <c r="I912" s="99"/>
    </row>
    <row r="913" ht="15.75" customHeight="1">
      <c r="D913" s="99"/>
      <c r="F913" s="99"/>
      <c r="G913" s="99"/>
      <c r="H913" s="99"/>
      <c r="I913" s="99"/>
    </row>
    <row r="914" ht="15.75" customHeight="1">
      <c r="D914" s="99"/>
      <c r="F914" s="99"/>
      <c r="G914" s="99"/>
      <c r="H914" s="99"/>
      <c r="I914" s="99"/>
    </row>
    <row r="915" ht="15.75" customHeight="1">
      <c r="D915" s="99"/>
      <c r="F915" s="99"/>
      <c r="G915" s="99"/>
      <c r="H915" s="99"/>
      <c r="I915" s="99"/>
    </row>
    <row r="916" ht="15.75" customHeight="1">
      <c r="D916" s="99"/>
      <c r="F916" s="99"/>
      <c r="G916" s="99"/>
      <c r="H916" s="99"/>
      <c r="I916" s="99"/>
    </row>
    <row r="917" ht="15.75" customHeight="1">
      <c r="D917" s="99"/>
      <c r="F917" s="99"/>
      <c r="G917" s="99"/>
      <c r="H917" s="99"/>
      <c r="I917" s="99"/>
    </row>
    <row r="918" ht="15.75" customHeight="1">
      <c r="D918" s="99"/>
      <c r="F918" s="99"/>
      <c r="G918" s="99"/>
      <c r="H918" s="99"/>
      <c r="I918" s="99"/>
    </row>
    <row r="919" ht="15.75" customHeight="1">
      <c r="D919" s="99"/>
      <c r="F919" s="99"/>
      <c r="G919" s="99"/>
      <c r="H919" s="99"/>
      <c r="I919" s="99"/>
    </row>
    <row r="920" ht="15.75" customHeight="1">
      <c r="D920" s="99"/>
      <c r="F920" s="99"/>
      <c r="G920" s="99"/>
      <c r="H920" s="99"/>
      <c r="I920" s="99"/>
    </row>
    <row r="921" ht="15.75" customHeight="1">
      <c r="D921" s="99"/>
      <c r="F921" s="99"/>
      <c r="G921" s="99"/>
      <c r="H921" s="99"/>
      <c r="I921" s="99"/>
    </row>
    <row r="922" ht="15.75" customHeight="1">
      <c r="D922" s="99"/>
      <c r="F922" s="99"/>
      <c r="G922" s="99"/>
      <c r="H922" s="99"/>
      <c r="I922" s="99"/>
    </row>
    <row r="923" ht="15.75" customHeight="1">
      <c r="D923" s="99"/>
      <c r="F923" s="99"/>
      <c r="G923" s="99"/>
      <c r="H923" s="99"/>
      <c r="I923" s="99"/>
    </row>
    <row r="924" ht="15.75" customHeight="1">
      <c r="D924" s="99"/>
      <c r="F924" s="99"/>
      <c r="G924" s="99"/>
      <c r="H924" s="99"/>
      <c r="I924" s="99"/>
    </row>
    <row r="925" ht="15.75" customHeight="1">
      <c r="D925" s="99"/>
      <c r="F925" s="99"/>
      <c r="G925" s="99"/>
      <c r="H925" s="99"/>
      <c r="I925" s="99"/>
    </row>
    <row r="926" ht="15.75" customHeight="1">
      <c r="D926" s="99"/>
      <c r="F926" s="99"/>
      <c r="G926" s="99"/>
      <c r="H926" s="99"/>
      <c r="I926" s="99"/>
    </row>
    <row r="927" ht="15.75" customHeight="1">
      <c r="D927" s="99"/>
      <c r="F927" s="99"/>
      <c r="G927" s="99"/>
      <c r="H927" s="99"/>
      <c r="I927" s="99"/>
    </row>
    <row r="928" ht="15.75" customHeight="1">
      <c r="D928" s="99"/>
      <c r="F928" s="99"/>
      <c r="G928" s="99"/>
      <c r="H928" s="99"/>
      <c r="I928" s="99"/>
    </row>
    <row r="929" ht="15.75" customHeight="1">
      <c r="D929" s="99"/>
      <c r="F929" s="99"/>
      <c r="G929" s="99"/>
      <c r="H929" s="99"/>
      <c r="I929" s="99"/>
    </row>
    <row r="930" ht="15.75" customHeight="1">
      <c r="D930" s="99"/>
      <c r="F930" s="99"/>
      <c r="G930" s="99"/>
      <c r="H930" s="99"/>
      <c r="I930" s="99"/>
    </row>
    <row r="931" ht="15.75" customHeight="1">
      <c r="D931" s="99"/>
      <c r="F931" s="99"/>
      <c r="G931" s="99"/>
      <c r="H931" s="99"/>
      <c r="I931" s="99"/>
    </row>
    <row r="932" ht="15.75" customHeight="1">
      <c r="D932" s="99"/>
      <c r="F932" s="99"/>
      <c r="G932" s="99"/>
      <c r="H932" s="99"/>
      <c r="I932" s="99"/>
    </row>
    <row r="933" ht="15.75" customHeight="1">
      <c r="D933" s="99"/>
      <c r="F933" s="99"/>
      <c r="G933" s="99"/>
      <c r="H933" s="99"/>
      <c r="I933" s="99"/>
    </row>
    <row r="934" ht="15.75" customHeight="1">
      <c r="D934" s="99"/>
      <c r="F934" s="99"/>
      <c r="G934" s="99"/>
      <c r="H934" s="99"/>
      <c r="I934" s="99"/>
    </row>
    <row r="935" ht="15.75" customHeight="1">
      <c r="D935" s="99"/>
      <c r="F935" s="99"/>
      <c r="G935" s="99"/>
      <c r="H935" s="99"/>
      <c r="I935" s="99"/>
    </row>
    <row r="936" ht="15.75" customHeight="1">
      <c r="D936" s="99"/>
      <c r="F936" s="99"/>
      <c r="G936" s="99"/>
      <c r="H936" s="99"/>
      <c r="I936" s="99"/>
    </row>
    <row r="937" ht="15.75" customHeight="1">
      <c r="D937" s="99"/>
      <c r="F937" s="99"/>
      <c r="G937" s="99"/>
      <c r="H937" s="99"/>
      <c r="I937" s="99"/>
    </row>
    <row r="938" ht="15.75" customHeight="1">
      <c r="D938" s="99"/>
      <c r="F938" s="99"/>
      <c r="G938" s="99"/>
      <c r="H938" s="99"/>
      <c r="I938" s="99"/>
    </row>
    <row r="939" ht="15.75" customHeight="1">
      <c r="D939" s="99"/>
      <c r="F939" s="99"/>
      <c r="G939" s="99"/>
      <c r="H939" s="99"/>
      <c r="I939" s="99"/>
    </row>
    <row r="940" ht="15.75" customHeight="1">
      <c r="D940" s="99"/>
      <c r="F940" s="99"/>
      <c r="G940" s="99"/>
      <c r="H940" s="99"/>
      <c r="I940" s="99"/>
    </row>
    <row r="941" ht="15.75" customHeight="1">
      <c r="D941" s="99"/>
      <c r="F941" s="99"/>
      <c r="G941" s="99"/>
      <c r="H941" s="99"/>
      <c r="I941" s="99"/>
    </row>
    <row r="942" ht="15.75" customHeight="1">
      <c r="D942" s="99"/>
      <c r="F942" s="99"/>
      <c r="G942" s="99"/>
      <c r="H942" s="99"/>
      <c r="I942" s="99"/>
    </row>
    <row r="943" ht="15.75" customHeight="1">
      <c r="D943" s="99"/>
      <c r="F943" s="99"/>
      <c r="G943" s="99"/>
      <c r="H943" s="99"/>
      <c r="I943" s="99"/>
    </row>
    <row r="944" ht="15.75" customHeight="1">
      <c r="D944" s="99"/>
      <c r="F944" s="99"/>
      <c r="G944" s="99"/>
      <c r="H944" s="99"/>
      <c r="I944" s="99"/>
    </row>
    <row r="945" ht="15.75" customHeight="1">
      <c r="D945" s="99"/>
      <c r="F945" s="99"/>
      <c r="G945" s="99"/>
      <c r="H945" s="99"/>
      <c r="I945" s="99"/>
    </row>
    <row r="946" ht="15.75" customHeight="1">
      <c r="D946" s="99"/>
      <c r="F946" s="99"/>
      <c r="G946" s="99"/>
      <c r="H946" s="99"/>
      <c r="I946" s="99"/>
    </row>
    <row r="947" ht="15.75" customHeight="1">
      <c r="D947" s="99"/>
      <c r="F947" s="99"/>
      <c r="G947" s="99"/>
      <c r="H947" s="99"/>
      <c r="I947" s="99"/>
    </row>
    <row r="948" ht="15.75" customHeight="1">
      <c r="D948" s="99"/>
      <c r="F948" s="99"/>
      <c r="G948" s="99"/>
      <c r="H948" s="99"/>
      <c r="I948" s="99"/>
    </row>
    <row r="949" ht="15.75" customHeight="1">
      <c r="D949" s="99"/>
      <c r="F949" s="99"/>
      <c r="G949" s="99"/>
      <c r="H949" s="99"/>
      <c r="I949" s="99"/>
    </row>
    <row r="950" ht="15.75" customHeight="1">
      <c r="D950" s="99"/>
      <c r="F950" s="99"/>
      <c r="G950" s="99"/>
      <c r="H950" s="99"/>
      <c r="I950" s="99"/>
    </row>
    <row r="951" ht="15.75" customHeight="1">
      <c r="D951" s="99"/>
      <c r="F951" s="99"/>
      <c r="G951" s="99"/>
      <c r="H951" s="99"/>
      <c r="I951" s="99"/>
    </row>
    <row r="952" ht="15.75" customHeight="1">
      <c r="D952" s="99"/>
      <c r="F952" s="99"/>
      <c r="G952" s="99"/>
      <c r="H952" s="99"/>
      <c r="I952" s="99"/>
    </row>
    <row r="953" ht="15.75" customHeight="1">
      <c r="D953" s="99"/>
      <c r="F953" s="99"/>
      <c r="G953" s="99"/>
      <c r="H953" s="99"/>
      <c r="I953" s="99"/>
    </row>
    <row r="954" ht="15.75" customHeight="1">
      <c r="D954" s="99"/>
      <c r="F954" s="99"/>
      <c r="G954" s="99"/>
      <c r="H954" s="99"/>
      <c r="I954" s="99"/>
    </row>
    <row r="955" ht="15.75" customHeight="1">
      <c r="D955" s="99"/>
      <c r="F955" s="99"/>
      <c r="G955" s="99"/>
      <c r="H955" s="99"/>
      <c r="I955" s="99"/>
    </row>
    <row r="956" ht="15.75" customHeight="1">
      <c r="D956" s="99"/>
      <c r="F956" s="99"/>
      <c r="G956" s="99"/>
      <c r="H956" s="99"/>
      <c r="I956" s="99"/>
    </row>
    <row r="957" ht="15.75" customHeight="1">
      <c r="D957" s="99"/>
      <c r="F957" s="99"/>
      <c r="G957" s="99"/>
      <c r="H957" s="99"/>
      <c r="I957" s="99"/>
    </row>
    <row r="958" ht="15.75" customHeight="1">
      <c r="D958" s="99"/>
      <c r="F958" s="99"/>
      <c r="G958" s="99"/>
      <c r="H958" s="99"/>
      <c r="I958" s="99"/>
    </row>
    <row r="959" ht="15.75" customHeight="1">
      <c r="D959" s="99"/>
      <c r="F959" s="99"/>
      <c r="G959" s="99"/>
      <c r="H959" s="99"/>
      <c r="I959" s="99"/>
    </row>
    <row r="960" ht="15.75" customHeight="1">
      <c r="D960" s="99"/>
      <c r="F960" s="99"/>
      <c r="G960" s="99"/>
      <c r="H960" s="99"/>
      <c r="I960" s="99"/>
    </row>
    <row r="961" ht="15.75" customHeight="1">
      <c r="D961" s="99"/>
      <c r="F961" s="99"/>
      <c r="G961" s="99"/>
      <c r="H961" s="99"/>
      <c r="I961" s="99"/>
    </row>
    <row r="962" ht="15.75" customHeight="1">
      <c r="D962" s="99"/>
      <c r="F962" s="99"/>
      <c r="G962" s="99"/>
      <c r="H962" s="99"/>
      <c r="I962" s="99"/>
    </row>
    <row r="963" ht="15.75" customHeight="1">
      <c r="D963" s="99"/>
      <c r="F963" s="99"/>
      <c r="G963" s="99"/>
      <c r="H963" s="99"/>
      <c r="I963" s="99"/>
    </row>
    <row r="964" ht="15.75" customHeight="1">
      <c r="D964" s="99"/>
      <c r="F964" s="99"/>
      <c r="G964" s="99"/>
      <c r="H964" s="99"/>
      <c r="I964" s="99"/>
    </row>
    <row r="965" ht="15.75" customHeight="1">
      <c r="D965" s="99"/>
      <c r="F965" s="99"/>
      <c r="G965" s="99"/>
      <c r="H965" s="99"/>
      <c r="I965" s="99"/>
    </row>
    <row r="966" ht="15.75" customHeight="1">
      <c r="D966" s="99"/>
      <c r="F966" s="99"/>
      <c r="G966" s="99"/>
      <c r="H966" s="99"/>
      <c r="I966" s="99"/>
    </row>
    <row r="967" ht="15.75" customHeight="1">
      <c r="D967" s="99"/>
      <c r="F967" s="99"/>
      <c r="G967" s="99"/>
      <c r="H967" s="99"/>
      <c r="I967" s="99"/>
    </row>
    <row r="968" ht="15.75" customHeight="1">
      <c r="D968" s="99"/>
      <c r="F968" s="99"/>
      <c r="G968" s="99"/>
      <c r="H968" s="99"/>
      <c r="I968" s="99"/>
    </row>
    <row r="969" ht="15.75" customHeight="1">
      <c r="D969" s="99"/>
      <c r="F969" s="99"/>
      <c r="G969" s="99"/>
      <c r="H969" s="99"/>
      <c r="I969" s="99"/>
    </row>
    <row r="970" ht="15.75" customHeight="1">
      <c r="D970" s="99"/>
      <c r="F970" s="99"/>
      <c r="G970" s="99"/>
      <c r="H970" s="99"/>
      <c r="I970" s="99"/>
    </row>
    <row r="971" ht="15.75" customHeight="1">
      <c r="D971" s="99"/>
      <c r="F971" s="99"/>
      <c r="G971" s="99"/>
      <c r="H971" s="99"/>
      <c r="I971" s="99"/>
    </row>
    <row r="972" ht="15.75" customHeight="1">
      <c r="D972" s="99"/>
      <c r="F972" s="99"/>
      <c r="G972" s="99"/>
      <c r="H972" s="99"/>
      <c r="I972" s="99"/>
    </row>
    <row r="973" ht="15.75" customHeight="1">
      <c r="D973" s="99"/>
      <c r="F973" s="99"/>
      <c r="G973" s="99"/>
      <c r="H973" s="99"/>
      <c r="I973" s="99"/>
    </row>
    <row r="974" ht="15.75" customHeight="1">
      <c r="D974" s="99"/>
      <c r="F974" s="99"/>
      <c r="G974" s="99"/>
      <c r="H974" s="99"/>
      <c r="I974" s="99"/>
    </row>
    <row r="975" ht="15.75" customHeight="1">
      <c r="D975" s="99"/>
      <c r="F975" s="99"/>
      <c r="G975" s="99"/>
      <c r="H975" s="99"/>
      <c r="I975" s="99"/>
    </row>
    <row r="976" ht="15.75" customHeight="1">
      <c r="D976" s="99"/>
      <c r="F976" s="99"/>
      <c r="G976" s="99"/>
      <c r="H976" s="99"/>
      <c r="I976" s="99"/>
    </row>
    <row r="977" ht="15.75" customHeight="1">
      <c r="D977" s="99"/>
      <c r="F977" s="99"/>
      <c r="G977" s="99"/>
      <c r="H977" s="99"/>
      <c r="I977" s="99"/>
    </row>
    <row r="978" ht="15.75" customHeight="1">
      <c r="D978" s="99"/>
      <c r="F978" s="99"/>
      <c r="G978" s="99"/>
      <c r="H978" s="99"/>
      <c r="I978" s="99"/>
    </row>
    <row r="979" ht="15.75" customHeight="1">
      <c r="D979" s="99"/>
      <c r="F979" s="99"/>
      <c r="G979" s="99"/>
      <c r="H979" s="99"/>
      <c r="I979" s="99"/>
    </row>
    <row r="980" ht="15.75" customHeight="1">
      <c r="D980" s="99"/>
      <c r="F980" s="99"/>
      <c r="G980" s="99"/>
      <c r="H980" s="99"/>
      <c r="I980" s="99"/>
    </row>
    <row r="981" ht="15.75" customHeight="1">
      <c r="D981" s="99"/>
      <c r="F981" s="99"/>
      <c r="G981" s="99"/>
      <c r="H981" s="99"/>
      <c r="I981" s="99"/>
    </row>
    <row r="982" ht="15.75" customHeight="1">
      <c r="D982" s="99"/>
      <c r="F982" s="99"/>
      <c r="G982" s="99"/>
      <c r="H982" s="99"/>
      <c r="I982" s="99"/>
    </row>
    <row r="983" ht="15.75" customHeight="1">
      <c r="D983" s="99"/>
      <c r="F983" s="99"/>
      <c r="G983" s="99"/>
      <c r="H983" s="99"/>
      <c r="I983" s="99"/>
    </row>
    <row r="984" ht="15.75" customHeight="1">
      <c r="D984" s="99"/>
      <c r="F984" s="99"/>
      <c r="G984" s="99"/>
      <c r="H984" s="99"/>
      <c r="I984" s="99"/>
    </row>
    <row r="985" ht="15.75" customHeight="1">
      <c r="D985" s="99"/>
      <c r="F985" s="99"/>
      <c r="G985" s="99"/>
      <c r="H985" s="99"/>
      <c r="I985" s="99"/>
    </row>
    <row r="986" ht="15.75" customHeight="1">
      <c r="D986" s="99"/>
      <c r="F986" s="99"/>
      <c r="G986" s="99"/>
      <c r="H986" s="99"/>
      <c r="I986" s="99"/>
    </row>
    <row r="987" ht="15.75" customHeight="1">
      <c r="D987" s="99"/>
      <c r="F987" s="99"/>
      <c r="G987" s="99"/>
      <c r="H987" s="99"/>
      <c r="I987" s="99"/>
    </row>
    <row r="988" ht="15.75" customHeight="1">
      <c r="D988" s="99"/>
      <c r="F988" s="99"/>
      <c r="G988" s="99"/>
      <c r="H988" s="99"/>
      <c r="I988" s="99"/>
    </row>
    <row r="989" ht="15.75" customHeight="1">
      <c r="D989" s="99"/>
      <c r="F989" s="99"/>
      <c r="G989" s="99"/>
      <c r="H989" s="99"/>
      <c r="I989" s="99"/>
    </row>
    <row r="990" ht="15.75" customHeight="1">
      <c r="D990" s="99"/>
      <c r="F990" s="99"/>
      <c r="G990" s="99"/>
      <c r="H990" s="99"/>
      <c r="I990" s="99"/>
    </row>
    <row r="991" ht="15.75" customHeight="1">
      <c r="D991" s="99"/>
      <c r="F991" s="99"/>
      <c r="G991" s="99"/>
      <c r="H991" s="99"/>
      <c r="I991" s="99"/>
    </row>
    <row r="992" ht="15.75" customHeight="1">
      <c r="D992" s="99"/>
      <c r="F992" s="99"/>
      <c r="G992" s="99"/>
      <c r="H992" s="99"/>
      <c r="I992" s="99"/>
    </row>
    <row r="993" ht="15.75" customHeight="1">
      <c r="D993" s="99"/>
      <c r="F993" s="99"/>
      <c r="G993" s="99"/>
      <c r="H993" s="99"/>
      <c r="I993" s="99"/>
    </row>
    <row r="994" ht="15.75" customHeight="1">
      <c r="D994" s="99"/>
      <c r="F994" s="99"/>
      <c r="G994" s="99"/>
      <c r="H994" s="99"/>
      <c r="I994" s="99"/>
    </row>
    <row r="995" ht="15.75" customHeight="1">
      <c r="D995" s="99"/>
      <c r="F995" s="99"/>
      <c r="G995" s="99"/>
      <c r="H995" s="99"/>
      <c r="I995" s="99"/>
    </row>
    <row r="996" ht="15.75" customHeight="1">
      <c r="D996" s="99"/>
      <c r="F996" s="99"/>
      <c r="G996" s="99"/>
      <c r="H996" s="99"/>
      <c r="I996" s="99"/>
    </row>
    <row r="997" ht="15.75" customHeight="1">
      <c r="D997" s="99"/>
      <c r="F997" s="99"/>
      <c r="G997" s="99"/>
      <c r="H997" s="99"/>
      <c r="I997" s="99"/>
    </row>
    <row r="998" ht="15.75" customHeight="1">
      <c r="D998" s="99"/>
      <c r="F998" s="99"/>
      <c r="G998" s="99"/>
      <c r="H998" s="99"/>
      <c r="I998" s="99"/>
    </row>
    <row r="999" ht="15.75" customHeight="1">
      <c r="D999" s="99"/>
      <c r="F999" s="99"/>
      <c r="G999" s="99"/>
      <c r="H999" s="99"/>
      <c r="I999" s="99"/>
    </row>
    <row r="1000" ht="15.75" customHeight="1">
      <c r="D1000" s="99"/>
      <c r="F1000" s="99"/>
      <c r="G1000" s="99"/>
      <c r="H1000" s="99"/>
      <c r="I1000" s="99"/>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D50"/>
    <hyperlink r:id="rId51" ref="C51"/>
    <hyperlink r:id="rId52" ref="D51"/>
    <hyperlink r:id="rId53" ref="C52"/>
    <hyperlink r:id="rId54" ref="C53"/>
    <hyperlink r:id="rId55" ref="D53"/>
    <hyperlink r:id="rId56" ref="C54"/>
    <hyperlink r:id="rId57" ref="C55"/>
    <hyperlink r:id="rId58" ref="C56"/>
    <hyperlink r:id="rId59" ref="C57"/>
    <hyperlink r:id="rId60" ref="C58"/>
    <hyperlink r:id="rId61" ref="C59"/>
    <hyperlink r:id="rId62" ref="C60"/>
    <hyperlink r:id="rId63" ref="C61"/>
    <hyperlink r:id="rId64" ref="C62"/>
    <hyperlink r:id="rId65" ref="C63"/>
    <hyperlink r:id="rId66" ref="C64"/>
    <hyperlink r:id="rId67" ref="C65"/>
    <hyperlink r:id="rId68" ref="C66"/>
    <hyperlink r:id="rId69" ref="C67"/>
    <hyperlink r:id="rId70" ref="C68"/>
    <hyperlink r:id="rId71" ref="C69"/>
    <hyperlink r:id="rId72" ref="C70"/>
    <hyperlink r:id="rId73" ref="C71"/>
    <hyperlink r:id="rId74" ref="C72"/>
    <hyperlink r:id="rId75" ref="C73"/>
    <hyperlink r:id="rId76" ref="D73"/>
    <hyperlink r:id="rId77" ref="C74"/>
    <hyperlink r:id="rId78" ref="C75"/>
    <hyperlink r:id="rId79" ref="C76"/>
    <hyperlink r:id="rId80" ref="C77"/>
    <hyperlink r:id="rId81" ref="D77"/>
    <hyperlink r:id="rId82" ref="C78"/>
    <hyperlink r:id="rId83" ref="D78"/>
    <hyperlink r:id="rId84" ref="C79"/>
    <hyperlink r:id="rId85" ref="D79"/>
    <hyperlink r:id="rId86" ref="C80"/>
    <hyperlink r:id="rId87" ref="C81"/>
    <hyperlink r:id="rId88" ref="C82"/>
    <hyperlink r:id="rId89" ref="C83"/>
    <hyperlink r:id="rId90" ref="D83"/>
    <hyperlink r:id="rId91" ref="C84"/>
    <hyperlink r:id="rId92" ref="C85"/>
    <hyperlink r:id="rId93" ref="D85"/>
    <hyperlink r:id="rId94" ref="C86"/>
    <hyperlink r:id="rId95" ref="D86"/>
    <hyperlink r:id="rId96" ref="C87"/>
    <hyperlink r:id="rId97" ref="C88"/>
    <hyperlink r:id="rId98" ref="C89"/>
    <hyperlink r:id="rId99" ref="C90"/>
    <hyperlink r:id="rId100" ref="C91"/>
    <hyperlink r:id="rId101" ref="C92"/>
    <hyperlink r:id="rId102" ref="C93"/>
    <hyperlink r:id="rId103" ref="C94"/>
    <hyperlink r:id="rId104" ref="C95"/>
    <hyperlink r:id="rId105" ref="C96"/>
    <hyperlink r:id="rId106" ref="C97"/>
    <hyperlink r:id="rId107" ref="C98"/>
    <hyperlink r:id="rId108" ref="D98"/>
    <hyperlink r:id="rId109" ref="C99"/>
    <hyperlink r:id="rId110" ref="G99"/>
    <hyperlink r:id="rId111" ref="C100"/>
    <hyperlink r:id="rId112" ref="C101"/>
    <hyperlink r:id="rId113" ref="C102"/>
    <hyperlink r:id="rId114" ref="C104"/>
    <hyperlink r:id="rId115" ref="C105"/>
    <hyperlink r:id="rId116" ref="C106"/>
    <hyperlink r:id="rId117" ref="C107"/>
    <hyperlink r:id="rId118" ref="C108"/>
    <hyperlink r:id="rId119" ref="C109"/>
    <hyperlink r:id="rId120" ref="C110"/>
    <hyperlink r:id="rId121" ref="C111"/>
    <hyperlink r:id="rId122" ref="C112"/>
    <hyperlink r:id="rId123" ref="D112"/>
    <hyperlink r:id="rId124" ref="C113"/>
    <hyperlink r:id="rId125" ref="C114"/>
    <hyperlink r:id="rId126" ref="C115"/>
    <hyperlink r:id="rId127" ref="C116"/>
    <hyperlink r:id="rId128" ref="C117"/>
    <hyperlink r:id="rId129" ref="C118"/>
    <hyperlink r:id="rId130" ref="C119"/>
    <hyperlink r:id="rId131" ref="C120"/>
    <hyperlink r:id="rId132" ref="C121"/>
    <hyperlink r:id="rId133" ref="C122"/>
    <hyperlink r:id="rId134" ref="C123"/>
    <hyperlink r:id="rId135" ref="C124"/>
    <hyperlink r:id="rId136" ref="C125"/>
    <hyperlink r:id="rId137" ref="C126"/>
    <hyperlink r:id="rId138" ref="C127"/>
    <hyperlink r:id="rId139" ref="C128"/>
    <hyperlink r:id="rId140" ref="C129"/>
    <hyperlink r:id="rId141" ref="C130"/>
    <hyperlink r:id="rId142" ref="C131"/>
    <hyperlink r:id="rId143" ref="C132"/>
    <hyperlink r:id="rId144" ref="C133"/>
    <hyperlink r:id="rId145" ref="E133"/>
    <hyperlink r:id="rId146" ref="C134"/>
    <hyperlink r:id="rId147" ref="C135"/>
    <hyperlink r:id="rId148" ref="C136"/>
    <hyperlink r:id="rId149" ref="C137"/>
    <hyperlink r:id="rId150" ref="C138"/>
    <hyperlink r:id="rId151" ref="C139"/>
    <hyperlink r:id="rId152" ref="D139"/>
    <hyperlink r:id="rId153" ref="G139"/>
    <hyperlink r:id="rId154" ref="C140"/>
    <hyperlink r:id="rId155" ref="D140"/>
    <hyperlink r:id="rId156" ref="C141"/>
    <hyperlink r:id="rId157" ref="D141"/>
    <hyperlink r:id="rId158" ref="C142"/>
    <hyperlink r:id="rId159" ref="D142"/>
    <hyperlink r:id="rId160" ref="C143"/>
    <hyperlink r:id="rId161" ref="D143"/>
    <hyperlink r:id="rId162" ref="C144"/>
    <hyperlink r:id="rId163" ref="C145"/>
  </hyperlinks>
  <drawing r:id="rId16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2" width="22.63"/>
  </cols>
  <sheetData>
    <row r="1">
      <c r="A1" s="105" t="s">
        <v>2063</v>
      </c>
    </row>
    <row r="2">
      <c r="A2" s="43" t="s">
        <v>2064</v>
      </c>
      <c r="B2" s="43" t="s">
        <v>2065</v>
      </c>
      <c r="C2" s="43" t="s">
        <v>2066</v>
      </c>
      <c r="D2" s="43" t="s">
        <v>2067</v>
      </c>
      <c r="E2" s="43" t="s">
        <v>2068</v>
      </c>
      <c r="F2" s="43" t="s">
        <v>2069</v>
      </c>
      <c r="G2" s="43" t="s">
        <v>579</v>
      </c>
      <c r="H2" s="43" t="s">
        <v>2070</v>
      </c>
      <c r="I2" s="43" t="s">
        <v>2071</v>
      </c>
      <c r="J2" s="43" t="s">
        <v>2072</v>
      </c>
      <c r="K2" s="43" t="s">
        <v>578</v>
      </c>
      <c r="L2" s="43" t="s">
        <v>719</v>
      </c>
    </row>
    <row r="3">
      <c r="A3" s="107" t="s">
        <v>2073</v>
      </c>
      <c r="B3" s="107" t="s">
        <v>2074</v>
      </c>
      <c r="C3" s="68" t="s">
        <v>2075</v>
      </c>
      <c r="D3" s="107" t="s">
        <v>1114</v>
      </c>
      <c r="E3" s="107" t="s">
        <v>1113</v>
      </c>
      <c r="F3" s="107" t="s">
        <v>2076</v>
      </c>
      <c r="G3" s="43" t="s">
        <v>1575</v>
      </c>
      <c r="H3" s="43" t="s">
        <v>1116</v>
      </c>
      <c r="I3" s="43" t="s">
        <v>1119</v>
      </c>
      <c r="J3" s="43" t="s">
        <v>1118</v>
      </c>
      <c r="K3" s="43" t="s">
        <v>1111</v>
      </c>
      <c r="L3" s="43" t="s">
        <v>1576</v>
      </c>
    </row>
    <row r="4">
      <c r="A4" s="107" t="s">
        <v>2077</v>
      </c>
      <c r="B4" s="107" t="s">
        <v>2078</v>
      </c>
      <c r="C4" s="107" t="s">
        <v>2079</v>
      </c>
      <c r="D4" s="107" t="s">
        <v>2080</v>
      </c>
      <c r="E4" s="107" t="s">
        <v>2081</v>
      </c>
      <c r="F4" s="107" t="s">
        <v>2082</v>
      </c>
      <c r="G4" s="107" t="s">
        <v>2083</v>
      </c>
      <c r="H4" s="107" t="s">
        <v>2083</v>
      </c>
      <c r="I4" s="107" t="s">
        <v>2084</v>
      </c>
      <c r="J4" s="107" t="s">
        <v>2083</v>
      </c>
      <c r="K4" s="107" t="s">
        <v>2083</v>
      </c>
      <c r="L4" s="107" t="s">
        <v>2083</v>
      </c>
    </row>
    <row r="5">
      <c r="A5" s="107" t="s">
        <v>1740</v>
      </c>
      <c r="B5" s="107" t="s">
        <v>2085</v>
      </c>
      <c r="C5" s="107" t="s">
        <v>2086</v>
      </c>
      <c r="D5" s="107" t="s">
        <v>2086</v>
      </c>
      <c r="E5" s="43" t="s">
        <v>2087</v>
      </c>
      <c r="F5" s="43" t="s">
        <v>2087</v>
      </c>
      <c r="H5" s="43" t="s">
        <v>2088</v>
      </c>
      <c r="I5" s="43" t="s">
        <v>2086</v>
      </c>
      <c r="K5" s="43" t="s">
        <v>2089</v>
      </c>
      <c r="L5" s="43" t="s">
        <v>2090</v>
      </c>
    </row>
    <row r="6">
      <c r="A6" s="107" t="s">
        <v>2091</v>
      </c>
      <c r="B6" s="106"/>
      <c r="C6" s="107" t="s">
        <v>2092</v>
      </c>
      <c r="D6" s="107" t="s">
        <v>2093</v>
      </c>
      <c r="E6" s="107" t="s">
        <v>2094</v>
      </c>
      <c r="F6" s="107" t="s">
        <v>2095</v>
      </c>
      <c r="H6" s="43" t="s">
        <v>2086</v>
      </c>
      <c r="I6" s="107" t="s">
        <v>2096</v>
      </c>
      <c r="K6" s="43" t="s">
        <v>2086</v>
      </c>
      <c r="L6" s="43" t="s">
        <v>2086</v>
      </c>
    </row>
    <row r="7">
      <c r="A7" s="43" t="s">
        <v>2097</v>
      </c>
      <c r="B7" s="106"/>
      <c r="C7" s="109" t="s">
        <v>2098</v>
      </c>
      <c r="D7" s="109" t="s">
        <v>2098</v>
      </c>
      <c r="E7" s="109" t="s">
        <v>2098</v>
      </c>
      <c r="F7" s="109" t="s">
        <v>2098</v>
      </c>
      <c r="H7" s="107" t="s">
        <v>2099</v>
      </c>
      <c r="I7" s="109" t="s">
        <v>2098</v>
      </c>
      <c r="K7" s="43" t="s">
        <v>2100</v>
      </c>
      <c r="L7" s="107" t="s">
        <v>2101</v>
      </c>
    </row>
    <row r="8">
      <c r="A8" s="43" t="s">
        <v>2102</v>
      </c>
      <c r="B8" s="113"/>
      <c r="C8" s="106"/>
      <c r="D8" s="106"/>
      <c r="E8" s="116"/>
      <c r="F8" s="106"/>
      <c r="H8" s="109" t="s">
        <v>2098</v>
      </c>
      <c r="I8" s="43" t="s">
        <v>2103</v>
      </c>
      <c r="K8" s="109" t="s">
        <v>2098</v>
      </c>
      <c r="L8" s="109" t="s">
        <v>2098</v>
      </c>
    </row>
    <row r="9">
      <c r="A9" s="43" t="s">
        <v>2104</v>
      </c>
    </row>
    <row r="10">
      <c r="A10" s="50" t="s">
        <v>2105</v>
      </c>
    </row>
    <row r="11">
      <c r="A11" s="43" t="s">
        <v>2086</v>
      </c>
    </row>
    <row r="12">
      <c r="A12" s="50" t="s">
        <v>2106</v>
      </c>
    </row>
    <row r="13">
      <c r="A13" s="109" t="s">
        <v>2098</v>
      </c>
    </row>
    <row r="14">
      <c r="A14" s="43" t="s">
        <v>2107</v>
      </c>
    </row>
    <row r="16">
      <c r="A16" s="105" t="s">
        <v>2108</v>
      </c>
    </row>
    <row r="17">
      <c r="A17" s="107" t="s">
        <v>2109</v>
      </c>
    </row>
    <row r="18">
      <c r="A18" s="107" t="s">
        <v>2110</v>
      </c>
    </row>
    <row r="21">
      <c r="A21" s="105" t="s">
        <v>2111</v>
      </c>
    </row>
    <row r="22">
      <c r="A22" s="43" t="s">
        <v>484</v>
      </c>
      <c r="B22" s="43" t="s">
        <v>1191</v>
      </c>
    </row>
    <row r="23">
      <c r="A23" s="107" t="s">
        <v>2112</v>
      </c>
      <c r="B23" s="107" t="s">
        <v>2112</v>
      </c>
    </row>
    <row r="24">
      <c r="A24" s="43" t="s">
        <v>1116</v>
      </c>
      <c r="B24" s="43" t="s">
        <v>2074</v>
      </c>
    </row>
    <row r="27">
      <c r="A27" s="105" t="s">
        <v>1192</v>
      </c>
    </row>
    <row r="28">
      <c r="A28" s="43" t="s">
        <v>2113</v>
      </c>
    </row>
    <row r="29">
      <c r="A29" s="43" t="s">
        <v>2074</v>
      </c>
    </row>
    <row r="32">
      <c r="A32" s="105" t="s">
        <v>1579</v>
      </c>
    </row>
    <row r="33">
      <c r="A33" s="43" t="s">
        <v>2114</v>
      </c>
    </row>
    <row r="34">
      <c r="A34" s="43" t="s">
        <v>2115</v>
      </c>
      <c r="B34" s="43" t="s">
        <v>2116</v>
      </c>
    </row>
    <row r="38">
      <c r="A38" s="105" t="s">
        <v>2117</v>
      </c>
    </row>
    <row r="39">
      <c r="A39" s="43" t="s">
        <v>2118</v>
      </c>
    </row>
  </sheetData>
  <mergeCells count="6">
    <mergeCell ref="A1:F1"/>
    <mergeCell ref="A16:F16"/>
    <mergeCell ref="A21:F21"/>
    <mergeCell ref="A27:F27"/>
    <mergeCell ref="A32:F32"/>
    <mergeCell ref="A38:F38"/>
  </mergeCells>
  <hyperlinks>
    <hyperlink r:id="rId1" ref="C3"/>
    <hyperlink r:id="rId2" ref="C7"/>
    <hyperlink r:id="rId3" ref="D7"/>
    <hyperlink r:id="rId4" ref="E7"/>
    <hyperlink r:id="rId5" ref="F7"/>
    <hyperlink r:id="rId6" ref="I7"/>
    <hyperlink r:id="rId7" ref="H8"/>
    <hyperlink r:id="rId8" ref="K8"/>
    <hyperlink r:id="rId9" ref="L8"/>
    <hyperlink r:id="rId10" ref="A13"/>
  </hyperlinks>
  <drawing r:id="rId11"/>
</worksheet>
</file>